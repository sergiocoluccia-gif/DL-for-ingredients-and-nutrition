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cy_\Dropbox\Reportino\Nutrition5k_ITA_giusti\"/>
    </mc:Choice>
  </mc:AlternateContent>
  <bookViews>
    <workbookView xWindow="0" yWindow="0" windowWidth="14370" windowHeight="6930"/>
  </bookViews>
  <sheets>
    <sheet name="similarity" sheetId="2" r:id="rId1"/>
    <sheet name="recipes" sheetId="3" r:id="rId2"/>
    <sheet name="mean" sheetId="4" r:id="rId3"/>
    <sheet name="USDA" sheetId="5" r:id="rId4"/>
  </sheets>
  <definedNames>
    <definedName name="_xlnm._FilterDatabase" localSheetId="2" hidden="1">mean!$C$94:$CL$106</definedName>
    <definedName name="_xlnm._FilterDatabase" localSheetId="1" hidden="1">recipes!$B$1:$B$257</definedName>
    <definedName name="_xlnm._FilterDatabase" localSheetId="3" hidden="1">USDA!$A$1:$A$18</definedName>
  </definedNames>
  <calcPr calcId="162913"/>
</workbook>
</file>

<file path=xl/calcChain.xml><?xml version="1.0" encoding="utf-8"?>
<calcChain xmlns="http://schemas.openxmlformats.org/spreadsheetml/2006/main">
  <c r="K18" i="5" l="1"/>
  <c r="K17" i="5"/>
  <c r="K16" i="5"/>
  <c r="K15" i="5"/>
  <c r="K14" i="5"/>
  <c r="K13" i="5"/>
  <c r="K11" i="5"/>
  <c r="K10" i="5"/>
  <c r="K9" i="5"/>
  <c r="K8" i="5"/>
  <c r="K7" i="5"/>
  <c r="K6" i="5"/>
  <c r="C125" i="3" l="1"/>
  <c r="CN13" i="3"/>
  <c r="CN171" i="3"/>
  <c r="BL224" i="3" l="1"/>
  <c r="BD224" i="3"/>
  <c r="BB224" i="3"/>
  <c r="BA224" i="3"/>
  <c r="AX224" i="3"/>
  <c r="AW224" i="3"/>
  <c r="AV224" i="3"/>
  <c r="CO85" i="3" l="1"/>
  <c r="CP85" i="3"/>
  <c r="CQ85" i="3"/>
  <c r="CR85" i="3"/>
  <c r="CS85" i="3"/>
  <c r="CT85" i="3"/>
  <c r="CU85" i="3"/>
  <c r="CV85" i="3"/>
  <c r="CW85" i="3"/>
  <c r="CX85" i="3"/>
  <c r="CY85" i="3"/>
  <c r="CZ85" i="3"/>
  <c r="DA85" i="3"/>
  <c r="DB85" i="3"/>
  <c r="DC85" i="3"/>
  <c r="DD85" i="3"/>
  <c r="DE85" i="3"/>
  <c r="DF85" i="3"/>
  <c r="DG85" i="3"/>
  <c r="DH85" i="3"/>
  <c r="DI85" i="3"/>
  <c r="DJ85" i="3"/>
  <c r="DK85" i="3"/>
  <c r="DL85" i="3"/>
  <c r="DM85" i="3"/>
  <c r="DN85" i="3"/>
  <c r="DO85" i="3"/>
  <c r="DP85" i="3"/>
  <c r="DQ85" i="3"/>
  <c r="DR85" i="3"/>
  <c r="DS85" i="3"/>
  <c r="DT85" i="3"/>
  <c r="DU85" i="3"/>
  <c r="DV85" i="3"/>
  <c r="DW85" i="3"/>
  <c r="DX85" i="3"/>
  <c r="DY85" i="3"/>
  <c r="DZ85" i="3"/>
  <c r="EA85" i="3"/>
  <c r="EB85" i="3"/>
  <c r="EC85" i="3"/>
  <c r="ED85" i="3"/>
  <c r="EE85" i="3"/>
  <c r="EF85" i="3"/>
  <c r="EG85" i="3"/>
  <c r="EH85" i="3"/>
  <c r="EI85" i="3"/>
  <c r="EJ85" i="3"/>
  <c r="EK85" i="3"/>
  <c r="EL85" i="3"/>
  <c r="EM85" i="3"/>
  <c r="EN85" i="3"/>
  <c r="EO85" i="3"/>
  <c r="EP85" i="3"/>
  <c r="EQ85" i="3"/>
  <c r="ER85" i="3"/>
  <c r="ES85" i="3"/>
  <c r="ET85" i="3"/>
  <c r="EU85" i="3"/>
  <c r="EV85" i="3"/>
  <c r="EW85" i="3"/>
  <c r="EX85" i="3"/>
  <c r="EY85" i="3"/>
  <c r="EZ85" i="3"/>
  <c r="FA85" i="3"/>
  <c r="FB85" i="3"/>
  <c r="FC85" i="3"/>
  <c r="FD85" i="3"/>
  <c r="FE85" i="3"/>
  <c r="FF85" i="3"/>
  <c r="FG85" i="3"/>
  <c r="FH85" i="3"/>
  <c r="FI85" i="3"/>
  <c r="FJ85" i="3"/>
  <c r="FK85" i="3"/>
  <c r="FL85" i="3"/>
  <c r="FM85" i="3"/>
  <c r="FN85" i="3"/>
  <c r="FO85" i="3"/>
  <c r="FP85" i="3"/>
  <c r="FQ85" i="3"/>
  <c r="FR85" i="3"/>
  <c r="FS85" i="3"/>
  <c r="FT85" i="3"/>
  <c r="FU85" i="3"/>
  <c r="FV85" i="3"/>
  <c r="FW85" i="3"/>
  <c r="CN85" i="3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Z117" i="4"/>
  <c r="BA117" i="4"/>
  <c r="BB117" i="4"/>
  <c r="BC117" i="4"/>
  <c r="BD117" i="4"/>
  <c r="BE117" i="4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CL117" i="4"/>
  <c r="C117" i="4"/>
  <c r="FW256" i="3" l="1"/>
  <c r="FV256" i="3"/>
  <c r="FU256" i="3"/>
  <c r="FT256" i="3"/>
  <c r="FS256" i="3"/>
  <c r="FR256" i="3"/>
  <c r="FQ256" i="3"/>
  <c r="FP256" i="3"/>
  <c r="FO256" i="3"/>
  <c r="FN256" i="3"/>
  <c r="FM256" i="3"/>
  <c r="FL256" i="3"/>
  <c r="FK256" i="3"/>
  <c r="FJ256" i="3"/>
  <c r="FI256" i="3"/>
  <c r="FH256" i="3"/>
  <c r="FG256" i="3"/>
  <c r="FF256" i="3"/>
  <c r="FE256" i="3"/>
  <c r="FD256" i="3"/>
  <c r="FC256" i="3"/>
  <c r="FB256" i="3"/>
  <c r="FA256" i="3"/>
  <c r="EZ256" i="3"/>
  <c r="EY256" i="3"/>
  <c r="EX256" i="3"/>
  <c r="EW256" i="3"/>
  <c r="EV256" i="3"/>
  <c r="EU256" i="3"/>
  <c r="ET256" i="3"/>
  <c r="ES256" i="3"/>
  <c r="ER256" i="3"/>
  <c r="EQ256" i="3"/>
  <c r="EP256" i="3"/>
  <c r="EO256" i="3"/>
  <c r="EN256" i="3"/>
  <c r="EM256" i="3"/>
  <c r="EL256" i="3"/>
  <c r="EK256" i="3"/>
  <c r="EJ256" i="3"/>
  <c r="EI256" i="3"/>
  <c r="EH256" i="3"/>
  <c r="EG256" i="3"/>
  <c r="EF256" i="3"/>
  <c r="EE256" i="3"/>
  <c r="ED256" i="3"/>
  <c r="EC256" i="3"/>
  <c r="EB256" i="3"/>
  <c r="EA256" i="3"/>
  <c r="DZ256" i="3"/>
  <c r="DY256" i="3"/>
  <c r="DX256" i="3"/>
  <c r="DW256" i="3"/>
  <c r="DV256" i="3"/>
  <c r="DU256" i="3"/>
  <c r="DT256" i="3"/>
  <c r="DS256" i="3"/>
  <c r="DR256" i="3"/>
  <c r="DQ256" i="3"/>
  <c r="DP256" i="3"/>
  <c r="DO256" i="3"/>
  <c r="DN256" i="3"/>
  <c r="DM256" i="3"/>
  <c r="DL256" i="3"/>
  <c r="DK256" i="3"/>
  <c r="DJ256" i="3"/>
  <c r="DI256" i="3"/>
  <c r="DH256" i="3"/>
  <c r="DG256" i="3"/>
  <c r="DF256" i="3"/>
  <c r="DE256" i="3"/>
  <c r="DD256" i="3"/>
  <c r="DC256" i="3"/>
  <c r="DB256" i="3"/>
  <c r="DA256" i="3"/>
  <c r="CZ256" i="3"/>
  <c r="CY256" i="3"/>
  <c r="CX256" i="3"/>
  <c r="CW256" i="3"/>
  <c r="CV256" i="3"/>
  <c r="CU256" i="3"/>
  <c r="CT256" i="3"/>
  <c r="CS256" i="3"/>
  <c r="CR256" i="3"/>
  <c r="CQ256" i="3"/>
  <c r="CP256" i="3"/>
  <c r="CO256" i="3"/>
  <c r="CN256" i="3"/>
  <c r="FW255" i="3"/>
  <c r="FV255" i="3"/>
  <c r="FU255" i="3"/>
  <c r="FT255" i="3"/>
  <c r="FS255" i="3"/>
  <c r="FR255" i="3"/>
  <c r="FQ255" i="3"/>
  <c r="FP255" i="3"/>
  <c r="FO255" i="3"/>
  <c r="FN255" i="3"/>
  <c r="FM255" i="3"/>
  <c r="FL255" i="3"/>
  <c r="FK255" i="3"/>
  <c r="FJ255" i="3"/>
  <c r="FI255" i="3"/>
  <c r="FH255" i="3"/>
  <c r="FG255" i="3"/>
  <c r="FF255" i="3"/>
  <c r="FE255" i="3"/>
  <c r="FD255" i="3"/>
  <c r="FC255" i="3"/>
  <c r="FB255" i="3"/>
  <c r="FA255" i="3"/>
  <c r="EZ255" i="3"/>
  <c r="EY255" i="3"/>
  <c r="EX255" i="3"/>
  <c r="EW255" i="3"/>
  <c r="EV255" i="3"/>
  <c r="EU255" i="3"/>
  <c r="ET255" i="3"/>
  <c r="ES255" i="3"/>
  <c r="ER255" i="3"/>
  <c r="EQ255" i="3"/>
  <c r="EP255" i="3"/>
  <c r="EO255" i="3"/>
  <c r="EN255" i="3"/>
  <c r="EM255" i="3"/>
  <c r="EL255" i="3"/>
  <c r="EK255" i="3"/>
  <c r="EJ255" i="3"/>
  <c r="EI255" i="3"/>
  <c r="EH255" i="3"/>
  <c r="EG255" i="3"/>
  <c r="EF255" i="3"/>
  <c r="EE255" i="3"/>
  <c r="ED255" i="3"/>
  <c r="EC255" i="3"/>
  <c r="EB255" i="3"/>
  <c r="EA255" i="3"/>
  <c r="DZ255" i="3"/>
  <c r="DY255" i="3"/>
  <c r="DX255" i="3"/>
  <c r="DW255" i="3"/>
  <c r="DV255" i="3"/>
  <c r="DU255" i="3"/>
  <c r="DT255" i="3"/>
  <c r="DS255" i="3"/>
  <c r="DR255" i="3"/>
  <c r="DQ255" i="3"/>
  <c r="DP255" i="3"/>
  <c r="DO255" i="3"/>
  <c r="DN255" i="3"/>
  <c r="DM255" i="3"/>
  <c r="DL255" i="3"/>
  <c r="DK255" i="3"/>
  <c r="DJ255" i="3"/>
  <c r="DI255" i="3"/>
  <c r="DH255" i="3"/>
  <c r="DG255" i="3"/>
  <c r="DF255" i="3"/>
  <c r="DE255" i="3"/>
  <c r="DD255" i="3"/>
  <c r="DC255" i="3"/>
  <c r="DB255" i="3"/>
  <c r="DA255" i="3"/>
  <c r="CZ255" i="3"/>
  <c r="CY255" i="3"/>
  <c r="CX255" i="3"/>
  <c r="CW255" i="3"/>
  <c r="CV255" i="3"/>
  <c r="CU255" i="3"/>
  <c r="CT255" i="3"/>
  <c r="CS255" i="3"/>
  <c r="CR255" i="3"/>
  <c r="CQ255" i="3"/>
  <c r="CP255" i="3"/>
  <c r="CO255" i="3"/>
  <c r="CN255" i="3"/>
  <c r="FW254" i="3"/>
  <c r="FV254" i="3"/>
  <c r="FU254" i="3"/>
  <c r="FT254" i="3"/>
  <c r="FS254" i="3"/>
  <c r="FR254" i="3"/>
  <c r="FQ254" i="3"/>
  <c r="FP254" i="3"/>
  <c r="FO254" i="3"/>
  <c r="FN254" i="3"/>
  <c r="FM254" i="3"/>
  <c r="FL254" i="3"/>
  <c r="FK254" i="3"/>
  <c r="FJ254" i="3"/>
  <c r="FI254" i="3"/>
  <c r="FH254" i="3"/>
  <c r="FG254" i="3"/>
  <c r="FF254" i="3"/>
  <c r="FE254" i="3"/>
  <c r="FD254" i="3"/>
  <c r="FC254" i="3"/>
  <c r="FB254" i="3"/>
  <c r="FA254" i="3"/>
  <c r="EZ254" i="3"/>
  <c r="EY254" i="3"/>
  <c r="EX254" i="3"/>
  <c r="EW254" i="3"/>
  <c r="EV254" i="3"/>
  <c r="EU254" i="3"/>
  <c r="ET254" i="3"/>
  <c r="ES254" i="3"/>
  <c r="ER254" i="3"/>
  <c r="EQ254" i="3"/>
  <c r="EP254" i="3"/>
  <c r="EO254" i="3"/>
  <c r="EN254" i="3"/>
  <c r="EM254" i="3"/>
  <c r="EL254" i="3"/>
  <c r="EK254" i="3"/>
  <c r="EJ254" i="3"/>
  <c r="EI254" i="3"/>
  <c r="EH254" i="3"/>
  <c r="EG254" i="3"/>
  <c r="EF254" i="3"/>
  <c r="EE254" i="3"/>
  <c r="ED254" i="3"/>
  <c r="EC254" i="3"/>
  <c r="EB254" i="3"/>
  <c r="EA254" i="3"/>
  <c r="DZ254" i="3"/>
  <c r="DY254" i="3"/>
  <c r="DX254" i="3"/>
  <c r="DW254" i="3"/>
  <c r="DV254" i="3"/>
  <c r="DU254" i="3"/>
  <c r="DT254" i="3"/>
  <c r="DS254" i="3"/>
  <c r="DR254" i="3"/>
  <c r="DQ254" i="3"/>
  <c r="DP254" i="3"/>
  <c r="DO254" i="3"/>
  <c r="DN254" i="3"/>
  <c r="DM254" i="3"/>
  <c r="DL254" i="3"/>
  <c r="DK254" i="3"/>
  <c r="DJ254" i="3"/>
  <c r="DI254" i="3"/>
  <c r="DH254" i="3"/>
  <c r="DG254" i="3"/>
  <c r="DF254" i="3"/>
  <c r="DE254" i="3"/>
  <c r="DD254" i="3"/>
  <c r="DC254" i="3"/>
  <c r="DB254" i="3"/>
  <c r="DA254" i="3"/>
  <c r="CZ254" i="3"/>
  <c r="CY254" i="3"/>
  <c r="CX254" i="3"/>
  <c r="CW254" i="3"/>
  <c r="CV254" i="3"/>
  <c r="CU254" i="3"/>
  <c r="CT254" i="3"/>
  <c r="CS254" i="3"/>
  <c r="CR254" i="3"/>
  <c r="CQ254" i="3"/>
  <c r="CP254" i="3"/>
  <c r="CO254" i="3"/>
  <c r="CN254" i="3"/>
  <c r="FW253" i="3"/>
  <c r="FV253" i="3"/>
  <c r="FU253" i="3"/>
  <c r="FT253" i="3"/>
  <c r="FS253" i="3"/>
  <c r="FR253" i="3"/>
  <c r="FQ253" i="3"/>
  <c r="FP253" i="3"/>
  <c r="FO253" i="3"/>
  <c r="FN253" i="3"/>
  <c r="FM253" i="3"/>
  <c r="FL253" i="3"/>
  <c r="FK253" i="3"/>
  <c r="FJ253" i="3"/>
  <c r="FI253" i="3"/>
  <c r="FH253" i="3"/>
  <c r="FG253" i="3"/>
  <c r="FF253" i="3"/>
  <c r="FE253" i="3"/>
  <c r="FD253" i="3"/>
  <c r="FC253" i="3"/>
  <c r="FB253" i="3"/>
  <c r="FA253" i="3"/>
  <c r="EZ253" i="3"/>
  <c r="EY253" i="3"/>
  <c r="EX253" i="3"/>
  <c r="EW253" i="3"/>
  <c r="EV253" i="3"/>
  <c r="EU253" i="3"/>
  <c r="ET253" i="3"/>
  <c r="ES253" i="3"/>
  <c r="ER253" i="3"/>
  <c r="EQ253" i="3"/>
  <c r="EP253" i="3"/>
  <c r="EO253" i="3"/>
  <c r="EN253" i="3"/>
  <c r="EM253" i="3"/>
  <c r="EL253" i="3"/>
  <c r="EK253" i="3"/>
  <c r="EJ253" i="3"/>
  <c r="EI253" i="3"/>
  <c r="EH253" i="3"/>
  <c r="EG253" i="3"/>
  <c r="EF253" i="3"/>
  <c r="EE253" i="3"/>
  <c r="ED253" i="3"/>
  <c r="EC253" i="3"/>
  <c r="EB253" i="3"/>
  <c r="EA253" i="3"/>
  <c r="DZ253" i="3"/>
  <c r="DY253" i="3"/>
  <c r="DX253" i="3"/>
  <c r="DW253" i="3"/>
  <c r="DV253" i="3"/>
  <c r="DU253" i="3"/>
  <c r="DT253" i="3"/>
  <c r="DS253" i="3"/>
  <c r="DR253" i="3"/>
  <c r="DQ253" i="3"/>
  <c r="DP253" i="3"/>
  <c r="DO253" i="3"/>
  <c r="DN253" i="3"/>
  <c r="DM253" i="3"/>
  <c r="DL253" i="3"/>
  <c r="DK253" i="3"/>
  <c r="DJ253" i="3"/>
  <c r="DI253" i="3"/>
  <c r="DH253" i="3"/>
  <c r="DG253" i="3"/>
  <c r="DF253" i="3"/>
  <c r="DE253" i="3"/>
  <c r="DD253" i="3"/>
  <c r="DC253" i="3"/>
  <c r="DB253" i="3"/>
  <c r="DA253" i="3"/>
  <c r="CZ253" i="3"/>
  <c r="CY253" i="3"/>
  <c r="CX253" i="3"/>
  <c r="CW253" i="3"/>
  <c r="CV253" i="3"/>
  <c r="CU253" i="3"/>
  <c r="CT253" i="3"/>
  <c r="CS253" i="3"/>
  <c r="CR253" i="3"/>
  <c r="CQ253" i="3"/>
  <c r="CP253" i="3"/>
  <c r="CO253" i="3"/>
  <c r="CN253" i="3"/>
  <c r="FW252" i="3"/>
  <c r="FW257" i="3" s="1"/>
  <c r="FV252" i="3"/>
  <c r="FU252" i="3"/>
  <c r="FU257" i="3" s="1"/>
  <c r="FT252" i="3"/>
  <c r="FS252" i="3"/>
  <c r="FR252" i="3"/>
  <c r="FQ252" i="3"/>
  <c r="FP252" i="3"/>
  <c r="FP257" i="3" s="1"/>
  <c r="FO252" i="3"/>
  <c r="FO257" i="3" s="1"/>
  <c r="FN252" i="3"/>
  <c r="FN257" i="3" s="1"/>
  <c r="FM252" i="3"/>
  <c r="FM257" i="3" s="1"/>
  <c r="FL252" i="3"/>
  <c r="FL257" i="3" s="1"/>
  <c r="FK252" i="3"/>
  <c r="FK257" i="3" s="1"/>
  <c r="FJ252" i="3"/>
  <c r="FJ257" i="3" s="1"/>
  <c r="FI252" i="3"/>
  <c r="FI257" i="3" s="1"/>
  <c r="FH252" i="3"/>
  <c r="FH257" i="3" s="1"/>
  <c r="FG252" i="3"/>
  <c r="FG257" i="3" s="1"/>
  <c r="FF252" i="3"/>
  <c r="FF257" i="3" s="1"/>
  <c r="FE252" i="3"/>
  <c r="FE257" i="3" s="1"/>
  <c r="FD252" i="3"/>
  <c r="FD257" i="3" s="1"/>
  <c r="FC252" i="3"/>
  <c r="FC257" i="3" s="1"/>
  <c r="FB252" i="3"/>
  <c r="FB257" i="3" s="1"/>
  <c r="FA252" i="3"/>
  <c r="FA257" i="3" s="1"/>
  <c r="EZ252" i="3"/>
  <c r="EZ257" i="3" s="1"/>
  <c r="EY252" i="3"/>
  <c r="EY257" i="3" s="1"/>
  <c r="EX252" i="3"/>
  <c r="EW252" i="3"/>
  <c r="EW257" i="3" s="1"/>
  <c r="EV252" i="3"/>
  <c r="EU252" i="3"/>
  <c r="EU257" i="3" s="1"/>
  <c r="ET252" i="3"/>
  <c r="ET257" i="3" s="1"/>
  <c r="ES252" i="3"/>
  <c r="ES257" i="3" s="1"/>
  <c r="ER252" i="3"/>
  <c r="EQ252" i="3"/>
  <c r="EQ257" i="3" s="1"/>
  <c r="EP252" i="3"/>
  <c r="EP257" i="3" s="1"/>
  <c r="EO252" i="3"/>
  <c r="EO257" i="3" s="1"/>
  <c r="EN252" i="3"/>
  <c r="EM252" i="3"/>
  <c r="EM257" i="3" s="1"/>
  <c r="EL252" i="3"/>
  <c r="EK252" i="3"/>
  <c r="EJ252" i="3"/>
  <c r="EI252" i="3"/>
  <c r="EI257" i="3" s="1"/>
  <c r="EH252" i="3"/>
  <c r="EG252" i="3"/>
  <c r="EG257" i="3" s="1"/>
  <c r="EF252" i="3"/>
  <c r="EE252" i="3"/>
  <c r="ED252" i="3"/>
  <c r="EC252" i="3"/>
  <c r="EC257" i="3" s="1"/>
  <c r="EB252" i="3"/>
  <c r="EB257" i="3" s="1"/>
  <c r="EA252" i="3"/>
  <c r="DZ252" i="3"/>
  <c r="DZ257" i="3" s="1"/>
  <c r="DY252" i="3"/>
  <c r="DX252" i="3"/>
  <c r="DW252" i="3"/>
  <c r="DV252" i="3"/>
  <c r="DU252" i="3"/>
  <c r="DU257" i="3" s="1"/>
  <c r="DT252" i="3"/>
  <c r="DT257" i="3" s="1"/>
  <c r="DS252" i="3"/>
  <c r="DS257" i="3" s="1"/>
  <c r="DR252" i="3"/>
  <c r="DQ252" i="3"/>
  <c r="DP252" i="3"/>
  <c r="DP257" i="3" s="1"/>
  <c r="DO252" i="3"/>
  <c r="DN252" i="3"/>
  <c r="DM252" i="3"/>
  <c r="DL252" i="3"/>
  <c r="DK252" i="3"/>
  <c r="DJ252" i="3"/>
  <c r="DI252" i="3"/>
  <c r="DH252" i="3"/>
  <c r="DG252" i="3"/>
  <c r="DG257" i="3" s="1"/>
  <c r="DF252" i="3"/>
  <c r="DF257" i="3" s="1"/>
  <c r="DE252" i="3"/>
  <c r="DE257" i="3" s="1"/>
  <c r="DD252" i="3"/>
  <c r="DD257" i="3" s="1"/>
  <c r="DC252" i="3"/>
  <c r="DC257" i="3" s="1"/>
  <c r="DB252" i="3"/>
  <c r="DB257" i="3" s="1"/>
  <c r="DA252" i="3"/>
  <c r="DA257" i="3" s="1"/>
  <c r="CZ252" i="3"/>
  <c r="CY252" i="3"/>
  <c r="CY257" i="3" s="1"/>
  <c r="CX252" i="3"/>
  <c r="CX257" i="3" s="1"/>
  <c r="CW252" i="3"/>
  <c r="CW257" i="3" s="1"/>
  <c r="CV252" i="3"/>
  <c r="CV257" i="3" s="1"/>
  <c r="CU252" i="3"/>
  <c r="CU257" i="3" s="1"/>
  <c r="CT252" i="3"/>
  <c r="CT257" i="3" s="1"/>
  <c r="CS252" i="3"/>
  <c r="CS257" i="3" s="1"/>
  <c r="CR252" i="3"/>
  <c r="CR257" i="3" s="1"/>
  <c r="CQ252" i="3"/>
  <c r="CQ257" i="3" s="1"/>
  <c r="CP252" i="3"/>
  <c r="CP257" i="3" s="1"/>
  <c r="CO252" i="3"/>
  <c r="CN252" i="3"/>
  <c r="CN257" i="3" s="1"/>
  <c r="C257" i="3"/>
  <c r="EE257" i="3" l="1"/>
  <c r="DQ257" i="3"/>
  <c r="CZ257" i="3"/>
  <c r="FQ257" i="3"/>
  <c r="CO257" i="3"/>
  <c r="DJ257" i="3"/>
  <c r="EH257" i="3"/>
  <c r="FT257" i="3"/>
  <c r="DH257" i="3"/>
  <c r="DI257" i="3"/>
  <c r="DR257" i="3"/>
  <c r="EX257" i="3"/>
  <c r="DK257" i="3"/>
  <c r="EA257" i="3"/>
  <c r="EV257" i="3"/>
  <c r="EN257" i="3"/>
  <c r="DY257" i="3"/>
  <c r="EK257" i="3"/>
  <c r="EF257" i="3"/>
  <c r="ER257" i="3"/>
  <c r="DN257" i="3"/>
  <c r="DV257" i="3"/>
  <c r="ED257" i="3"/>
  <c r="EL257" i="3"/>
  <c r="FR257" i="3"/>
  <c r="DX257" i="3"/>
  <c r="DL257" i="3"/>
  <c r="EJ257" i="3"/>
  <c r="DO257" i="3"/>
  <c r="DW257" i="3"/>
  <c r="FS257" i="3"/>
  <c r="DM257" i="3"/>
  <c r="FV257" i="3"/>
  <c r="FW248" i="3"/>
  <c r="FV248" i="3"/>
  <c r="FU248" i="3"/>
  <c r="FT248" i="3"/>
  <c r="FS248" i="3"/>
  <c r="FR248" i="3"/>
  <c r="FQ248" i="3"/>
  <c r="FP248" i="3"/>
  <c r="FO248" i="3"/>
  <c r="FN248" i="3"/>
  <c r="FM248" i="3"/>
  <c r="FL248" i="3"/>
  <c r="FK248" i="3"/>
  <c r="FJ248" i="3"/>
  <c r="FI248" i="3"/>
  <c r="FH248" i="3"/>
  <c r="FG248" i="3"/>
  <c r="FF248" i="3"/>
  <c r="FE248" i="3"/>
  <c r="FD248" i="3"/>
  <c r="FC248" i="3"/>
  <c r="FB248" i="3"/>
  <c r="FA248" i="3"/>
  <c r="EZ248" i="3"/>
  <c r="EY248" i="3"/>
  <c r="EX248" i="3"/>
  <c r="EW248" i="3"/>
  <c r="EV248" i="3"/>
  <c r="EU248" i="3"/>
  <c r="ET248" i="3"/>
  <c r="ES248" i="3"/>
  <c r="ER248" i="3"/>
  <c r="EQ248" i="3"/>
  <c r="EP248" i="3"/>
  <c r="EO248" i="3"/>
  <c r="EN248" i="3"/>
  <c r="EM248" i="3"/>
  <c r="EL248" i="3"/>
  <c r="EK248" i="3"/>
  <c r="EJ248" i="3"/>
  <c r="EI248" i="3"/>
  <c r="EH248" i="3"/>
  <c r="EG248" i="3"/>
  <c r="EF248" i="3"/>
  <c r="EE248" i="3"/>
  <c r="ED248" i="3"/>
  <c r="EC248" i="3"/>
  <c r="EB248" i="3"/>
  <c r="EA248" i="3"/>
  <c r="DZ248" i="3"/>
  <c r="DY248" i="3"/>
  <c r="DX248" i="3"/>
  <c r="DW248" i="3"/>
  <c r="DV248" i="3"/>
  <c r="DU248" i="3"/>
  <c r="DT248" i="3"/>
  <c r="DS248" i="3"/>
  <c r="DR248" i="3"/>
  <c r="DQ248" i="3"/>
  <c r="DP248" i="3"/>
  <c r="DO248" i="3"/>
  <c r="DN248" i="3"/>
  <c r="DM248" i="3"/>
  <c r="DL248" i="3"/>
  <c r="DK248" i="3"/>
  <c r="DJ248" i="3"/>
  <c r="DI248" i="3"/>
  <c r="DH248" i="3"/>
  <c r="DG248" i="3"/>
  <c r="DF248" i="3"/>
  <c r="DE248" i="3"/>
  <c r="DD248" i="3"/>
  <c r="DC248" i="3"/>
  <c r="DB248" i="3"/>
  <c r="DA248" i="3"/>
  <c r="CZ248" i="3"/>
  <c r="CY248" i="3"/>
  <c r="CX248" i="3"/>
  <c r="CW248" i="3"/>
  <c r="CV248" i="3"/>
  <c r="CU248" i="3"/>
  <c r="CT248" i="3"/>
  <c r="CS248" i="3"/>
  <c r="CR248" i="3"/>
  <c r="CQ248" i="3"/>
  <c r="CP248" i="3"/>
  <c r="CO248" i="3"/>
  <c r="CN248" i="3"/>
  <c r="FW247" i="3"/>
  <c r="FV247" i="3"/>
  <c r="FU247" i="3"/>
  <c r="FT247" i="3"/>
  <c r="FS247" i="3"/>
  <c r="FR247" i="3"/>
  <c r="FQ247" i="3"/>
  <c r="FP247" i="3"/>
  <c r="FO247" i="3"/>
  <c r="FN247" i="3"/>
  <c r="FM247" i="3"/>
  <c r="FL247" i="3"/>
  <c r="FK247" i="3"/>
  <c r="FJ247" i="3"/>
  <c r="FI247" i="3"/>
  <c r="FH247" i="3"/>
  <c r="FG247" i="3"/>
  <c r="FF247" i="3"/>
  <c r="FE247" i="3"/>
  <c r="FD247" i="3"/>
  <c r="FC247" i="3"/>
  <c r="FB247" i="3"/>
  <c r="FA247" i="3"/>
  <c r="EZ247" i="3"/>
  <c r="EY247" i="3"/>
  <c r="EX247" i="3"/>
  <c r="EW247" i="3"/>
  <c r="EV247" i="3"/>
  <c r="EU247" i="3"/>
  <c r="ET247" i="3"/>
  <c r="ES247" i="3"/>
  <c r="ER247" i="3"/>
  <c r="EQ247" i="3"/>
  <c r="EP247" i="3"/>
  <c r="EO247" i="3"/>
  <c r="EN247" i="3"/>
  <c r="EM247" i="3"/>
  <c r="EL247" i="3"/>
  <c r="EK247" i="3"/>
  <c r="EJ247" i="3"/>
  <c r="EI247" i="3"/>
  <c r="EH247" i="3"/>
  <c r="EG247" i="3"/>
  <c r="EF247" i="3"/>
  <c r="EE247" i="3"/>
  <c r="ED247" i="3"/>
  <c r="EC247" i="3"/>
  <c r="EB247" i="3"/>
  <c r="EA247" i="3"/>
  <c r="DZ247" i="3"/>
  <c r="DY247" i="3"/>
  <c r="DX247" i="3"/>
  <c r="DW247" i="3"/>
  <c r="DV247" i="3"/>
  <c r="DU247" i="3"/>
  <c r="DT247" i="3"/>
  <c r="DS247" i="3"/>
  <c r="DR247" i="3"/>
  <c r="DQ247" i="3"/>
  <c r="DP247" i="3"/>
  <c r="DO247" i="3"/>
  <c r="DN247" i="3"/>
  <c r="DM247" i="3"/>
  <c r="DL247" i="3"/>
  <c r="DK247" i="3"/>
  <c r="DJ247" i="3"/>
  <c r="DI247" i="3"/>
  <c r="DH247" i="3"/>
  <c r="DG247" i="3"/>
  <c r="DF247" i="3"/>
  <c r="DE247" i="3"/>
  <c r="DD247" i="3"/>
  <c r="DC247" i="3"/>
  <c r="DB247" i="3"/>
  <c r="DA247" i="3"/>
  <c r="CZ247" i="3"/>
  <c r="CY247" i="3"/>
  <c r="CX247" i="3"/>
  <c r="CW247" i="3"/>
  <c r="CV247" i="3"/>
  <c r="CU247" i="3"/>
  <c r="CT247" i="3"/>
  <c r="CS247" i="3"/>
  <c r="CR247" i="3"/>
  <c r="CQ247" i="3"/>
  <c r="CP247" i="3"/>
  <c r="CO247" i="3"/>
  <c r="CN247" i="3"/>
  <c r="FW246" i="3"/>
  <c r="FV246" i="3"/>
  <c r="FU246" i="3"/>
  <c r="FT246" i="3"/>
  <c r="FS246" i="3"/>
  <c r="FR246" i="3"/>
  <c r="FQ246" i="3"/>
  <c r="FP246" i="3"/>
  <c r="FO246" i="3"/>
  <c r="FN246" i="3"/>
  <c r="FM246" i="3"/>
  <c r="FL246" i="3"/>
  <c r="FK246" i="3"/>
  <c r="FJ246" i="3"/>
  <c r="FI246" i="3"/>
  <c r="FH246" i="3"/>
  <c r="FG246" i="3"/>
  <c r="FF246" i="3"/>
  <c r="FE246" i="3"/>
  <c r="FD246" i="3"/>
  <c r="FC246" i="3"/>
  <c r="FB246" i="3"/>
  <c r="FA246" i="3"/>
  <c r="EZ246" i="3"/>
  <c r="EY246" i="3"/>
  <c r="EX246" i="3"/>
  <c r="EW246" i="3"/>
  <c r="EV246" i="3"/>
  <c r="EU246" i="3"/>
  <c r="ET246" i="3"/>
  <c r="ES246" i="3"/>
  <c r="ER246" i="3"/>
  <c r="EQ246" i="3"/>
  <c r="EP246" i="3"/>
  <c r="EO246" i="3"/>
  <c r="EN246" i="3"/>
  <c r="EM246" i="3"/>
  <c r="EL246" i="3"/>
  <c r="EK246" i="3"/>
  <c r="EJ246" i="3"/>
  <c r="EI246" i="3"/>
  <c r="EH246" i="3"/>
  <c r="EG246" i="3"/>
  <c r="EF246" i="3"/>
  <c r="EE246" i="3"/>
  <c r="ED246" i="3"/>
  <c r="EC246" i="3"/>
  <c r="EB246" i="3"/>
  <c r="EA246" i="3"/>
  <c r="DZ246" i="3"/>
  <c r="DY246" i="3"/>
  <c r="DX246" i="3"/>
  <c r="DW246" i="3"/>
  <c r="DV246" i="3"/>
  <c r="DU246" i="3"/>
  <c r="DT246" i="3"/>
  <c r="DS246" i="3"/>
  <c r="DR246" i="3"/>
  <c r="DQ246" i="3"/>
  <c r="DP246" i="3"/>
  <c r="DO246" i="3"/>
  <c r="DN246" i="3"/>
  <c r="DM246" i="3"/>
  <c r="DL246" i="3"/>
  <c r="DK246" i="3"/>
  <c r="DJ246" i="3"/>
  <c r="DI246" i="3"/>
  <c r="DH246" i="3"/>
  <c r="DG246" i="3"/>
  <c r="DF246" i="3"/>
  <c r="DE246" i="3"/>
  <c r="DD246" i="3"/>
  <c r="DC246" i="3"/>
  <c r="DB246" i="3"/>
  <c r="DA246" i="3"/>
  <c r="CZ246" i="3"/>
  <c r="CY246" i="3"/>
  <c r="CX246" i="3"/>
  <c r="CW246" i="3"/>
  <c r="CV246" i="3"/>
  <c r="CU246" i="3"/>
  <c r="CT246" i="3"/>
  <c r="CS246" i="3"/>
  <c r="CR246" i="3"/>
  <c r="CQ246" i="3"/>
  <c r="CP246" i="3"/>
  <c r="CO246" i="3"/>
  <c r="CN246" i="3"/>
  <c r="FW245" i="3"/>
  <c r="FV245" i="3"/>
  <c r="FU245" i="3"/>
  <c r="FT245" i="3"/>
  <c r="FS245" i="3"/>
  <c r="FR245" i="3"/>
  <c r="FQ245" i="3"/>
  <c r="FP245" i="3"/>
  <c r="FO245" i="3"/>
  <c r="FN245" i="3"/>
  <c r="FM245" i="3"/>
  <c r="FL245" i="3"/>
  <c r="FK245" i="3"/>
  <c r="FJ245" i="3"/>
  <c r="FI245" i="3"/>
  <c r="FH245" i="3"/>
  <c r="FG245" i="3"/>
  <c r="FF245" i="3"/>
  <c r="FE245" i="3"/>
  <c r="FD245" i="3"/>
  <c r="FC245" i="3"/>
  <c r="FB245" i="3"/>
  <c r="FA245" i="3"/>
  <c r="EZ245" i="3"/>
  <c r="EY245" i="3"/>
  <c r="EX245" i="3"/>
  <c r="EW245" i="3"/>
  <c r="EV245" i="3"/>
  <c r="EU245" i="3"/>
  <c r="ET245" i="3"/>
  <c r="ES245" i="3"/>
  <c r="ER245" i="3"/>
  <c r="EQ245" i="3"/>
  <c r="EP245" i="3"/>
  <c r="EO245" i="3"/>
  <c r="EN245" i="3"/>
  <c r="EM245" i="3"/>
  <c r="EL245" i="3"/>
  <c r="EK245" i="3"/>
  <c r="EJ245" i="3"/>
  <c r="EI245" i="3"/>
  <c r="EH245" i="3"/>
  <c r="EG245" i="3"/>
  <c r="EF245" i="3"/>
  <c r="EE245" i="3"/>
  <c r="ED245" i="3"/>
  <c r="EC245" i="3"/>
  <c r="EB245" i="3"/>
  <c r="EA245" i="3"/>
  <c r="DZ245" i="3"/>
  <c r="DY245" i="3"/>
  <c r="DX245" i="3"/>
  <c r="DW245" i="3"/>
  <c r="DV245" i="3"/>
  <c r="DU245" i="3"/>
  <c r="DT245" i="3"/>
  <c r="DS245" i="3"/>
  <c r="DR245" i="3"/>
  <c r="DQ245" i="3"/>
  <c r="DP245" i="3"/>
  <c r="DO245" i="3"/>
  <c r="DN245" i="3"/>
  <c r="DM245" i="3"/>
  <c r="DL245" i="3"/>
  <c r="DK245" i="3"/>
  <c r="DJ245" i="3"/>
  <c r="DI245" i="3"/>
  <c r="DH245" i="3"/>
  <c r="DG245" i="3"/>
  <c r="DF245" i="3"/>
  <c r="DE245" i="3"/>
  <c r="DD245" i="3"/>
  <c r="DC245" i="3"/>
  <c r="DB245" i="3"/>
  <c r="DA245" i="3"/>
  <c r="CZ245" i="3"/>
  <c r="CY245" i="3"/>
  <c r="CX245" i="3"/>
  <c r="CW245" i="3"/>
  <c r="CV245" i="3"/>
  <c r="CU245" i="3"/>
  <c r="CT245" i="3"/>
  <c r="CS245" i="3"/>
  <c r="CR245" i="3"/>
  <c r="CQ245" i="3"/>
  <c r="CP245" i="3"/>
  <c r="CO245" i="3"/>
  <c r="CN245" i="3"/>
  <c r="FW244" i="3"/>
  <c r="FV244" i="3"/>
  <c r="FU244" i="3"/>
  <c r="FT244" i="3"/>
  <c r="FS244" i="3"/>
  <c r="FR244" i="3"/>
  <c r="FQ244" i="3"/>
  <c r="FP244" i="3"/>
  <c r="FO244" i="3"/>
  <c r="FN244" i="3"/>
  <c r="FM244" i="3"/>
  <c r="FL244" i="3"/>
  <c r="FK244" i="3"/>
  <c r="FJ244" i="3"/>
  <c r="FI244" i="3"/>
  <c r="FH244" i="3"/>
  <c r="FG244" i="3"/>
  <c r="FF244" i="3"/>
  <c r="FE244" i="3"/>
  <c r="FD244" i="3"/>
  <c r="FC244" i="3"/>
  <c r="FB244" i="3"/>
  <c r="FA244" i="3"/>
  <c r="EZ244" i="3"/>
  <c r="EY244" i="3"/>
  <c r="EX244" i="3"/>
  <c r="EW244" i="3"/>
  <c r="EV244" i="3"/>
  <c r="EU244" i="3"/>
  <c r="ET244" i="3"/>
  <c r="ES244" i="3"/>
  <c r="ER244" i="3"/>
  <c r="EQ244" i="3"/>
  <c r="EP244" i="3"/>
  <c r="EO244" i="3"/>
  <c r="EN244" i="3"/>
  <c r="EM244" i="3"/>
  <c r="EL244" i="3"/>
  <c r="EK244" i="3"/>
  <c r="EJ244" i="3"/>
  <c r="EI244" i="3"/>
  <c r="EH244" i="3"/>
  <c r="EG244" i="3"/>
  <c r="EF244" i="3"/>
  <c r="EE244" i="3"/>
  <c r="ED244" i="3"/>
  <c r="EC244" i="3"/>
  <c r="EB244" i="3"/>
  <c r="EA244" i="3"/>
  <c r="DZ244" i="3"/>
  <c r="DY244" i="3"/>
  <c r="DX244" i="3"/>
  <c r="DW244" i="3"/>
  <c r="DV244" i="3"/>
  <c r="DU244" i="3"/>
  <c r="DT244" i="3"/>
  <c r="DS244" i="3"/>
  <c r="DR244" i="3"/>
  <c r="DQ244" i="3"/>
  <c r="DP244" i="3"/>
  <c r="DO244" i="3"/>
  <c r="DN244" i="3"/>
  <c r="DM244" i="3"/>
  <c r="DL244" i="3"/>
  <c r="DK244" i="3"/>
  <c r="DJ244" i="3"/>
  <c r="DI244" i="3"/>
  <c r="DH244" i="3"/>
  <c r="DG244" i="3"/>
  <c r="DF244" i="3"/>
  <c r="DE244" i="3"/>
  <c r="DD244" i="3"/>
  <c r="DC244" i="3"/>
  <c r="DB244" i="3"/>
  <c r="DA244" i="3"/>
  <c r="CZ244" i="3"/>
  <c r="CY244" i="3"/>
  <c r="CX244" i="3"/>
  <c r="CW244" i="3"/>
  <c r="CV244" i="3"/>
  <c r="CU244" i="3"/>
  <c r="CT244" i="3"/>
  <c r="CS244" i="3"/>
  <c r="CR244" i="3"/>
  <c r="CQ244" i="3"/>
  <c r="CP244" i="3"/>
  <c r="CO244" i="3"/>
  <c r="CN244" i="3"/>
  <c r="FW243" i="3"/>
  <c r="FV243" i="3"/>
  <c r="FU243" i="3"/>
  <c r="FT243" i="3"/>
  <c r="FS243" i="3"/>
  <c r="FR243" i="3"/>
  <c r="FQ243" i="3"/>
  <c r="FP243" i="3"/>
  <c r="FO243" i="3"/>
  <c r="FN243" i="3"/>
  <c r="FM243" i="3"/>
  <c r="FL243" i="3"/>
  <c r="FK243" i="3"/>
  <c r="FJ243" i="3"/>
  <c r="FI243" i="3"/>
  <c r="FH243" i="3"/>
  <c r="FG243" i="3"/>
  <c r="FF243" i="3"/>
  <c r="FE243" i="3"/>
  <c r="FD243" i="3"/>
  <c r="FC243" i="3"/>
  <c r="FB243" i="3"/>
  <c r="FA243" i="3"/>
  <c r="EZ243" i="3"/>
  <c r="EY243" i="3"/>
  <c r="EX243" i="3"/>
  <c r="EW243" i="3"/>
  <c r="EV243" i="3"/>
  <c r="EU243" i="3"/>
  <c r="ET243" i="3"/>
  <c r="ES243" i="3"/>
  <c r="ER243" i="3"/>
  <c r="EQ243" i="3"/>
  <c r="EP243" i="3"/>
  <c r="EO243" i="3"/>
  <c r="EN243" i="3"/>
  <c r="EM243" i="3"/>
  <c r="EL243" i="3"/>
  <c r="EK243" i="3"/>
  <c r="EJ243" i="3"/>
  <c r="EI243" i="3"/>
  <c r="EH243" i="3"/>
  <c r="EG243" i="3"/>
  <c r="EF243" i="3"/>
  <c r="EE243" i="3"/>
  <c r="ED243" i="3"/>
  <c r="EC243" i="3"/>
  <c r="EB243" i="3"/>
  <c r="EA243" i="3"/>
  <c r="DZ243" i="3"/>
  <c r="DY243" i="3"/>
  <c r="DX243" i="3"/>
  <c r="DW243" i="3"/>
  <c r="DV243" i="3"/>
  <c r="DU243" i="3"/>
  <c r="DT243" i="3"/>
  <c r="DS243" i="3"/>
  <c r="DR243" i="3"/>
  <c r="DQ243" i="3"/>
  <c r="DP243" i="3"/>
  <c r="DO243" i="3"/>
  <c r="DN243" i="3"/>
  <c r="DM243" i="3"/>
  <c r="DL243" i="3"/>
  <c r="DK243" i="3"/>
  <c r="DJ243" i="3"/>
  <c r="DI243" i="3"/>
  <c r="DH243" i="3"/>
  <c r="DG243" i="3"/>
  <c r="DF243" i="3"/>
  <c r="DE243" i="3"/>
  <c r="DD243" i="3"/>
  <c r="DC243" i="3"/>
  <c r="DB243" i="3"/>
  <c r="DA243" i="3"/>
  <c r="CZ243" i="3"/>
  <c r="CY243" i="3"/>
  <c r="CX243" i="3"/>
  <c r="CW243" i="3"/>
  <c r="CV243" i="3"/>
  <c r="CU243" i="3"/>
  <c r="CT243" i="3"/>
  <c r="CS243" i="3"/>
  <c r="CR243" i="3"/>
  <c r="CQ243" i="3"/>
  <c r="CP243" i="3"/>
  <c r="CO243" i="3"/>
  <c r="CN243" i="3"/>
  <c r="FW242" i="3"/>
  <c r="FV242" i="3"/>
  <c r="FU242" i="3"/>
  <c r="FT242" i="3"/>
  <c r="FS242" i="3"/>
  <c r="FR242" i="3"/>
  <c r="FQ242" i="3"/>
  <c r="FP242" i="3"/>
  <c r="FO242" i="3"/>
  <c r="FN242" i="3"/>
  <c r="FM242" i="3"/>
  <c r="FL242" i="3"/>
  <c r="FK242" i="3"/>
  <c r="FJ242" i="3"/>
  <c r="FI242" i="3"/>
  <c r="FH242" i="3"/>
  <c r="FG242" i="3"/>
  <c r="FF242" i="3"/>
  <c r="FE242" i="3"/>
  <c r="FD242" i="3"/>
  <c r="FC242" i="3"/>
  <c r="FB242" i="3"/>
  <c r="FA242" i="3"/>
  <c r="EZ242" i="3"/>
  <c r="EY242" i="3"/>
  <c r="EX242" i="3"/>
  <c r="EW242" i="3"/>
  <c r="EV242" i="3"/>
  <c r="EU242" i="3"/>
  <c r="ET242" i="3"/>
  <c r="ES242" i="3"/>
  <c r="ER242" i="3"/>
  <c r="EQ242" i="3"/>
  <c r="EP242" i="3"/>
  <c r="EO242" i="3"/>
  <c r="EN242" i="3"/>
  <c r="EM242" i="3"/>
  <c r="EL242" i="3"/>
  <c r="EK242" i="3"/>
  <c r="EJ242" i="3"/>
  <c r="EI242" i="3"/>
  <c r="EH242" i="3"/>
  <c r="EG242" i="3"/>
  <c r="EF242" i="3"/>
  <c r="EE242" i="3"/>
  <c r="ED242" i="3"/>
  <c r="EC242" i="3"/>
  <c r="EB242" i="3"/>
  <c r="EA242" i="3"/>
  <c r="DZ242" i="3"/>
  <c r="DY242" i="3"/>
  <c r="DX242" i="3"/>
  <c r="DW242" i="3"/>
  <c r="DV242" i="3"/>
  <c r="DU242" i="3"/>
  <c r="DT242" i="3"/>
  <c r="DS242" i="3"/>
  <c r="DR242" i="3"/>
  <c r="DQ242" i="3"/>
  <c r="DP242" i="3"/>
  <c r="DO242" i="3"/>
  <c r="DN242" i="3"/>
  <c r="DM242" i="3"/>
  <c r="DL242" i="3"/>
  <c r="DK242" i="3"/>
  <c r="DJ242" i="3"/>
  <c r="DI242" i="3"/>
  <c r="DH242" i="3"/>
  <c r="DG242" i="3"/>
  <c r="DF242" i="3"/>
  <c r="DE242" i="3"/>
  <c r="DD242" i="3"/>
  <c r="DC242" i="3"/>
  <c r="DB242" i="3"/>
  <c r="DA242" i="3"/>
  <c r="CZ242" i="3"/>
  <c r="CY242" i="3"/>
  <c r="CX242" i="3"/>
  <c r="CW242" i="3"/>
  <c r="CV242" i="3"/>
  <c r="CU242" i="3"/>
  <c r="CT242" i="3"/>
  <c r="CS242" i="3"/>
  <c r="CR242" i="3"/>
  <c r="CQ242" i="3"/>
  <c r="CP242" i="3"/>
  <c r="CO242" i="3"/>
  <c r="CN242" i="3"/>
  <c r="FW241" i="3"/>
  <c r="FV241" i="3"/>
  <c r="FU241" i="3"/>
  <c r="FT241" i="3"/>
  <c r="FS241" i="3"/>
  <c r="FR241" i="3"/>
  <c r="FQ241" i="3"/>
  <c r="FP241" i="3"/>
  <c r="FO241" i="3"/>
  <c r="FN241" i="3"/>
  <c r="FM241" i="3"/>
  <c r="FL241" i="3"/>
  <c r="FK241" i="3"/>
  <c r="FJ241" i="3"/>
  <c r="FI241" i="3"/>
  <c r="FH241" i="3"/>
  <c r="FG241" i="3"/>
  <c r="FF241" i="3"/>
  <c r="FE241" i="3"/>
  <c r="FD241" i="3"/>
  <c r="FC241" i="3"/>
  <c r="FB241" i="3"/>
  <c r="FA241" i="3"/>
  <c r="EZ241" i="3"/>
  <c r="EY241" i="3"/>
  <c r="EX241" i="3"/>
  <c r="EW241" i="3"/>
  <c r="EV241" i="3"/>
  <c r="EU241" i="3"/>
  <c r="ET241" i="3"/>
  <c r="ES241" i="3"/>
  <c r="ER241" i="3"/>
  <c r="EQ241" i="3"/>
  <c r="EP241" i="3"/>
  <c r="EO241" i="3"/>
  <c r="EN241" i="3"/>
  <c r="EM241" i="3"/>
  <c r="EL241" i="3"/>
  <c r="EK241" i="3"/>
  <c r="EJ241" i="3"/>
  <c r="EI241" i="3"/>
  <c r="EH241" i="3"/>
  <c r="EG241" i="3"/>
  <c r="EF241" i="3"/>
  <c r="EE241" i="3"/>
  <c r="ED241" i="3"/>
  <c r="EC241" i="3"/>
  <c r="EB241" i="3"/>
  <c r="EA241" i="3"/>
  <c r="DZ241" i="3"/>
  <c r="DY241" i="3"/>
  <c r="DX241" i="3"/>
  <c r="DW241" i="3"/>
  <c r="DV241" i="3"/>
  <c r="DU241" i="3"/>
  <c r="DT241" i="3"/>
  <c r="DS241" i="3"/>
  <c r="DR241" i="3"/>
  <c r="DQ241" i="3"/>
  <c r="DP241" i="3"/>
  <c r="DO241" i="3"/>
  <c r="DN241" i="3"/>
  <c r="DM241" i="3"/>
  <c r="DL241" i="3"/>
  <c r="DK241" i="3"/>
  <c r="DJ241" i="3"/>
  <c r="DI241" i="3"/>
  <c r="DH241" i="3"/>
  <c r="DG241" i="3"/>
  <c r="DF241" i="3"/>
  <c r="DE241" i="3"/>
  <c r="DD241" i="3"/>
  <c r="DC241" i="3"/>
  <c r="DB241" i="3"/>
  <c r="DA241" i="3"/>
  <c r="CZ241" i="3"/>
  <c r="CY241" i="3"/>
  <c r="CX241" i="3"/>
  <c r="CW241" i="3"/>
  <c r="CV241" i="3"/>
  <c r="CU241" i="3"/>
  <c r="CT241" i="3"/>
  <c r="CS241" i="3"/>
  <c r="CR241" i="3"/>
  <c r="CQ241" i="3"/>
  <c r="CP241" i="3"/>
  <c r="CO241" i="3"/>
  <c r="CN241" i="3"/>
  <c r="FW240" i="3"/>
  <c r="FV240" i="3"/>
  <c r="FU240" i="3"/>
  <c r="FT240" i="3"/>
  <c r="FS240" i="3"/>
  <c r="FR240" i="3"/>
  <c r="FQ240" i="3"/>
  <c r="FP240" i="3"/>
  <c r="FO240" i="3"/>
  <c r="FN240" i="3"/>
  <c r="FM240" i="3"/>
  <c r="FL240" i="3"/>
  <c r="FK240" i="3"/>
  <c r="FJ240" i="3"/>
  <c r="FI240" i="3"/>
  <c r="FH240" i="3"/>
  <c r="FG240" i="3"/>
  <c r="FF240" i="3"/>
  <c r="FE240" i="3"/>
  <c r="FD240" i="3"/>
  <c r="FC240" i="3"/>
  <c r="FB240" i="3"/>
  <c r="FA240" i="3"/>
  <c r="EZ240" i="3"/>
  <c r="EY240" i="3"/>
  <c r="EX240" i="3"/>
  <c r="EW240" i="3"/>
  <c r="EV240" i="3"/>
  <c r="EU240" i="3"/>
  <c r="ET240" i="3"/>
  <c r="ES240" i="3"/>
  <c r="ER240" i="3"/>
  <c r="EQ240" i="3"/>
  <c r="EP240" i="3"/>
  <c r="EO240" i="3"/>
  <c r="EN240" i="3"/>
  <c r="EM240" i="3"/>
  <c r="EL240" i="3"/>
  <c r="EK240" i="3"/>
  <c r="EJ240" i="3"/>
  <c r="EI240" i="3"/>
  <c r="EH240" i="3"/>
  <c r="EG240" i="3"/>
  <c r="EF240" i="3"/>
  <c r="EE240" i="3"/>
  <c r="ED240" i="3"/>
  <c r="EC240" i="3"/>
  <c r="EB240" i="3"/>
  <c r="EA240" i="3"/>
  <c r="DZ240" i="3"/>
  <c r="DY240" i="3"/>
  <c r="DX240" i="3"/>
  <c r="DW240" i="3"/>
  <c r="DV240" i="3"/>
  <c r="DU240" i="3"/>
  <c r="DT240" i="3"/>
  <c r="DS240" i="3"/>
  <c r="DR240" i="3"/>
  <c r="DQ240" i="3"/>
  <c r="DP240" i="3"/>
  <c r="DO240" i="3"/>
  <c r="DN240" i="3"/>
  <c r="DM240" i="3"/>
  <c r="DL240" i="3"/>
  <c r="DK240" i="3"/>
  <c r="DJ240" i="3"/>
  <c r="DI240" i="3"/>
  <c r="DH240" i="3"/>
  <c r="DG240" i="3"/>
  <c r="DF240" i="3"/>
  <c r="DE240" i="3"/>
  <c r="DD240" i="3"/>
  <c r="DC240" i="3"/>
  <c r="DB240" i="3"/>
  <c r="DA240" i="3"/>
  <c r="CZ240" i="3"/>
  <c r="CY240" i="3"/>
  <c r="CX240" i="3"/>
  <c r="CW240" i="3"/>
  <c r="CV240" i="3"/>
  <c r="CU240" i="3"/>
  <c r="CT240" i="3"/>
  <c r="CS240" i="3"/>
  <c r="CR240" i="3"/>
  <c r="CQ240" i="3"/>
  <c r="CP240" i="3"/>
  <c r="CO240" i="3"/>
  <c r="CN240" i="3"/>
  <c r="C249" i="3"/>
  <c r="FW239" i="3"/>
  <c r="FV239" i="3"/>
  <c r="FU239" i="3"/>
  <c r="FT239" i="3"/>
  <c r="FS239" i="3"/>
  <c r="FR239" i="3"/>
  <c r="FQ239" i="3"/>
  <c r="FP239" i="3"/>
  <c r="FO239" i="3"/>
  <c r="FN239" i="3"/>
  <c r="FM239" i="3"/>
  <c r="FL239" i="3"/>
  <c r="FK239" i="3"/>
  <c r="FJ239" i="3"/>
  <c r="FI239" i="3"/>
  <c r="FH239" i="3"/>
  <c r="FG239" i="3"/>
  <c r="FF239" i="3"/>
  <c r="FE239" i="3"/>
  <c r="FD239" i="3"/>
  <c r="FC239" i="3"/>
  <c r="FB239" i="3"/>
  <c r="FA239" i="3"/>
  <c r="EZ239" i="3"/>
  <c r="EY239" i="3"/>
  <c r="EX239" i="3"/>
  <c r="EW239" i="3"/>
  <c r="EV239" i="3"/>
  <c r="EU239" i="3"/>
  <c r="ET239" i="3"/>
  <c r="ES239" i="3"/>
  <c r="ER239" i="3"/>
  <c r="EQ239" i="3"/>
  <c r="EP239" i="3"/>
  <c r="EO239" i="3"/>
  <c r="EN239" i="3"/>
  <c r="EM239" i="3"/>
  <c r="EL239" i="3"/>
  <c r="EK239" i="3"/>
  <c r="EJ239" i="3"/>
  <c r="EI239" i="3"/>
  <c r="EH239" i="3"/>
  <c r="EG239" i="3"/>
  <c r="EF239" i="3"/>
  <c r="EE239" i="3"/>
  <c r="ED239" i="3"/>
  <c r="EC239" i="3"/>
  <c r="EB239" i="3"/>
  <c r="EA239" i="3"/>
  <c r="DZ239" i="3"/>
  <c r="DY239" i="3"/>
  <c r="DX239" i="3"/>
  <c r="DW239" i="3"/>
  <c r="DV239" i="3"/>
  <c r="DU239" i="3"/>
  <c r="DT239" i="3"/>
  <c r="DS239" i="3"/>
  <c r="DR239" i="3"/>
  <c r="DQ239" i="3"/>
  <c r="DP239" i="3"/>
  <c r="DO239" i="3"/>
  <c r="DN239" i="3"/>
  <c r="DM239" i="3"/>
  <c r="DL239" i="3"/>
  <c r="DK239" i="3"/>
  <c r="DJ239" i="3"/>
  <c r="DI239" i="3"/>
  <c r="DH239" i="3"/>
  <c r="DG239" i="3"/>
  <c r="DF239" i="3"/>
  <c r="DE239" i="3"/>
  <c r="DD239" i="3"/>
  <c r="DC239" i="3"/>
  <c r="DB239" i="3"/>
  <c r="DA239" i="3"/>
  <c r="CZ239" i="3"/>
  <c r="CY239" i="3"/>
  <c r="CX239" i="3"/>
  <c r="CW239" i="3"/>
  <c r="CV239" i="3"/>
  <c r="CU239" i="3"/>
  <c r="CT239" i="3"/>
  <c r="CS239" i="3"/>
  <c r="CR239" i="3"/>
  <c r="CQ239" i="3"/>
  <c r="CP239" i="3"/>
  <c r="CO239" i="3"/>
  <c r="CN239" i="3"/>
  <c r="DC249" i="3" l="1"/>
  <c r="CO249" i="3"/>
  <c r="CW249" i="3"/>
  <c r="DE249" i="3"/>
  <c r="DU249" i="3"/>
  <c r="EC249" i="3"/>
  <c r="EK249" i="3"/>
  <c r="ES249" i="3"/>
  <c r="FA249" i="3"/>
  <c r="FI249" i="3"/>
  <c r="FQ249" i="3"/>
  <c r="DG249" i="3"/>
  <c r="FK249" i="3"/>
  <c r="FG249" i="3"/>
  <c r="CS249" i="3"/>
  <c r="DA249" i="3"/>
  <c r="DI249" i="3"/>
  <c r="DQ249" i="3"/>
  <c r="DY249" i="3"/>
  <c r="EG249" i="3"/>
  <c r="EO249" i="3"/>
  <c r="EW249" i="3"/>
  <c r="FE249" i="3"/>
  <c r="FM249" i="3"/>
  <c r="FO249" i="3"/>
  <c r="CP249" i="3"/>
  <c r="DF249" i="3"/>
  <c r="CT249" i="3"/>
  <c r="DZ249" i="3"/>
  <c r="CZ249" i="3"/>
  <c r="DH249" i="3"/>
  <c r="DP249" i="3"/>
  <c r="FD249" i="3"/>
  <c r="FL249" i="3"/>
  <c r="DN249" i="3"/>
  <c r="DV249" i="3"/>
  <c r="ED249" i="3"/>
  <c r="EL249" i="3"/>
  <c r="FB249" i="3"/>
  <c r="FJ249" i="3"/>
  <c r="FU249" i="3"/>
  <c r="CN249" i="3"/>
  <c r="CV249" i="3"/>
  <c r="DD249" i="3"/>
  <c r="DT249" i="3"/>
  <c r="EB249" i="3"/>
  <c r="EZ249" i="3"/>
  <c r="FH249" i="3"/>
  <c r="FP249" i="3"/>
  <c r="DS249" i="3"/>
  <c r="EA249" i="3"/>
  <c r="EY249" i="3"/>
  <c r="EE249" i="3"/>
  <c r="EM249" i="3"/>
  <c r="EU249" i="3"/>
  <c r="FC249" i="3"/>
  <c r="DB249" i="3"/>
  <c r="DJ249" i="3"/>
  <c r="DR249" i="3"/>
  <c r="EH249" i="3"/>
  <c r="EP249" i="3"/>
  <c r="EX249" i="3"/>
  <c r="FN249" i="3"/>
  <c r="FV249" i="3"/>
  <c r="CU249" i="3"/>
  <c r="DX249" i="3"/>
  <c r="EN249" i="3"/>
  <c r="CR249" i="3"/>
  <c r="EF249" i="3"/>
  <c r="EV249" i="3"/>
  <c r="FT249" i="3"/>
  <c r="DK249" i="3"/>
  <c r="EI249" i="3"/>
  <c r="EQ249" i="3"/>
  <c r="FW249" i="3"/>
  <c r="FF249" i="3"/>
  <c r="DL249" i="3"/>
  <c r="EJ249" i="3"/>
  <c r="ER249" i="3"/>
  <c r="DO249" i="3"/>
  <c r="FS249" i="3"/>
  <c r="ET249" i="3"/>
  <c r="CQ249" i="3"/>
  <c r="CY249" i="3"/>
  <c r="FR249" i="3"/>
  <c r="DW249" i="3"/>
  <c r="CX249" i="3"/>
  <c r="DM249" i="3"/>
  <c r="FW235" i="3"/>
  <c r="FV235" i="3"/>
  <c r="FU235" i="3"/>
  <c r="FT235" i="3"/>
  <c r="FS235" i="3"/>
  <c r="FR235" i="3"/>
  <c r="FQ235" i="3"/>
  <c r="FP235" i="3"/>
  <c r="FO235" i="3"/>
  <c r="FN235" i="3"/>
  <c r="FM235" i="3"/>
  <c r="FL235" i="3"/>
  <c r="FK235" i="3"/>
  <c r="FJ235" i="3"/>
  <c r="FI235" i="3"/>
  <c r="FH235" i="3"/>
  <c r="FG235" i="3"/>
  <c r="FF235" i="3"/>
  <c r="FE235" i="3"/>
  <c r="FD235" i="3"/>
  <c r="FC235" i="3"/>
  <c r="FB235" i="3"/>
  <c r="FA235" i="3"/>
  <c r="EZ235" i="3"/>
  <c r="EY235" i="3"/>
  <c r="EX235" i="3"/>
  <c r="EW235" i="3"/>
  <c r="EV235" i="3"/>
  <c r="EU235" i="3"/>
  <c r="ET235" i="3"/>
  <c r="ES235" i="3"/>
  <c r="ER235" i="3"/>
  <c r="EQ235" i="3"/>
  <c r="EP235" i="3"/>
  <c r="EO235" i="3"/>
  <c r="EN235" i="3"/>
  <c r="EM235" i="3"/>
  <c r="EL235" i="3"/>
  <c r="EK235" i="3"/>
  <c r="EJ235" i="3"/>
  <c r="EI235" i="3"/>
  <c r="EH235" i="3"/>
  <c r="EG235" i="3"/>
  <c r="EF235" i="3"/>
  <c r="EE235" i="3"/>
  <c r="ED235" i="3"/>
  <c r="EC235" i="3"/>
  <c r="EB235" i="3"/>
  <c r="EA235" i="3"/>
  <c r="DZ235" i="3"/>
  <c r="DY235" i="3"/>
  <c r="DX235" i="3"/>
  <c r="DW235" i="3"/>
  <c r="DV235" i="3"/>
  <c r="DU235" i="3"/>
  <c r="DT235" i="3"/>
  <c r="DS235" i="3"/>
  <c r="DR235" i="3"/>
  <c r="DQ235" i="3"/>
  <c r="DP235" i="3"/>
  <c r="DO235" i="3"/>
  <c r="DN235" i="3"/>
  <c r="DM235" i="3"/>
  <c r="DL235" i="3"/>
  <c r="DK235" i="3"/>
  <c r="DJ235" i="3"/>
  <c r="DI235" i="3"/>
  <c r="DH235" i="3"/>
  <c r="DG235" i="3"/>
  <c r="DF235" i="3"/>
  <c r="DE235" i="3"/>
  <c r="DD235" i="3"/>
  <c r="DC235" i="3"/>
  <c r="DB235" i="3"/>
  <c r="DA235" i="3"/>
  <c r="CZ235" i="3"/>
  <c r="CY235" i="3"/>
  <c r="CX235" i="3"/>
  <c r="CW235" i="3"/>
  <c r="CV235" i="3"/>
  <c r="CU235" i="3"/>
  <c r="CT235" i="3"/>
  <c r="CS235" i="3"/>
  <c r="CR235" i="3"/>
  <c r="CQ235" i="3"/>
  <c r="CP235" i="3"/>
  <c r="CO235" i="3"/>
  <c r="CN235" i="3"/>
  <c r="FW234" i="3"/>
  <c r="FV234" i="3"/>
  <c r="FU234" i="3"/>
  <c r="FT234" i="3"/>
  <c r="FS234" i="3"/>
  <c r="FR234" i="3"/>
  <c r="FQ234" i="3"/>
  <c r="FP234" i="3"/>
  <c r="FO234" i="3"/>
  <c r="FN234" i="3"/>
  <c r="FM234" i="3"/>
  <c r="FL234" i="3"/>
  <c r="FK234" i="3"/>
  <c r="FJ234" i="3"/>
  <c r="FI234" i="3"/>
  <c r="FH234" i="3"/>
  <c r="FG234" i="3"/>
  <c r="FF234" i="3"/>
  <c r="FE234" i="3"/>
  <c r="FD234" i="3"/>
  <c r="FC234" i="3"/>
  <c r="FB234" i="3"/>
  <c r="FA234" i="3"/>
  <c r="EZ234" i="3"/>
  <c r="EY234" i="3"/>
  <c r="EX234" i="3"/>
  <c r="EW234" i="3"/>
  <c r="EV234" i="3"/>
  <c r="EU234" i="3"/>
  <c r="ET234" i="3"/>
  <c r="ES234" i="3"/>
  <c r="ER234" i="3"/>
  <c r="EQ234" i="3"/>
  <c r="EP234" i="3"/>
  <c r="EO234" i="3"/>
  <c r="EN234" i="3"/>
  <c r="EM234" i="3"/>
  <c r="EL234" i="3"/>
  <c r="EK234" i="3"/>
  <c r="EJ234" i="3"/>
  <c r="EI234" i="3"/>
  <c r="EH234" i="3"/>
  <c r="EG234" i="3"/>
  <c r="EF234" i="3"/>
  <c r="EE234" i="3"/>
  <c r="ED234" i="3"/>
  <c r="EC234" i="3"/>
  <c r="EB234" i="3"/>
  <c r="EA234" i="3"/>
  <c r="DZ234" i="3"/>
  <c r="DY234" i="3"/>
  <c r="DX234" i="3"/>
  <c r="DW234" i="3"/>
  <c r="DV234" i="3"/>
  <c r="DU234" i="3"/>
  <c r="DT234" i="3"/>
  <c r="DS234" i="3"/>
  <c r="DR234" i="3"/>
  <c r="DQ234" i="3"/>
  <c r="DP234" i="3"/>
  <c r="DO234" i="3"/>
  <c r="DN234" i="3"/>
  <c r="DM234" i="3"/>
  <c r="DL234" i="3"/>
  <c r="DK234" i="3"/>
  <c r="DJ234" i="3"/>
  <c r="DI234" i="3"/>
  <c r="DH234" i="3"/>
  <c r="DG234" i="3"/>
  <c r="DF234" i="3"/>
  <c r="DE234" i="3"/>
  <c r="DD234" i="3"/>
  <c r="DC234" i="3"/>
  <c r="DB234" i="3"/>
  <c r="DA234" i="3"/>
  <c r="CZ234" i="3"/>
  <c r="CY234" i="3"/>
  <c r="CX234" i="3"/>
  <c r="CW234" i="3"/>
  <c r="CV234" i="3"/>
  <c r="CU234" i="3"/>
  <c r="CT234" i="3"/>
  <c r="CS234" i="3"/>
  <c r="CR234" i="3"/>
  <c r="CQ234" i="3"/>
  <c r="CP234" i="3"/>
  <c r="CO234" i="3"/>
  <c r="CN234" i="3"/>
  <c r="FW233" i="3"/>
  <c r="FV233" i="3"/>
  <c r="FU233" i="3"/>
  <c r="FT233" i="3"/>
  <c r="FS233" i="3"/>
  <c r="FR233" i="3"/>
  <c r="FQ233" i="3"/>
  <c r="FP233" i="3"/>
  <c r="FO233" i="3"/>
  <c r="FN233" i="3"/>
  <c r="FM233" i="3"/>
  <c r="FL233" i="3"/>
  <c r="FK233" i="3"/>
  <c r="FJ233" i="3"/>
  <c r="FI233" i="3"/>
  <c r="FH233" i="3"/>
  <c r="FG233" i="3"/>
  <c r="FF233" i="3"/>
  <c r="FE233" i="3"/>
  <c r="FD233" i="3"/>
  <c r="FC233" i="3"/>
  <c r="FB233" i="3"/>
  <c r="FA233" i="3"/>
  <c r="EZ233" i="3"/>
  <c r="EY233" i="3"/>
  <c r="EX233" i="3"/>
  <c r="EW233" i="3"/>
  <c r="EV233" i="3"/>
  <c r="EU233" i="3"/>
  <c r="ET233" i="3"/>
  <c r="ES233" i="3"/>
  <c r="ER233" i="3"/>
  <c r="EQ233" i="3"/>
  <c r="EP233" i="3"/>
  <c r="EO233" i="3"/>
  <c r="EN233" i="3"/>
  <c r="EM233" i="3"/>
  <c r="EL233" i="3"/>
  <c r="EK233" i="3"/>
  <c r="EJ233" i="3"/>
  <c r="EI233" i="3"/>
  <c r="EH233" i="3"/>
  <c r="EG233" i="3"/>
  <c r="EF233" i="3"/>
  <c r="EE233" i="3"/>
  <c r="ED233" i="3"/>
  <c r="EC233" i="3"/>
  <c r="EB233" i="3"/>
  <c r="EA233" i="3"/>
  <c r="DZ233" i="3"/>
  <c r="DY233" i="3"/>
  <c r="DX233" i="3"/>
  <c r="DW233" i="3"/>
  <c r="DV233" i="3"/>
  <c r="DU233" i="3"/>
  <c r="DT233" i="3"/>
  <c r="DS233" i="3"/>
  <c r="DR233" i="3"/>
  <c r="DQ233" i="3"/>
  <c r="DP233" i="3"/>
  <c r="DO233" i="3"/>
  <c r="DN233" i="3"/>
  <c r="DM233" i="3"/>
  <c r="DL233" i="3"/>
  <c r="DK233" i="3"/>
  <c r="DJ233" i="3"/>
  <c r="DI233" i="3"/>
  <c r="DH233" i="3"/>
  <c r="DG233" i="3"/>
  <c r="DF233" i="3"/>
  <c r="DE233" i="3"/>
  <c r="DD233" i="3"/>
  <c r="DC233" i="3"/>
  <c r="DB233" i="3"/>
  <c r="DA233" i="3"/>
  <c r="CZ233" i="3"/>
  <c r="CY233" i="3"/>
  <c r="CX233" i="3"/>
  <c r="CW233" i="3"/>
  <c r="CV233" i="3"/>
  <c r="CU233" i="3"/>
  <c r="CT233" i="3"/>
  <c r="CS233" i="3"/>
  <c r="CR233" i="3"/>
  <c r="CQ233" i="3"/>
  <c r="CP233" i="3"/>
  <c r="CO233" i="3"/>
  <c r="CN233" i="3"/>
  <c r="FW232" i="3"/>
  <c r="FV232" i="3"/>
  <c r="FU232" i="3"/>
  <c r="FT232" i="3"/>
  <c r="FS232" i="3"/>
  <c r="FR232" i="3"/>
  <c r="FQ232" i="3"/>
  <c r="FP232" i="3"/>
  <c r="FO232" i="3"/>
  <c r="FN232" i="3"/>
  <c r="FM232" i="3"/>
  <c r="FL232" i="3"/>
  <c r="FK232" i="3"/>
  <c r="FJ232" i="3"/>
  <c r="FI232" i="3"/>
  <c r="FH232" i="3"/>
  <c r="FG232" i="3"/>
  <c r="FF232" i="3"/>
  <c r="FE232" i="3"/>
  <c r="FD232" i="3"/>
  <c r="FC232" i="3"/>
  <c r="FB232" i="3"/>
  <c r="FA232" i="3"/>
  <c r="EZ232" i="3"/>
  <c r="EY232" i="3"/>
  <c r="EX232" i="3"/>
  <c r="EW232" i="3"/>
  <c r="EV232" i="3"/>
  <c r="EU232" i="3"/>
  <c r="ET232" i="3"/>
  <c r="ES232" i="3"/>
  <c r="ER232" i="3"/>
  <c r="EQ232" i="3"/>
  <c r="EP232" i="3"/>
  <c r="EO232" i="3"/>
  <c r="EN232" i="3"/>
  <c r="EM232" i="3"/>
  <c r="EL232" i="3"/>
  <c r="EK232" i="3"/>
  <c r="EJ232" i="3"/>
  <c r="EI232" i="3"/>
  <c r="EH232" i="3"/>
  <c r="EG232" i="3"/>
  <c r="EF232" i="3"/>
  <c r="EE232" i="3"/>
  <c r="ED232" i="3"/>
  <c r="EC232" i="3"/>
  <c r="EB232" i="3"/>
  <c r="EA232" i="3"/>
  <c r="DZ232" i="3"/>
  <c r="DY232" i="3"/>
  <c r="DX232" i="3"/>
  <c r="DW232" i="3"/>
  <c r="DV232" i="3"/>
  <c r="DU232" i="3"/>
  <c r="DT232" i="3"/>
  <c r="DS232" i="3"/>
  <c r="DR232" i="3"/>
  <c r="DQ232" i="3"/>
  <c r="DP232" i="3"/>
  <c r="DO232" i="3"/>
  <c r="DN232" i="3"/>
  <c r="DM232" i="3"/>
  <c r="DL232" i="3"/>
  <c r="DK232" i="3"/>
  <c r="DJ232" i="3"/>
  <c r="DI232" i="3"/>
  <c r="DH232" i="3"/>
  <c r="DG232" i="3"/>
  <c r="DF232" i="3"/>
  <c r="DE232" i="3"/>
  <c r="DD232" i="3"/>
  <c r="DC232" i="3"/>
  <c r="DB232" i="3"/>
  <c r="DA232" i="3"/>
  <c r="CZ232" i="3"/>
  <c r="CY232" i="3"/>
  <c r="CX232" i="3"/>
  <c r="CW232" i="3"/>
  <c r="CV232" i="3"/>
  <c r="CU232" i="3"/>
  <c r="CT232" i="3"/>
  <c r="CS232" i="3"/>
  <c r="CR232" i="3"/>
  <c r="CQ232" i="3"/>
  <c r="CP232" i="3"/>
  <c r="CO232" i="3"/>
  <c r="CN232" i="3"/>
  <c r="FW231" i="3"/>
  <c r="FV231" i="3"/>
  <c r="FU231" i="3"/>
  <c r="FT231" i="3"/>
  <c r="FS231" i="3"/>
  <c r="FR231" i="3"/>
  <c r="FQ231" i="3"/>
  <c r="FP231" i="3"/>
  <c r="FO231" i="3"/>
  <c r="FN231" i="3"/>
  <c r="FM231" i="3"/>
  <c r="FL231" i="3"/>
  <c r="FK231" i="3"/>
  <c r="FJ231" i="3"/>
  <c r="FI231" i="3"/>
  <c r="FH231" i="3"/>
  <c r="FG231" i="3"/>
  <c r="FF231" i="3"/>
  <c r="FE231" i="3"/>
  <c r="FD231" i="3"/>
  <c r="FC231" i="3"/>
  <c r="FB231" i="3"/>
  <c r="FA231" i="3"/>
  <c r="EZ231" i="3"/>
  <c r="EY231" i="3"/>
  <c r="EX231" i="3"/>
  <c r="EW231" i="3"/>
  <c r="EV231" i="3"/>
  <c r="EU231" i="3"/>
  <c r="ET231" i="3"/>
  <c r="ES231" i="3"/>
  <c r="ER231" i="3"/>
  <c r="EQ231" i="3"/>
  <c r="EP231" i="3"/>
  <c r="EO231" i="3"/>
  <c r="EN231" i="3"/>
  <c r="EM231" i="3"/>
  <c r="EL231" i="3"/>
  <c r="EK231" i="3"/>
  <c r="EJ231" i="3"/>
  <c r="EI231" i="3"/>
  <c r="EH231" i="3"/>
  <c r="EG231" i="3"/>
  <c r="EF231" i="3"/>
  <c r="EE231" i="3"/>
  <c r="ED231" i="3"/>
  <c r="EC231" i="3"/>
  <c r="EB231" i="3"/>
  <c r="EA231" i="3"/>
  <c r="DZ231" i="3"/>
  <c r="DY231" i="3"/>
  <c r="DX231" i="3"/>
  <c r="DW231" i="3"/>
  <c r="DV231" i="3"/>
  <c r="DU231" i="3"/>
  <c r="DT231" i="3"/>
  <c r="DS231" i="3"/>
  <c r="DR231" i="3"/>
  <c r="DQ231" i="3"/>
  <c r="DP231" i="3"/>
  <c r="DO231" i="3"/>
  <c r="DN231" i="3"/>
  <c r="DM231" i="3"/>
  <c r="DL231" i="3"/>
  <c r="DK231" i="3"/>
  <c r="DJ231" i="3"/>
  <c r="DI231" i="3"/>
  <c r="DH231" i="3"/>
  <c r="DG231" i="3"/>
  <c r="DF231" i="3"/>
  <c r="DE231" i="3"/>
  <c r="DD231" i="3"/>
  <c r="DC231" i="3"/>
  <c r="DB231" i="3"/>
  <c r="DA231" i="3"/>
  <c r="CZ231" i="3"/>
  <c r="CY231" i="3"/>
  <c r="CX231" i="3"/>
  <c r="CW231" i="3"/>
  <c r="CV231" i="3"/>
  <c r="CU231" i="3"/>
  <c r="CT231" i="3"/>
  <c r="CS231" i="3"/>
  <c r="CR231" i="3"/>
  <c r="CQ231" i="3"/>
  <c r="CP231" i="3"/>
  <c r="CO231" i="3"/>
  <c r="CN231" i="3"/>
  <c r="FW230" i="3"/>
  <c r="FV230" i="3"/>
  <c r="FU230" i="3"/>
  <c r="FT230" i="3"/>
  <c r="FS230" i="3"/>
  <c r="FR230" i="3"/>
  <c r="FQ230" i="3"/>
  <c r="FP230" i="3"/>
  <c r="FO230" i="3"/>
  <c r="FN230" i="3"/>
  <c r="FM230" i="3"/>
  <c r="FL230" i="3"/>
  <c r="FK230" i="3"/>
  <c r="FJ230" i="3"/>
  <c r="FI230" i="3"/>
  <c r="FH230" i="3"/>
  <c r="FG230" i="3"/>
  <c r="FF230" i="3"/>
  <c r="FE230" i="3"/>
  <c r="FD230" i="3"/>
  <c r="FC230" i="3"/>
  <c r="FB230" i="3"/>
  <c r="FA230" i="3"/>
  <c r="EZ230" i="3"/>
  <c r="EY230" i="3"/>
  <c r="EX230" i="3"/>
  <c r="EW230" i="3"/>
  <c r="EV230" i="3"/>
  <c r="EU230" i="3"/>
  <c r="ET230" i="3"/>
  <c r="ES230" i="3"/>
  <c r="ER230" i="3"/>
  <c r="EQ230" i="3"/>
  <c r="EP230" i="3"/>
  <c r="EO230" i="3"/>
  <c r="EN230" i="3"/>
  <c r="EM230" i="3"/>
  <c r="EL230" i="3"/>
  <c r="EK230" i="3"/>
  <c r="EJ230" i="3"/>
  <c r="EI230" i="3"/>
  <c r="EH230" i="3"/>
  <c r="EG230" i="3"/>
  <c r="EF230" i="3"/>
  <c r="EE230" i="3"/>
  <c r="ED230" i="3"/>
  <c r="EC230" i="3"/>
  <c r="EB230" i="3"/>
  <c r="EA230" i="3"/>
  <c r="DZ230" i="3"/>
  <c r="DY230" i="3"/>
  <c r="DX230" i="3"/>
  <c r="DW230" i="3"/>
  <c r="DV230" i="3"/>
  <c r="DU230" i="3"/>
  <c r="DT230" i="3"/>
  <c r="DS230" i="3"/>
  <c r="DR230" i="3"/>
  <c r="DQ230" i="3"/>
  <c r="DP230" i="3"/>
  <c r="DO230" i="3"/>
  <c r="DN230" i="3"/>
  <c r="DM230" i="3"/>
  <c r="DL230" i="3"/>
  <c r="DK230" i="3"/>
  <c r="DJ230" i="3"/>
  <c r="DI230" i="3"/>
  <c r="DH230" i="3"/>
  <c r="DG230" i="3"/>
  <c r="DF230" i="3"/>
  <c r="DE230" i="3"/>
  <c r="DD230" i="3"/>
  <c r="DC230" i="3"/>
  <c r="DB230" i="3"/>
  <c r="DA230" i="3"/>
  <c r="CZ230" i="3"/>
  <c r="CY230" i="3"/>
  <c r="CX230" i="3"/>
  <c r="CW230" i="3"/>
  <c r="CV230" i="3"/>
  <c r="CU230" i="3"/>
  <c r="CT230" i="3"/>
  <c r="CS230" i="3"/>
  <c r="CR230" i="3"/>
  <c r="CQ230" i="3"/>
  <c r="CP230" i="3"/>
  <c r="CO230" i="3"/>
  <c r="CN230" i="3"/>
  <c r="FW229" i="3"/>
  <c r="FV229" i="3"/>
  <c r="FU229" i="3"/>
  <c r="FT229" i="3"/>
  <c r="FS229" i="3"/>
  <c r="FR229" i="3"/>
  <c r="FQ229" i="3"/>
  <c r="FP229" i="3"/>
  <c r="FO229" i="3"/>
  <c r="FN229" i="3"/>
  <c r="FM229" i="3"/>
  <c r="FL229" i="3"/>
  <c r="FK229" i="3"/>
  <c r="FJ229" i="3"/>
  <c r="FI229" i="3"/>
  <c r="FH229" i="3"/>
  <c r="FG229" i="3"/>
  <c r="FF229" i="3"/>
  <c r="FE229" i="3"/>
  <c r="FD229" i="3"/>
  <c r="FC229" i="3"/>
  <c r="FB229" i="3"/>
  <c r="FA229" i="3"/>
  <c r="EZ229" i="3"/>
  <c r="EY229" i="3"/>
  <c r="EX229" i="3"/>
  <c r="EW229" i="3"/>
  <c r="EV229" i="3"/>
  <c r="EU229" i="3"/>
  <c r="ET229" i="3"/>
  <c r="ES229" i="3"/>
  <c r="ER229" i="3"/>
  <c r="EQ229" i="3"/>
  <c r="EP229" i="3"/>
  <c r="EO229" i="3"/>
  <c r="EN229" i="3"/>
  <c r="EM229" i="3"/>
  <c r="EL229" i="3"/>
  <c r="EK229" i="3"/>
  <c r="EJ229" i="3"/>
  <c r="EI229" i="3"/>
  <c r="EH229" i="3"/>
  <c r="EG229" i="3"/>
  <c r="EF229" i="3"/>
  <c r="EE229" i="3"/>
  <c r="ED229" i="3"/>
  <c r="EC229" i="3"/>
  <c r="EB229" i="3"/>
  <c r="EA229" i="3"/>
  <c r="DZ229" i="3"/>
  <c r="DY229" i="3"/>
  <c r="DX229" i="3"/>
  <c r="DW229" i="3"/>
  <c r="DV229" i="3"/>
  <c r="DU229" i="3"/>
  <c r="DT229" i="3"/>
  <c r="DS229" i="3"/>
  <c r="DR229" i="3"/>
  <c r="DQ229" i="3"/>
  <c r="DP229" i="3"/>
  <c r="DO229" i="3"/>
  <c r="DN229" i="3"/>
  <c r="DM229" i="3"/>
  <c r="DL229" i="3"/>
  <c r="DK229" i="3"/>
  <c r="DJ229" i="3"/>
  <c r="DI229" i="3"/>
  <c r="DH229" i="3"/>
  <c r="DG229" i="3"/>
  <c r="DF229" i="3"/>
  <c r="DE229" i="3"/>
  <c r="DD229" i="3"/>
  <c r="DC229" i="3"/>
  <c r="DB229" i="3"/>
  <c r="DA229" i="3"/>
  <c r="CZ229" i="3"/>
  <c r="CY229" i="3"/>
  <c r="CX229" i="3"/>
  <c r="CW229" i="3"/>
  <c r="CV229" i="3"/>
  <c r="CU229" i="3"/>
  <c r="CT229" i="3"/>
  <c r="CS229" i="3"/>
  <c r="CR229" i="3"/>
  <c r="CQ229" i="3"/>
  <c r="CP229" i="3"/>
  <c r="CO229" i="3"/>
  <c r="CN229" i="3"/>
  <c r="FW228" i="3"/>
  <c r="FW236" i="3" s="1"/>
  <c r="FV228" i="3"/>
  <c r="FV236" i="3" s="1"/>
  <c r="FU228" i="3"/>
  <c r="FU236" i="3" s="1"/>
  <c r="FT228" i="3"/>
  <c r="FT236" i="3" s="1"/>
  <c r="FS228" i="3"/>
  <c r="FS236" i="3" s="1"/>
  <c r="FR228" i="3"/>
  <c r="FR236" i="3" s="1"/>
  <c r="FQ228" i="3"/>
  <c r="FP228" i="3"/>
  <c r="FP236" i="3" s="1"/>
  <c r="FO228" i="3"/>
  <c r="FN228" i="3"/>
  <c r="FN236" i="3" s="1"/>
  <c r="FM228" i="3"/>
  <c r="FM236" i="3" s="1"/>
  <c r="FL228" i="3"/>
  <c r="FL236" i="3" s="1"/>
  <c r="FK228" i="3"/>
  <c r="FK236" i="3" s="1"/>
  <c r="FJ228" i="3"/>
  <c r="FI228" i="3"/>
  <c r="FH228" i="3"/>
  <c r="FH236" i="3" s="1"/>
  <c r="FG228" i="3"/>
  <c r="FG236" i="3" s="1"/>
  <c r="FF228" i="3"/>
  <c r="FF236" i="3" s="1"/>
  <c r="FE228" i="3"/>
  <c r="FE236" i="3" s="1"/>
  <c r="FD228" i="3"/>
  <c r="FD236" i="3" s="1"/>
  <c r="FC228" i="3"/>
  <c r="FB228" i="3"/>
  <c r="FA228" i="3"/>
  <c r="FA236" i="3" s="1"/>
  <c r="EZ228" i="3"/>
  <c r="EY228" i="3"/>
  <c r="EX228" i="3"/>
  <c r="EX236" i="3" s="1"/>
  <c r="EW228" i="3"/>
  <c r="EW236" i="3" s="1"/>
  <c r="EV228" i="3"/>
  <c r="EV236" i="3" s="1"/>
  <c r="EU228" i="3"/>
  <c r="EU236" i="3" s="1"/>
  <c r="ET228" i="3"/>
  <c r="ES228" i="3"/>
  <c r="ES236" i="3" s="1"/>
  <c r="ER228" i="3"/>
  <c r="ER236" i="3" s="1"/>
  <c r="EQ228" i="3"/>
  <c r="EP228" i="3"/>
  <c r="EP236" i="3" s="1"/>
  <c r="EO228" i="3"/>
  <c r="EO236" i="3" s="1"/>
  <c r="EN228" i="3"/>
  <c r="EN236" i="3" s="1"/>
  <c r="EM228" i="3"/>
  <c r="EM236" i="3" s="1"/>
  <c r="EL228" i="3"/>
  <c r="EL236" i="3" s="1"/>
  <c r="EK228" i="3"/>
  <c r="EK236" i="3" s="1"/>
  <c r="EJ228" i="3"/>
  <c r="EJ236" i="3" s="1"/>
  <c r="EI228" i="3"/>
  <c r="EI236" i="3" s="1"/>
  <c r="EH228" i="3"/>
  <c r="EH236" i="3" s="1"/>
  <c r="EG228" i="3"/>
  <c r="EG236" i="3" s="1"/>
  <c r="EF228" i="3"/>
  <c r="EF236" i="3" s="1"/>
  <c r="EE228" i="3"/>
  <c r="EE236" i="3" s="1"/>
  <c r="ED228" i="3"/>
  <c r="ED236" i="3" s="1"/>
  <c r="EC228" i="3"/>
  <c r="EC236" i="3" s="1"/>
  <c r="EB228" i="3"/>
  <c r="EB236" i="3" s="1"/>
  <c r="EA228" i="3"/>
  <c r="EA236" i="3" s="1"/>
  <c r="DZ228" i="3"/>
  <c r="DZ236" i="3" s="1"/>
  <c r="DY228" i="3"/>
  <c r="DY236" i="3" s="1"/>
  <c r="DX228" i="3"/>
  <c r="DX236" i="3" s="1"/>
  <c r="DW228" i="3"/>
  <c r="DW236" i="3" s="1"/>
  <c r="DV228" i="3"/>
  <c r="DV236" i="3" s="1"/>
  <c r="DU228" i="3"/>
  <c r="DU236" i="3" s="1"/>
  <c r="DT228" i="3"/>
  <c r="DT236" i="3" s="1"/>
  <c r="DS228" i="3"/>
  <c r="DS236" i="3" s="1"/>
  <c r="DR228" i="3"/>
  <c r="DR236" i="3" s="1"/>
  <c r="DQ228" i="3"/>
  <c r="DQ236" i="3" s="1"/>
  <c r="DP228" i="3"/>
  <c r="DP236" i="3" s="1"/>
  <c r="DO228" i="3"/>
  <c r="DO236" i="3" s="1"/>
  <c r="DN228" i="3"/>
  <c r="DN236" i="3" s="1"/>
  <c r="DM228" i="3"/>
  <c r="DM236" i="3" s="1"/>
  <c r="DL228" i="3"/>
  <c r="DL236" i="3" s="1"/>
  <c r="DK228" i="3"/>
  <c r="DK236" i="3" s="1"/>
  <c r="DJ228" i="3"/>
  <c r="DJ236" i="3" s="1"/>
  <c r="DI228" i="3"/>
  <c r="DI236" i="3" s="1"/>
  <c r="DH228" i="3"/>
  <c r="DH236" i="3" s="1"/>
  <c r="DG228" i="3"/>
  <c r="DG236" i="3" s="1"/>
  <c r="DF228" i="3"/>
  <c r="DF236" i="3" s="1"/>
  <c r="DE228" i="3"/>
  <c r="DE236" i="3" s="1"/>
  <c r="DD228" i="3"/>
  <c r="DC228" i="3"/>
  <c r="DC236" i="3" s="1"/>
  <c r="DB228" i="3"/>
  <c r="DB236" i="3" s="1"/>
  <c r="DA228" i="3"/>
  <c r="DA236" i="3" s="1"/>
  <c r="CZ228" i="3"/>
  <c r="CZ236" i="3" s="1"/>
  <c r="CY228" i="3"/>
  <c r="CY236" i="3" s="1"/>
  <c r="CX228" i="3"/>
  <c r="CX236" i="3" s="1"/>
  <c r="CW228" i="3"/>
  <c r="CW236" i="3" s="1"/>
  <c r="CV228" i="3"/>
  <c r="CV236" i="3" s="1"/>
  <c r="CU228" i="3"/>
  <c r="CU236" i="3" s="1"/>
  <c r="CT228" i="3"/>
  <c r="CT236" i="3" s="1"/>
  <c r="CS228" i="3"/>
  <c r="CS236" i="3" s="1"/>
  <c r="CR228" i="3"/>
  <c r="CR236" i="3" s="1"/>
  <c r="CQ228" i="3"/>
  <c r="CQ236" i="3" s="1"/>
  <c r="CP228" i="3"/>
  <c r="CP236" i="3" s="1"/>
  <c r="CO228" i="3"/>
  <c r="CO236" i="3" s="1"/>
  <c r="CN228" i="3"/>
  <c r="C236" i="3"/>
  <c r="FW224" i="3"/>
  <c r="FV224" i="3"/>
  <c r="FU224" i="3"/>
  <c r="FT224" i="3"/>
  <c r="FS224" i="3"/>
  <c r="FR224" i="3"/>
  <c r="FQ224" i="3"/>
  <c r="FP224" i="3"/>
  <c r="FO224" i="3"/>
  <c r="FN224" i="3"/>
  <c r="FM224" i="3"/>
  <c r="FL224" i="3"/>
  <c r="FK224" i="3"/>
  <c r="FJ224" i="3"/>
  <c r="FI224" i="3"/>
  <c r="FH224" i="3"/>
  <c r="FG224" i="3"/>
  <c r="FF224" i="3"/>
  <c r="FE224" i="3"/>
  <c r="FD224" i="3"/>
  <c r="FC224" i="3"/>
  <c r="FB224" i="3"/>
  <c r="FA224" i="3"/>
  <c r="EZ224" i="3"/>
  <c r="EY224" i="3"/>
  <c r="EX224" i="3"/>
  <c r="EW224" i="3"/>
  <c r="EV224" i="3"/>
  <c r="EU224" i="3"/>
  <c r="ET224" i="3"/>
  <c r="ES224" i="3"/>
  <c r="ER224" i="3"/>
  <c r="EQ224" i="3"/>
  <c r="EP224" i="3"/>
  <c r="EO224" i="3"/>
  <c r="EN224" i="3"/>
  <c r="EM224" i="3"/>
  <c r="EL224" i="3"/>
  <c r="EK224" i="3"/>
  <c r="EJ224" i="3"/>
  <c r="EI224" i="3"/>
  <c r="EH224" i="3"/>
  <c r="EG224" i="3"/>
  <c r="EF224" i="3"/>
  <c r="EE224" i="3"/>
  <c r="ED224" i="3"/>
  <c r="EC224" i="3"/>
  <c r="EB224" i="3"/>
  <c r="EA224" i="3"/>
  <c r="DZ224" i="3"/>
  <c r="DY224" i="3"/>
  <c r="DX224" i="3"/>
  <c r="DW224" i="3"/>
  <c r="DV224" i="3"/>
  <c r="DU224" i="3"/>
  <c r="DT224" i="3"/>
  <c r="DS224" i="3"/>
  <c r="DR224" i="3"/>
  <c r="DQ224" i="3"/>
  <c r="DP224" i="3"/>
  <c r="DO224" i="3"/>
  <c r="DN224" i="3"/>
  <c r="DM224" i="3"/>
  <c r="DL224" i="3"/>
  <c r="DK224" i="3"/>
  <c r="DJ224" i="3"/>
  <c r="DI224" i="3"/>
  <c r="DH224" i="3"/>
  <c r="DG224" i="3"/>
  <c r="DF224" i="3"/>
  <c r="DE224" i="3"/>
  <c r="DD224" i="3"/>
  <c r="DC224" i="3"/>
  <c r="DB224" i="3"/>
  <c r="DA224" i="3"/>
  <c r="CZ224" i="3"/>
  <c r="CY224" i="3"/>
  <c r="CX224" i="3"/>
  <c r="CW224" i="3"/>
  <c r="CV224" i="3"/>
  <c r="CU224" i="3"/>
  <c r="CT224" i="3"/>
  <c r="CS224" i="3"/>
  <c r="CR224" i="3"/>
  <c r="CQ224" i="3"/>
  <c r="CP224" i="3"/>
  <c r="CO224" i="3"/>
  <c r="CN224" i="3"/>
  <c r="FW223" i="3"/>
  <c r="FV223" i="3"/>
  <c r="FU223" i="3"/>
  <c r="FT223" i="3"/>
  <c r="FS223" i="3"/>
  <c r="FR223" i="3"/>
  <c r="FQ223" i="3"/>
  <c r="FP223" i="3"/>
  <c r="FO223" i="3"/>
  <c r="FN223" i="3"/>
  <c r="FM223" i="3"/>
  <c r="FL223" i="3"/>
  <c r="FK223" i="3"/>
  <c r="FJ223" i="3"/>
  <c r="FI223" i="3"/>
  <c r="FH223" i="3"/>
  <c r="FG223" i="3"/>
  <c r="FF223" i="3"/>
  <c r="FE223" i="3"/>
  <c r="FD223" i="3"/>
  <c r="FC223" i="3"/>
  <c r="FB223" i="3"/>
  <c r="FA223" i="3"/>
  <c r="EZ223" i="3"/>
  <c r="EY223" i="3"/>
  <c r="EX223" i="3"/>
  <c r="EW223" i="3"/>
  <c r="EV223" i="3"/>
  <c r="EU223" i="3"/>
  <c r="ET223" i="3"/>
  <c r="ES223" i="3"/>
  <c r="ER223" i="3"/>
  <c r="EQ223" i="3"/>
  <c r="EP223" i="3"/>
  <c r="EO223" i="3"/>
  <c r="EN223" i="3"/>
  <c r="EM223" i="3"/>
  <c r="EL223" i="3"/>
  <c r="EK223" i="3"/>
  <c r="EJ223" i="3"/>
  <c r="EI223" i="3"/>
  <c r="EH223" i="3"/>
  <c r="EG223" i="3"/>
  <c r="EF223" i="3"/>
  <c r="EE223" i="3"/>
  <c r="ED223" i="3"/>
  <c r="EC223" i="3"/>
  <c r="EB223" i="3"/>
  <c r="EA223" i="3"/>
  <c r="DZ223" i="3"/>
  <c r="DY223" i="3"/>
  <c r="DX223" i="3"/>
  <c r="DW223" i="3"/>
  <c r="DV223" i="3"/>
  <c r="DU223" i="3"/>
  <c r="DT223" i="3"/>
  <c r="DS223" i="3"/>
  <c r="DR223" i="3"/>
  <c r="DQ223" i="3"/>
  <c r="DP223" i="3"/>
  <c r="DO223" i="3"/>
  <c r="DN223" i="3"/>
  <c r="DM223" i="3"/>
  <c r="DL223" i="3"/>
  <c r="DK223" i="3"/>
  <c r="DJ223" i="3"/>
  <c r="DI223" i="3"/>
  <c r="DH223" i="3"/>
  <c r="DG223" i="3"/>
  <c r="DF223" i="3"/>
  <c r="DE223" i="3"/>
  <c r="DD223" i="3"/>
  <c r="DC223" i="3"/>
  <c r="DB223" i="3"/>
  <c r="DA223" i="3"/>
  <c r="CZ223" i="3"/>
  <c r="CY223" i="3"/>
  <c r="CX223" i="3"/>
  <c r="CW223" i="3"/>
  <c r="CV223" i="3"/>
  <c r="CU223" i="3"/>
  <c r="CT223" i="3"/>
  <c r="CS223" i="3"/>
  <c r="CR223" i="3"/>
  <c r="CQ223" i="3"/>
  <c r="CP223" i="3"/>
  <c r="CO223" i="3"/>
  <c r="CN223" i="3"/>
  <c r="FW221" i="3"/>
  <c r="FV221" i="3"/>
  <c r="FU221" i="3"/>
  <c r="FT221" i="3"/>
  <c r="FS221" i="3"/>
  <c r="FR221" i="3"/>
  <c r="FQ221" i="3"/>
  <c r="FP221" i="3"/>
  <c r="FO221" i="3"/>
  <c r="FN221" i="3"/>
  <c r="FM221" i="3"/>
  <c r="FL221" i="3"/>
  <c r="FK221" i="3"/>
  <c r="FJ221" i="3"/>
  <c r="FI221" i="3"/>
  <c r="FH221" i="3"/>
  <c r="FG221" i="3"/>
  <c r="FF221" i="3"/>
  <c r="FE221" i="3"/>
  <c r="FD221" i="3"/>
  <c r="FC221" i="3"/>
  <c r="FB221" i="3"/>
  <c r="FA221" i="3"/>
  <c r="EZ221" i="3"/>
  <c r="EY221" i="3"/>
  <c r="EX221" i="3"/>
  <c r="EW221" i="3"/>
  <c r="EV221" i="3"/>
  <c r="EU221" i="3"/>
  <c r="ET221" i="3"/>
  <c r="ES221" i="3"/>
  <c r="ER221" i="3"/>
  <c r="EQ221" i="3"/>
  <c r="EP221" i="3"/>
  <c r="EO221" i="3"/>
  <c r="EN221" i="3"/>
  <c r="EM221" i="3"/>
  <c r="EL221" i="3"/>
  <c r="EK221" i="3"/>
  <c r="EJ221" i="3"/>
  <c r="EI221" i="3"/>
  <c r="EH221" i="3"/>
  <c r="EG221" i="3"/>
  <c r="EF221" i="3"/>
  <c r="EE221" i="3"/>
  <c r="ED221" i="3"/>
  <c r="EC221" i="3"/>
  <c r="EB221" i="3"/>
  <c r="EA221" i="3"/>
  <c r="DZ221" i="3"/>
  <c r="DY221" i="3"/>
  <c r="DX221" i="3"/>
  <c r="DW221" i="3"/>
  <c r="DV221" i="3"/>
  <c r="DU221" i="3"/>
  <c r="DT221" i="3"/>
  <c r="DS221" i="3"/>
  <c r="DR221" i="3"/>
  <c r="DQ221" i="3"/>
  <c r="DP221" i="3"/>
  <c r="DO221" i="3"/>
  <c r="DN221" i="3"/>
  <c r="DM221" i="3"/>
  <c r="DL221" i="3"/>
  <c r="DK221" i="3"/>
  <c r="DJ221" i="3"/>
  <c r="DI221" i="3"/>
  <c r="DH221" i="3"/>
  <c r="DG221" i="3"/>
  <c r="DF221" i="3"/>
  <c r="DE221" i="3"/>
  <c r="DD221" i="3"/>
  <c r="DC221" i="3"/>
  <c r="DB221" i="3"/>
  <c r="DA221" i="3"/>
  <c r="CZ221" i="3"/>
  <c r="CY221" i="3"/>
  <c r="CX221" i="3"/>
  <c r="CW221" i="3"/>
  <c r="CV221" i="3"/>
  <c r="CU221" i="3"/>
  <c r="CT221" i="3"/>
  <c r="CS221" i="3"/>
  <c r="CR221" i="3"/>
  <c r="CQ221" i="3"/>
  <c r="CP221" i="3"/>
  <c r="CO221" i="3"/>
  <c r="CN221" i="3"/>
  <c r="FW220" i="3"/>
  <c r="FV220" i="3"/>
  <c r="FU220" i="3"/>
  <c r="FT220" i="3"/>
  <c r="FS220" i="3"/>
  <c r="FR220" i="3"/>
  <c r="FQ220" i="3"/>
  <c r="FP220" i="3"/>
  <c r="FO220" i="3"/>
  <c r="FN220" i="3"/>
  <c r="FM220" i="3"/>
  <c r="FL220" i="3"/>
  <c r="FK220" i="3"/>
  <c r="FJ220" i="3"/>
  <c r="FI220" i="3"/>
  <c r="FH220" i="3"/>
  <c r="FG220" i="3"/>
  <c r="FF220" i="3"/>
  <c r="FE220" i="3"/>
  <c r="FD220" i="3"/>
  <c r="FC220" i="3"/>
  <c r="FB220" i="3"/>
  <c r="FA220" i="3"/>
  <c r="EZ220" i="3"/>
  <c r="EY220" i="3"/>
  <c r="EX220" i="3"/>
  <c r="EW220" i="3"/>
  <c r="EV220" i="3"/>
  <c r="EU220" i="3"/>
  <c r="ET220" i="3"/>
  <c r="ES220" i="3"/>
  <c r="ER220" i="3"/>
  <c r="EQ220" i="3"/>
  <c r="EP220" i="3"/>
  <c r="EO220" i="3"/>
  <c r="EN220" i="3"/>
  <c r="EM220" i="3"/>
  <c r="EL220" i="3"/>
  <c r="EK220" i="3"/>
  <c r="EJ220" i="3"/>
  <c r="EI220" i="3"/>
  <c r="EH220" i="3"/>
  <c r="EG220" i="3"/>
  <c r="EF220" i="3"/>
  <c r="EE220" i="3"/>
  <c r="ED220" i="3"/>
  <c r="EC220" i="3"/>
  <c r="EB220" i="3"/>
  <c r="EA220" i="3"/>
  <c r="DZ220" i="3"/>
  <c r="DY220" i="3"/>
  <c r="DX220" i="3"/>
  <c r="DW220" i="3"/>
  <c r="DV220" i="3"/>
  <c r="DU220" i="3"/>
  <c r="DT220" i="3"/>
  <c r="DS220" i="3"/>
  <c r="DR220" i="3"/>
  <c r="DQ220" i="3"/>
  <c r="DP220" i="3"/>
  <c r="DO220" i="3"/>
  <c r="DN220" i="3"/>
  <c r="DM220" i="3"/>
  <c r="DL220" i="3"/>
  <c r="DK220" i="3"/>
  <c r="DJ220" i="3"/>
  <c r="DI220" i="3"/>
  <c r="DH220" i="3"/>
  <c r="DG220" i="3"/>
  <c r="DF220" i="3"/>
  <c r="DE220" i="3"/>
  <c r="DD220" i="3"/>
  <c r="DC220" i="3"/>
  <c r="DB220" i="3"/>
  <c r="DA220" i="3"/>
  <c r="CZ220" i="3"/>
  <c r="CY220" i="3"/>
  <c r="CX220" i="3"/>
  <c r="CW220" i="3"/>
  <c r="CV220" i="3"/>
  <c r="CU220" i="3"/>
  <c r="CT220" i="3"/>
  <c r="CS220" i="3"/>
  <c r="CR220" i="3"/>
  <c r="CQ220" i="3"/>
  <c r="CP220" i="3"/>
  <c r="CO220" i="3"/>
  <c r="CN220" i="3"/>
  <c r="FW219" i="3"/>
  <c r="FV219" i="3"/>
  <c r="FU219" i="3"/>
  <c r="FT219" i="3"/>
  <c r="FS219" i="3"/>
  <c r="FR219" i="3"/>
  <c r="FQ219" i="3"/>
  <c r="FP219" i="3"/>
  <c r="FO219" i="3"/>
  <c r="FN219" i="3"/>
  <c r="FM219" i="3"/>
  <c r="FL219" i="3"/>
  <c r="FK219" i="3"/>
  <c r="FJ219" i="3"/>
  <c r="FI219" i="3"/>
  <c r="FH219" i="3"/>
  <c r="FG219" i="3"/>
  <c r="FF219" i="3"/>
  <c r="FE219" i="3"/>
  <c r="FD219" i="3"/>
  <c r="FC219" i="3"/>
  <c r="FB219" i="3"/>
  <c r="FA219" i="3"/>
  <c r="EZ219" i="3"/>
  <c r="EY219" i="3"/>
  <c r="EX219" i="3"/>
  <c r="EW219" i="3"/>
  <c r="EV219" i="3"/>
  <c r="EU219" i="3"/>
  <c r="ET219" i="3"/>
  <c r="ES219" i="3"/>
  <c r="ER219" i="3"/>
  <c r="EQ219" i="3"/>
  <c r="EP219" i="3"/>
  <c r="EO219" i="3"/>
  <c r="EN219" i="3"/>
  <c r="EM219" i="3"/>
  <c r="EL219" i="3"/>
  <c r="EK219" i="3"/>
  <c r="EJ219" i="3"/>
  <c r="EI219" i="3"/>
  <c r="EH219" i="3"/>
  <c r="EG219" i="3"/>
  <c r="EF219" i="3"/>
  <c r="EE219" i="3"/>
  <c r="ED219" i="3"/>
  <c r="EC219" i="3"/>
  <c r="EB219" i="3"/>
  <c r="EA219" i="3"/>
  <c r="DZ219" i="3"/>
  <c r="DY219" i="3"/>
  <c r="DX219" i="3"/>
  <c r="DW219" i="3"/>
  <c r="DV219" i="3"/>
  <c r="DU219" i="3"/>
  <c r="DT219" i="3"/>
  <c r="DS219" i="3"/>
  <c r="DR219" i="3"/>
  <c r="DQ219" i="3"/>
  <c r="DP219" i="3"/>
  <c r="DO219" i="3"/>
  <c r="DN219" i="3"/>
  <c r="DM219" i="3"/>
  <c r="DL219" i="3"/>
  <c r="DK219" i="3"/>
  <c r="DJ219" i="3"/>
  <c r="DI219" i="3"/>
  <c r="DH219" i="3"/>
  <c r="DG219" i="3"/>
  <c r="DF219" i="3"/>
  <c r="DE219" i="3"/>
  <c r="DD219" i="3"/>
  <c r="DC219" i="3"/>
  <c r="DB219" i="3"/>
  <c r="DA219" i="3"/>
  <c r="CZ219" i="3"/>
  <c r="CY219" i="3"/>
  <c r="CX219" i="3"/>
  <c r="CW219" i="3"/>
  <c r="CV219" i="3"/>
  <c r="CU219" i="3"/>
  <c r="CT219" i="3"/>
  <c r="CS219" i="3"/>
  <c r="CR219" i="3"/>
  <c r="CQ219" i="3"/>
  <c r="CP219" i="3"/>
  <c r="CO219" i="3"/>
  <c r="CN219" i="3"/>
  <c r="FW218" i="3"/>
  <c r="FV218" i="3"/>
  <c r="FU218" i="3"/>
  <c r="FT218" i="3"/>
  <c r="FS218" i="3"/>
  <c r="FR218" i="3"/>
  <c r="FQ218" i="3"/>
  <c r="FP218" i="3"/>
  <c r="FO218" i="3"/>
  <c r="FN218" i="3"/>
  <c r="FM218" i="3"/>
  <c r="FL218" i="3"/>
  <c r="FK218" i="3"/>
  <c r="FJ218" i="3"/>
  <c r="FI218" i="3"/>
  <c r="FH218" i="3"/>
  <c r="FG218" i="3"/>
  <c r="FF218" i="3"/>
  <c r="FE218" i="3"/>
  <c r="FD218" i="3"/>
  <c r="FC218" i="3"/>
  <c r="FB218" i="3"/>
  <c r="FA218" i="3"/>
  <c r="EZ218" i="3"/>
  <c r="EY218" i="3"/>
  <c r="EX218" i="3"/>
  <c r="EW218" i="3"/>
  <c r="EV218" i="3"/>
  <c r="EU218" i="3"/>
  <c r="ET218" i="3"/>
  <c r="ES218" i="3"/>
  <c r="ER218" i="3"/>
  <c r="EQ218" i="3"/>
  <c r="EP218" i="3"/>
  <c r="EO218" i="3"/>
  <c r="EN218" i="3"/>
  <c r="EM218" i="3"/>
  <c r="EL218" i="3"/>
  <c r="EK218" i="3"/>
  <c r="EJ218" i="3"/>
  <c r="EI218" i="3"/>
  <c r="EH218" i="3"/>
  <c r="EG218" i="3"/>
  <c r="EF218" i="3"/>
  <c r="EE218" i="3"/>
  <c r="ED218" i="3"/>
  <c r="EC218" i="3"/>
  <c r="EB218" i="3"/>
  <c r="EA218" i="3"/>
  <c r="DZ218" i="3"/>
  <c r="DY218" i="3"/>
  <c r="DX218" i="3"/>
  <c r="DW218" i="3"/>
  <c r="DV218" i="3"/>
  <c r="DU218" i="3"/>
  <c r="DT218" i="3"/>
  <c r="DS218" i="3"/>
  <c r="DR218" i="3"/>
  <c r="DQ218" i="3"/>
  <c r="DP218" i="3"/>
  <c r="DO218" i="3"/>
  <c r="DN218" i="3"/>
  <c r="DM218" i="3"/>
  <c r="DL218" i="3"/>
  <c r="DK218" i="3"/>
  <c r="DJ218" i="3"/>
  <c r="DI218" i="3"/>
  <c r="DH218" i="3"/>
  <c r="DG218" i="3"/>
  <c r="DF218" i="3"/>
  <c r="DE218" i="3"/>
  <c r="DD218" i="3"/>
  <c r="DC218" i="3"/>
  <c r="DB218" i="3"/>
  <c r="DA218" i="3"/>
  <c r="CZ218" i="3"/>
  <c r="CY218" i="3"/>
  <c r="CX218" i="3"/>
  <c r="CW218" i="3"/>
  <c r="CV218" i="3"/>
  <c r="CU218" i="3"/>
  <c r="CT218" i="3"/>
  <c r="CS218" i="3"/>
  <c r="CR218" i="3"/>
  <c r="CQ218" i="3"/>
  <c r="CP218" i="3"/>
  <c r="CO218" i="3"/>
  <c r="CN218" i="3"/>
  <c r="FW217" i="3"/>
  <c r="FV217" i="3"/>
  <c r="FU217" i="3"/>
  <c r="FT217" i="3"/>
  <c r="FS217" i="3"/>
  <c r="FR217" i="3"/>
  <c r="FQ217" i="3"/>
  <c r="FP217" i="3"/>
  <c r="FO217" i="3"/>
  <c r="FN217" i="3"/>
  <c r="FM217" i="3"/>
  <c r="FL217" i="3"/>
  <c r="FK217" i="3"/>
  <c r="FJ217" i="3"/>
  <c r="FI217" i="3"/>
  <c r="FH217" i="3"/>
  <c r="FG217" i="3"/>
  <c r="FF217" i="3"/>
  <c r="FE217" i="3"/>
  <c r="FD217" i="3"/>
  <c r="FC217" i="3"/>
  <c r="FB217" i="3"/>
  <c r="FA217" i="3"/>
  <c r="EZ217" i="3"/>
  <c r="EY217" i="3"/>
  <c r="EX217" i="3"/>
  <c r="EW217" i="3"/>
  <c r="EV217" i="3"/>
  <c r="EU217" i="3"/>
  <c r="ET217" i="3"/>
  <c r="ES217" i="3"/>
  <c r="ER217" i="3"/>
  <c r="EQ217" i="3"/>
  <c r="EP217" i="3"/>
  <c r="EO217" i="3"/>
  <c r="EN217" i="3"/>
  <c r="EM217" i="3"/>
  <c r="EL217" i="3"/>
  <c r="EK217" i="3"/>
  <c r="EJ217" i="3"/>
  <c r="EI217" i="3"/>
  <c r="EH217" i="3"/>
  <c r="EG217" i="3"/>
  <c r="EF217" i="3"/>
  <c r="EE217" i="3"/>
  <c r="ED217" i="3"/>
  <c r="EC217" i="3"/>
  <c r="EB217" i="3"/>
  <c r="EA217" i="3"/>
  <c r="DZ217" i="3"/>
  <c r="DY217" i="3"/>
  <c r="DX217" i="3"/>
  <c r="DW217" i="3"/>
  <c r="DV217" i="3"/>
  <c r="DU217" i="3"/>
  <c r="DT217" i="3"/>
  <c r="DS217" i="3"/>
  <c r="DR217" i="3"/>
  <c r="DQ217" i="3"/>
  <c r="DP217" i="3"/>
  <c r="DO217" i="3"/>
  <c r="DN217" i="3"/>
  <c r="DM217" i="3"/>
  <c r="DL217" i="3"/>
  <c r="DK217" i="3"/>
  <c r="DJ217" i="3"/>
  <c r="DI217" i="3"/>
  <c r="DH217" i="3"/>
  <c r="DG217" i="3"/>
  <c r="DF217" i="3"/>
  <c r="DE217" i="3"/>
  <c r="DD217" i="3"/>
  <c r="DC217" i="3"/>
  <c r="DB217" i="3"/>
  <c r="DA217" i="3"/>
  <c r="CZ217" i="3"/>
  <c r="CY217" i="3"/>
  <c r="CX217" i="3"/>
  <c r="CW217" i="3"/>
  <c r="CV217" i="3"/>
  <c r="CU217" i="3"/>
  <c r="CT217" i="3"/>
  <c r="CS217" i="3"/>
  <c r="CR217" i="3"/>
  <c r="CQ217" i="3"/>
  <c r="CP217" i="3"/>
  <c r="CO217" i="3"/>
  <c r="CN217" i="3"/>
  <c r="FW216" i="3"/>
  <c r="FV216" i="3"/>
  <c r="FU216" i="3"/>
  <c r="FT216" i="3"/>
  <c r="FS216" i="3"/>
  <c r="FR216" i="3"/>
  <c r="FQ216" i="3"/>
  <c r="FP216" i="3"/>
  <c r="FO216" i="3"/>
  <c r="FN216" i="3"/>
  <c r="FM216" i="3"/>
  <c r="FL216" i="3"/>
  <c r="FK216" i="3"/>
  <c r="FJ216" i="3"/>
  <c r="FI216" i="3"/>
  <c r="FH216" i="3"/>
  <c r="FG216" i="3"/>
  <c r="FF216" i="3"/>
  <c r="FE216" i="3"/>
  <c r="FD216" i="3"/>
  <c r="FC216" i="3"/>
  <c r="FB216" i="3"/>
  <c r="FA216" i="3"/>
  <c r="EZ216" i="3"/>
  <c r="EY216" i="3"/>
  <c r="EX216" i="3"/>
  <c r="EW216" i="3"/>
  <c r="EV216" i="3"/>
  <c r="EU216" i="3"/>
  <c r="ET216" i="3"/>
  <c r="ES216" i="3"/>
  <c r="ER216" i="3"/>
  <c r="EQ216" i="3"/>
  <c r="EP216" i="3"/>
  <c r="EO216" i="3"/>
  <c r="EN216" i="3"/>
  <c r="EM216" i="3"/>
  <c r="EL216" i="3"/>
  <c r="EK216" i="3"/>
  <c r="EJ216" i="3"/>
  <c r="EI216" i="3"/>
  <c r="EH216" i="3"/>
  <c r="EG216" i="3"/>
  <c r="EF216" i="3"/>
  <c r="EE216" i="3"/>
  <c r="ED216" i="3"/>
  <c r="EC216" i="3"/>
  <c r="EB216" i="3"/>
  <c r="EA216" i="3"/>
  <c r="DZ216" i="3"/>
  <c r="DY216" i="3"/>
  <c r="DX216" i="3"/>
  <c r="DW216" i="3"/>
  <c r="DV216" i="3"/>
  <c r="DU216" i="3"/>
  <c r="DT216" i="3"/>
  <c r="DS216" i="3"/>
  <c r="DR216" i="3"/>
  <c r="DQ216" i="3"/>
  <c r="DP216" i="3"/>
  <c r="DO216" i="3"/>
  <c r="DN216" i="3"/>
  <c r="DM216" i="3"/>
  <c r="DL216" i="3"/>
  <c r="DK216" i="3"/>
  <c r="DJ216" i="3"/>
  <c r="DI216" i="3"/>
  <c r="DH216" i="3"/>
  <c r="DG216" i="3"/>
  <c r="DF216" i="3"/>
  <c r="DE216" i="3"/>
  <c r="DD216" i="3"/>
  <c r="DC216" i="3"/>
  <c r="DB216" i="3"/>
  <c r="DA216" i="3"/>
  <c r="CZ216" i="3"/>
  <c r="CY216" i="3"/>
  <c r="CX216" i="3"/>
  <c r="CW216" i="3"/>
  <c r="CV216" i="3"/>
  <c r="CU216" i="3"/>
  <c r="CT216" i="3"/>
  <c r="CS216" i="3"/>
  <c r="CR216" i="3"/>
  <c r="CQ216" i="3"/>
  <c r="CP216" i="3"/>
  <c r="CO216" i="3"/>
  <c r="CN216" i="3"/>
  <c r="FW222" i="3"/>
  <c r="FV222" i="3"/>
  <c r="FU222" i="3"/>
  <c r="FT222" i="3"/>
  <c r="FS222" i="3"/>
  <c r="FR222" i="3"/>
  <c r="FQ222" i="3"/>
  <c r="FP222" i="3"/>
  <c r="FO222" i="3"/>
  <c r="FN222" i="3"/>
  <c r="FM222" i="3"/>
  <c r="FL222" i="3"/>
  <c r="FK222" i="3"/>
  <c r="FJ222" i="3"/>
  <c r="FI222" i="3"/>
  <c r="FH222" i="3"/>
  <c r="FG222" i="3"/>
  <c r="FF222" i="3"/>
  <c r="FE222" i="3"/>
  <c r="FD222" i="3"/>
  <c r="FC222" i="3"/>
  <c r="FB222" i="3"/>
  <c r="FA222" i="3"/>
  <c r="EZ222" i="3"/>
  <c r="EY222" i="3"/>
  <c r="EX222" i="3"/>
  <c r="EW222" i="3"/>
  <c r="EV222" i="3"/>
  <c r="EU222" i="3"/>
  <c r="ET222" i="3"/>
  <c r="ES222" i="3"/>
  <c r="ER222" i="3"/>
  <c r="EQ222" i="3"/>
  <c r="EP222" i="3"/>
  <c r="EO222" i="3"/>
  <c r="EN222" i="3"/>
  <c r="EM222" i="3"/>
  <c r="EL222" i="3"/>
  <c r="EK222" i="3"/>
  <c r="EJ222" i="3"/>
  <c r="EI222" i="3"/>
  <c r="EH222" i="3"/>
  <c r="EG222" i="3"/>
  <c r="EF222" i="3"/>
  <c r="EE222" i="3"/>
  <c r="ED222" i="3"/>
  <c r="EC222" i="3"/>
  <c r="EB222" i="3"/>
  <c r="EA222" i="3"/>
  <c r="DZ222" i="3"/>
  <c r="DY222" i="3"/>
  <c r="DX222" i="3"/>
  <c r="DW222" i="3"/>
  <c r="DV222" i="3"/>
  <c r="DU222" i="3"/>
  <c r="DT222" i="3"/>
  <c r="DS222" i="3"/>
  <c r="DR222" i="3"/>
  <c r="DQ222" i="3"/>
  <c r="DP222" i="3"/>
  <c r="DO222" i="3"/>
  <c r="DN222" i="3"/>
  <c r="DM222" i="3"/>
  <c r="DL222" i="3"/>
  <c r="DK222" i="3"/>
  <c r="DJ222" i="3"/>
  <c r="DI222" i="3"/>
  <c r="DH222" i="3"/>
  <c r="DG222" i="3"/>
  <c r="DF222" i="3"/>
  <c r="DE222" i="3"/>
  <c r="DD222" i="3"/>
  <c r="DC222" i="3"/>
  <c r="DB222" i="3"/>
  <c r="DA222" i="3"/>
  <c r="CZ222" i="3"/>
  <c r="CY222" i="3"/>
  <c r="CX222" i="3"/>
  <c r="CW222" i="3"/>
  <c r="CV222" i="3"/>
  <c r="CU222" i="3"/>
  <c r="CT222" i="3"/>
  <c r="CS222" i="3"/>
  <c r="CR222" i="3"/>
  <c r="CQ222" i="3"/>
  <c r="CP222" i="3"/>
  <c r="CO222" i="3"/>
  <c r="CN222" i="3"/>
  <c r="C225" i="3"/>
  <c r="FW213" i="3"/>
  <c r="FV213" i="3"/>
  <c r="FU213" i="3"/>
  <c r="FT213" i="3"/>
  <c r="FS213" i="3"/>
  <c r="FR213" i="3"/>
  <c r="FQ213" i="3"/>
  <c r="FP213" i="3"/>
  <c r="FO213" i="3"/>
  <c r="FN213" i="3"/>
  <c r="FM213" i="3"/>
  <c r="FL213" i="3"/>
  <c r="FK213" i="3"/>
  <c r="FJ213" i="3"/>
  <c r="FI213" i="3"/>
  <c r="FH213" i="3"/>
  <c r="FG213" i="3"/>
  <c r="FF213" i="3"/>
  <c r="FE213" i="3"/>
  <c r="FD213" i="3"/>
  <c r="FC213" i="3"/>
  <c r="FB213" i="3"/>
  <c r="FA213" i="3"/>
  <c r="EZ213" i="3"/>
  <c r="EY213" i="3"/>
  <c r="EX213" i="3"/>
  <c r="EW213" i="3"/>
  <c r="EV213" i="3"/>
  <c r="EU213" i="3"/>
  <c r="ET213" i="3"/>
  <c r="ES213" i="3"/>
  <c r="ER213" i="3"/>
  <c r="EQ213" i="3"/>
  <c r="EP213" i="3"/>
  <c r="EO213" i="3"/>
  <c r="EN213" i="3"/>
  <c r="EM213" i="3"/>
  <c r="EL213" i="3"/>
  <c r="EK213" i="3"/>
  <c r="EJ213" i="3"/>
  <c r="EI213" i="3"/>
  <c r="EH213" i="3"/>
  <c r="EG213" i="3"/>
  <c r="EF213" i="3"/>
  <c r="EE213" i="3"/>
  <c r="ED213" i="3"/>
  <c r="EC213" i="3"/>
  <c r="EB213" i="3"/>
  <c r="EA213" i="3"/>
  <c r="DZ213" i="3"/>
  <c r="DY213" i="3"/>
  <c r="DX213" i="3"/>
  <c r="DW213" i="3"/>
  <c r="DV213" i="3"/>
  <c r="DU213" i="3"/>
  <c r="DT213" i="3"/>
  <c r="DS213" i="3"/>
  <c r="DR213" i="3"/>
  <c r="DQ213" i="3"/>
  <c r="DP213" i="3"/>
  <c r="DO213" i="3"/>
  <c r="DN213" i="3"/>
  <c r="DM213" i="3"/>
  <c r="DL213" i="3"/>
  <c r="DK213" i="3"/>
  <c r="DJ213" i="3"/>
  <c r="DI213" i="3"/>
  <c r="DH213" i="3"/>
  <c r="DG213" i="3"/>
  <c r="DF213" i="3"/>
  <c r="DE213" i="3"/>
  <c r="DD213" i="3"/>
  <c r="DC213" i="3"/>
  <c r="DB213" i="3"/>
  <c r="DA213" i="3"/>
  <c r="CZ213" i="3"/>
  <c r="CY213" i="3"/>
  <c r="CX213" i="3"/>
  <c r="CW213" i="3"/>
  <c r="CV213" i="3"/>
  <c r="CU213" i="3"/>
  <c r="CT213" i="3"/>
  <c r="CS213" i="3"/>
  <c r="CR213" i="3"/>
  <c r="CQ213" i="3"/>
  <c r="CP213" i="3"/>
  <c r="CO213" i="3"/>
  <c r="CN213" i="3"/>
  <c r="C214" i="3"/>
  <c r="FW212" i="3"/>
  <c r="FV212" i="3"/>
  <c r="FU212" i="3"/>
  <c r="FT212" i="3"/>
  <c r="FS212" i="3"/>
  <c r="FR212" i="3"/>
  <c r="FQ212" i="3"/>
  <c r="FP212" i="3"/>
  <c r="FO212" i="3"/>
  <c r="FN212" i="3"/>
  <c r="FM212" i="3"/>
  <c r="FL212" i="3"/>
  <c r="FK212" i="3"/>
  <c r="FJ212" i="3"/>
  <c r="FI212" i="3"/>
  <c r="FH212" i="3"/>
  <c r="FG212" i="3"/>
  <c r="FF212" i="3"/>
  <c r="FE212" i="3"/>
  <c r="FD212" i="3"/>
  <c r="FC212" i="3"/>
  <c r="FB212" i="3"/>
  <c r="FA212" i="3"/>
  <c r="EZ212" i="3"/>
  <c r="EY212" i="3"/>
  <c r="EX212" i="3"/>
  <c r="EW212" i="3"/>
  <c r="EV212" i="3"/>
  <c r="EU212" i="3"/>
  <c r="ET212" i="3"/>
  <c r="ES212" i="3"/>
  <c r="ER212" i="3"/>
  <c r="EQ212" i="3"/>
  <c r="EP212" i="3"/>
  <c r="EO212" i="3"/>
  <c r="EN212" i="3"/>
  <c r="EM212" i="3"/>
  <c r="EL212" i="3"/>
  <c r="EK212" i="3"/>
  <c r="EJ212" i="3"/>
  <c r="EI212" i="3"/>
  <c r="EH212" i="3"/>
  <c r="EG212" i="3"/>
  <c r="EF212" i="3"/>
  <c r="EE212" i="3"/>
  <c r="ED212" i="3"/>
  <c r="EC212" i="3"/>
  <c r="EB212" i="3"/>
  <c r="EA212" i="3"/>
  <c r="DZ212" i="3"/>
  <c r="DY212" i="3"/>
  <c r="DX212" i="3"/>
  <c r="DW212" i="3"/>
  <c r="DV212" i="3"/>
  <c r="DU212" i="3"/>
  <c r="DT212" i="3"/>
  <c r="DS212" i="3"/>
  <c r="DR212" i="3"/>
  <c r="DQ212" i="3"/>
  <c r="DP212" i="3"/>
  <c r="DO212" i="3"/>
  <c r="DN212" i="3"/>
  <c r="DM212" i="3"/>
  <c r="DL212" i="3"/>
  <c r="DK212" i="3"/>
  <c r="DJ212" i="3"/>
  <c r="DI212" i="3"/>
  <c r="DH212" i="3"/>
  <c r="DG212" i="3"/>
  <c r="DF212" i="3"/>
  <c r="DE212" i="3"/>
  <c r="DD212" i="3"/>
  <c r="DC212" i="3"/>
  <c r="DB212" i="3"/>
  <c r="DA212" i="3"/>
  <c r="CZ212" i="3"/>
  <c r="CY212" i="3"/>
  <c r="CX212" i="3"/>
  <c r="CW212" i="3"/>
  <c r="CV212" i="3"/>
  <c r="CU212" i="3"/>
  <c r="CT212" i="3"/>
  <c r="CS212" i="3"/>
  <c r="CR212" i="3"/>
  <c r="CQ212" i="3"/>
  <c r="CP212" i="3"/>
  <c r="CO212" i="3"/>
  <c r="CN212" i="3"/>
  <c r="FW211" i="3"/>
  <c r="FV211" i="3"/>
  <c r="FU211" i="3"/>
  <c r="FT211" i="3"/>
  <c r="FS211" i="3"/>
  <c r="FR211" i="3"/>
  <c r="FQ211" i="3"/>
  <c r="FP211" i="3"/>
  <c r="FO211" i="3"/>
  <c r="FN211" i="3"/>
  <c r="FM211" i="3"/>
  <c r="FL211" i="3"/>
  <c r="FK211" i="3"/>
  <c r="FJ211" i="3"/>
  <c r="FI211" i="3"/>
  <c r="FH211" i="3"/>
  <c r="FG211" i="3"/>
  <c r="FF211" i="3"/>
  <c r="FE211" i="3"/>
  <c r="FD211" i="3"/>
  <c r="FC211" i="3"/>
  <c r="FB211" i="3"/>
  <c r="FA211" i="3"/>
  <c r="EZ211" i="3"/>
  <c r="EY211" i="3"/>
  <c r="EX211" i="3"/>
  <c r="EW211" i="3"/>
  <c r="EV211" i="3"/>
  <c r="EU211" i="3"/>
  <c r="ET211" i="3"/>
  <c r="ES211" i="3"/>
  <c r="ER211" i="3"/>
  <c r="EQ211" i="3"/>
  <c r="EP211" i="3"/>
  <c r="EO211" i="3"/>
  <c r="EN211" i="3"/>
  <c r="EM211" i="3"/>
  <c r="EL211" i="3"/>
  <c r="EK211" i="3"/>
  <c r="EJ211" i="3"/>
  <c r="EI211" i="3"/>
  <c r="EH211" i="3"/>
  <c r="EG211" i="3"/>
  <c r="EF211" i="3"/>
  <c r="EE211" i="3"/>
  <c r="ED211" i="3"/>
  <c r="EC211" i="3"/>
  <c r="EB211" i="3"/>
  <c r="EA211" i="3"/>
  <c r="DZ211" i="3"/>
  <c r="DY211" i="3"/>
  <c r="DX211" i="3"/>
  <c r="DW211" i="3"/>
  <c r="DV211" i="3"/>
  <c r="DU211" i="3"/>
  <c r="DT211" i="3"/>
  <c r="DS211" i="3"/>
  <c r="DR211" i="3"/>
  <c r="DQ211" i="3"/>
  <c r="DP211" i="3"/>
  <c r="DO211" i="3"/>
  <c r="DN211" i="3"/>
  <c r="DM211" i="3"/>
  <c r="DL211" i="3"/>
  <c r="DK211" i="3"/>
  <c r="DJ211" i="3"/>
  <c r="DI211" i="3"/>
  <c r="DH211" i="3"/>
  <c r="DG211" i="3"/>
  <c r="DF211" i="3"/>
  <c r="DE211" i="3"/>
  <c r="DD211" i="3"/>
  <c r="DC211" i="3"/>
  <c r="DB211" i="3"/>
  <c r="DA211" i="3"/>
  <c r="CZ211" i="3"/>
  <c r="CY211" i="3"/>
  <c r="CX211" i="3"/>
  <c r="CW211" i="3"/>
  <c r="CV211" i="3"/>
  <c r="CU211" i="3"/>
  <c r="CT211" i="3"/>
  <c r="CS211" i="3"/>
  <c r="CR211" i="3"/>
  <c r="CQ211" i="3"/>
  <c r="CP211" i="3"/>
  <c r="CO211" i="3"/>
  <c r="CN211" i="3"/>
  <c r="FW210" i="3"/>
  <c r="FV210" i="3"/>
  <c r="FU210" i="3"/>
  <c r="FT210" i="3"/>
  <c r="FS210" i="3"/>
  <c r="FR210" i="3"/>
  <c r="FQ210" i="3"/>
  <c r="FP210" i="3"/>
  <c r="FO210" i="3"/>
  <c r="FN210" i="3"/>
  <c r="FM210" i="3"/>
  <c r="FL210" i="3"/>
  <c r="FK210" i="3"/>
  <c r="FJ210" i="3"/>
  <c r="FI210" i="3"/>
  <c r="FH210" i="3"/>
  <c r="FG210" i="3"/>
  <c r="FF210" i="3"/>
  <c r="FE210" i="3"/>
  <c r="FD210" i="3"/>
  <c r="FC210" i="3"/>
  <c r="FB210" i="3"/>
  <c r="FA210" i="3"/>
  <c r="EZ210" i="3"/>
  <c r="EY210" i="3"/>
  <c r="EX210" i="3"/>
  <c r="EW210" i="3"/>
  <c r="EV210" i="3"/>
  <c r="EU210" i="3"/>
  <c r="ET210" i="3"/>
  <c r="ES210" i="3"/>
  <c r="ER210" i="3"/>
  <c r="EQ210" i="3"/>
  <c r="EP210" i="3"/>
  <c r="EO210" i="3"/>
  <c r="EN210" i="3"/>
  <c r="EM210" i="3"/>
  <c r="EL210" i="3"/>
  <c r="EK210" i="3"/>
  <c r="EJ210" i="3"/>
  <c r="EI210" i="3"/>
  <c r="EH210" i="3"/>
  <c r="EG210" i="3"/>
  <c r="EF210" i="3"/>
  <c r="EE210" i="3"/>
  <c r="ED210" i="3"/>
  <c r="EC210" i="3"/>
  <c r="EB210" i="3"/>
  <c r="EA210" i="3"/>
  <c r="DZ210" i="3"/>
  <c r="DY210" i="3"/>
  <c r="DX210" i="3"/>
  <c r="DW210" i="3"/>
  <c r="DV210" i="3"/>
  <c r="DU210" i="3"/>
  <c r="DT210" i="3"/>
  <c r="DS210" i="3"/>
  <c r="DR210" i="3"/>
  <c r="DQ210" i="3"/>
  <c r="DP210" i="3"/>
  <c r="DO210" i="3"/>
  <c r="DN210" i="3"/>
  <c r="DM210" i="3"/>
  <c r="DL210" i="3"/>
  <c r="DK210" i="3"/>
  <c r="DJ210" i="3"/>
  <c r="DI210" i="3"/>
  <c r="DH210" i="3"/>
  <c r="DG210" i="3"/>
  <c r="DF210" i="3"/>
  <c r="DE210" i="3"/>
  <c r="DD210" i="3"/>
  <c r="DC210" i="3"/>
  <c r="DB210" i="3"/>
  <c r="DA210" i="3"/>
  <c r="CZ210" i="3"/>
  <c r="CY210" i="3"/>
  <c r="CX210" i="3"/>
  <c r="CW210" i="3"/>
  <c r="CV210" i="3"/>
  <c r="CU210" i="3"/>
  <c r="CT210" i="3"/>
  <c r="CS210" i="3"/>
  <c r="CR210" i="3"/>
  <c r="CQ210" i="3"/>
  <c r="CP210" i="3"/>
  <c r="CO210" i="3"/>
  <c r="CN210" i="3"/>
  <c r="FW185" i="3"/>
  <c r="FV185" i="3"/>
  <c r="FU185" i="3"/>
  <c r="FT185" i="3"/>
  <c r="FS185" i="3"/>
  <c r="FR185" i="3"/>
  <c r="FQ185" i="3"/>
  <c r="FP185" i="3"/>
  <c r="FO185" i="3"/>
  <c r="FN185" i="3"/>
  <c r="FM185" i="3"/>
  <c r="FL185" i="3"/>
  <c r="FK185" i="3"/>
  <c r="FJ185" i="3"/>
  <c r="FI185" i="3"/>
  <c r="FH185" i="3"/>
  <c r="FG185" i="3"/>
  <c r="FF185" i="3"/>
  <c r="FE185" i="3"/>
  <c r="FD185" i="3"/>
  <c r="FC185" i="3"/>
  <c r="FB185" i="3"/>
  <c r="FA185" i="3"/>
  <c r="EZ185" i="3"/>
  <c r="EY185" i="3"/>
  <c r="EX185" i="3"/>
  <c r="EW185" i="3"/>
  <c r="EV185" i="3"/>
  <c r="EU185" i="3"/>
  <c r="ET185" i="3"/>
  <c r="ES185" i="3"/>
  <c r="ER185" i="3"/>
  <c r="EQ185" i="3"/>
  <c r="EP185" i="3"/>
  <c r="EO185" i="3"/>
  <c r="EN185" i="3"/>
  <c r="EM185" i="3"/>
  <c r="EL185" i="3"/>
  <c r="EK185" i="3"/>
  <c r="EJ185" i="3"/>
  <c r="EI185" i="3"/>
  <c r="EH185" i="3"/>
  <c r="EG185" i="3"/>
  <c r="EF185" i="3"/>
  <c r="EE185" i="3"/>
  <c r="ED185" i="3"/>
  <c r="EC185" i="3"/>
  <c r="EB185" i="3"/>
  <c r="EA185" i="3"/>
  <c r="DZ185" i="3"/>
  <c r="DY185" i="3"/>
  <c r="DX185" i="3"/>
  <c r="DW185" i="3"/>
  <c r="DV185" i="3"/>
  <c r="DU185" i="3"/>
  <c r="DT185" i="3"/>
  <c r="DS185" i="3"/>
  <c r="DR185" i="3"/>
  <c r="DQ185" i="3"/>
  <c r="DP185" i="3"/>
  <c r="DO185" i="3"/>
  <c r="DN185" i="3"/>
  <c r="DM185" i="3"/>
  <c r="DL185" i="3"/>
  <c r="DK185" i="3"/>
  <c r="DJ185" i="3"/>
  <c r="DI185" i="3"/>
  <c r="DH185" i="3"/>
  <c r="DG185" i="3"/>
  <c r="DF185" i="3"/>
  <c r="DE185" i="3"/>
  <c r="DD185" i="3"/>
  <c r="DC185" i="3"/>
  <c r="DB185" i="3"/>
  <c r="DA185" i="3"/>
  <c r="CZ185" i="3"/>
  <c r="CY185" i="3"/>
  <c r="CX185" i="3"/>
  <c r="CW185" i="3"/>
  <c r="CV185" i="3"/>
  <c r="CU185" i="3"/>
  <c r="CT185" i="3"/>
  <c r="CS185" i="3"/>
  <c r="CR185" i="3"/>
  <c r="CQ185" i="3"/>
  <c r="CP185" i="3"/>
  <c r="CO185" i="3"/>
  <c r="CN185" i="3"/>
  <c r="FW183" i="3"/>
  <c r="FV183" i="3"/>
  <c r="FU183" i="3"/>
  <c r="FT183" i="3"/>
  <c r="FS183" i="3"/>
  <c r="FR183" i="3"/>
  <c r="FQ183" i="3"/>
  <c r="FP183" i="3"/>
  <c r="FO183" i="3"/>
  <c r="FN183" i="3"/>
  <c r="FM183" i="3"/>
  <c r="FL183" i="3"/>
  <c r="FK183" i="3"/>
  <c r="FJ183" i="3"/>
  <c r="FI183" i="3"/>
  <c r="FH183" i="3"/>
  <c r="FG183" i="3"/>
  <c r="FF183" i="3"/>
  <c r="FE183" i="3"/>
  <c r="FD183" i="3"/>
  <c r="FC183" i="3"/>
  <c r="FB183" i="3"/>
  <c r="FA183" i="3"/>
  <c r="EZ183" i="3"/>
  <c r="EY183" i="3"/>
  <c r="EX183" i="3"/>
  <c r="EW183" i="3"/>
  <c r="EV183" i="3"/>
  <c r="EU183" i="3"/>
  <c r="ET183" i="3"/>
  <c r="ES183" i="3"/>
  <c r="ER183" i="3"/>
  <c r="EQ183" i="3"/>
  <c r="EP183" i="3"/>
  <c r="EO183" i="3"/>
  <c r="EN183" i="3"/>
  <c r="EM183" i="3"/>
  <c r="EL183" i="3"/>
  <c r="EK183" i="3"/>
  <c r="EJ183" i="3"/>
  <c r="EI183" i="3"/>
  <c r="EH183" i="3"/>
  <c r="EG183" i="3"/>
  <c r="EF183" i="3"/>
  <c r="EE183" i="3"/>
  <c r="ED183" i="3"/>
  <c r="EC183" i="3"/>
  <c r="EB183" i="3"/>
  <c r="EA183" i="3"/>
  <c r="DZ183" i="3"/>
  <c r="DY183" i="3"/>
  <c r="DX183" i="3"/>
  <c r="DW183" i="3"/>
  <c r="DV183" i="3"/>
  <c r="DU183" i="3"/>
  <c r="DT183" i="3"/>
  <c r="DS183" i="3"/>
  <c r="DR183" i="3"/>
  <c r="DQ183" i="3"/>
  <c r="DP183" i="3"/>
  <c r="DO183" i="3"/>
  <c r="DN183" i="3"/>
  <c r="DM183" i="3"/>
  <c r="DL183" i="3"/>
  <c r="DK183" i="3"/>
  <c r="DJ183" i="3"/>
  <c r="DI183" i="3"/>
  <c r="DH183" i="3"/>
  <c r="DG183" i="3"/>
  <c r="DF183" i="3"/>
  <c r="DE183" i="3"/>
  <c r="DD183" i="3"/>
  <c r="DC183" i="3"/>
  <c r="DB183" i="3"/>
  <c r="DA183" i="3"/>
  <c r="CZ183" i="3"/>
  <c r="CY183" i="3"/>
  <c r="CX183" i="3"/>
  <c r="CW183" i="3"/>
  <c r="CV183" i="3"/>
  <c r="CU183" i="3"/>
  <c r="CT183" i="3"/>
  <c r="CS183" i="3"/>
  <c r="CR183" i="3"/>
  <c r="CQ183" i="3"/>
  <c r="CP183" i="3"/>
  <c r="CO183" i="3"/>
  <c r="CN183" i="3"/>
  <c r="FW182" i="3"/>
  <c r="FV182" i="3"/>
  <c r="FU182" i="3"/>
  <c r="FT182" i="3"/>
  <c r="FS182" i="3"/>
  <c r="FR182" i="3"/>
  <c r="FQ182" i="3"/>
  <c r="FP182" i="3"/>
  <c r="FO182" i="3"/>
  <c r="FN182" i="3"/>
  <c r="FM182" i="3"/>
  <c r="FL182" i="3"/>
  <c r="FK182" i="3"/>
  <c r="FJ182" i="3"/>
  <c r="FI182" i="3"/>
  <c r="FH182" i="3"/>
  <c r="FG182" i="3"/>
  <c r="FF182" i="3"/>
  <c r="FE182" i="3"/>
  <c r="FD182" i="3"/>
  <c r="FC182" i="3"/>
  <c r="FB182" i="3"/>
  <c r="FA182" i="3"/>
  <c r="EZ182" i="3"/>
  <c r="EY182" i="3"/>
  <c r="EX182" i="3"/>
  <c r="EW182" i="3"/>
  <c r="EV182" i="3"/>
  <c r="EU182" i="3"/>
  <c r="ET182" i="3"/>
  <c r="ES182" i="3"/>
  <c r="ER182" i="3"/>
  <c r="EQ182" i="3"/>
  <c r="EP182" i="3"/>
  <c r="EO182" i="3"/>
  <c r="EN182" i="3"/>
  <c r="EM182" i="3"/>
  <c r="EL182" i="3"/>
  <c r="EK182" i="3"/>
  <c r="EJ182" i="3"/>
  <c r="EI182" i="3"/>
  <c r="EH182" i="3"/>
  <c r="EG182" i="3"/>
  <c r="EF182" i="3"/>
  <c r="EE182" i="3"/>
  <c r="ED182" i="3"/>
  <c r="EC182" i="3"/>
  <c r="EB182" i="3"/>
  <c r="EA182" i="3"/>
  <c r="DZ182" i="3"/>
  <c r="DY182" i="3"/>
  <c r="DX182" i="3"/>
  <c r="DW182" i="3"/>
  <c r="DV182" i="3"/>
  <c r="DU182" i="3"/>
  <c r="DT182" i="3"/>
  <c r="DS182" i="3"/>
  <c r="DR182" i="3"/>
  <c r="DQ182" i="3"/>
  <c r="DP182" i="3"/>
  <c r="DO182" i="3"/>
  <c r="DN182" i="3"/>
  <c r="DM182" i="3"/>
  <c r="DL182" i="3"/>
  <c r="DK182" i="3"/>
  <c r="DJ182" i="3"/>
  <c r="DI182" i="3"/>
  <c r="DH182" i="3"/>
  <c r="DG182" i="3"/>
  <c r="DF182" i="3"/>
  <c r="DE182" i="3"/>
  <c r="DD182" i="3"/>
  <c r="DC182" i="3"/>
  <c r="DB182" i="3"/>
  <c r="DA182" i="3"/>
  <c r="CZ182" i="3"/>
  <c r="CY182" i="3"/>
  <c r="CX182" i="3"/>
  <c r="CW182" i="3"/>
  <c r="CV182" i="3"/>
  <c r="CU182" i="3"/>
  <c r="CT182" i="3"/>
  <c r="CS182" i="3"/>
  <c r="CR182" i="3"/>
  <c r="CQ182" i="3"/>
  <c r="CP182" i="3"/>
  <c r="CO182" i="3"/>
  <c r="CN182" i="3"/>
  <c r="C186" i="3"/>
  <c r="FW207" i="3"/>
  <c r="FV207" i="3"/>
  <c r="FU207" i="3"/>
  <c r="FT207" i="3"/>
  <c r="FS207" i="3"/>
  <c r="FR207" i="3"/>
  <c r="FQ207" i="3"/>
  <c r="FP207" i="3"/>
  <c r="FO207" i="3"/>
  <c r="FN207" i="3"/>
  <c r="FM207" i="3"/>
  <c r="FL207" i="3"/>
  <c r="FK207" i="3"/>
  <c r="FJ207" i="3"/>
  <c r="FI207" i="3"/>
  <c r="FH207" i="3"/>
  <c r="FG207" i="3"/>
  <c r="FF207" i="3"/>
  <c r="FE207" i="3"/>
  <c r="FD207" i="3"/>
  <c r="FC207" i="3"/>
  <c r="FB207" i="3"/>
  <c r="FA207" i="3"/>
  <c r="EZ207" i="3"/>
  <c r="EY207" i="3"/>
  <c r="EX207" i="3"/>
  <c r="EW207" i="3"/>
  <c r="EV207" i="3"/>
  <c r="EU207" i="3"/>
  <c r="ET207" i="3"/>
  <c r="ES207" i="3"/>
  <c r="ER207" i="3"/>
  <c r="EQ207" i="3"/>
  <c r="EP207" i="3"/>
  <c r="EO207" i="3"/>
  <c r="EN207" i="3"/>
  <c r="EM207" i="3"/>
  <c r="EL207" i="3"/>
  <c r="EK207" i="3"/>
  <c r="EJ207" i="3"/>
  <c r="EI207" i="3"/>
  <c r="EH207" i="3"/>
  <c r="EG207" i="3"/>
  <c r="EF207" i="3"/>
  <c r="EE207" i="3"/>
  <c r="ED207" i="3"/>
  <c r="EC207" i="3"/>
  <c r="EB207" i="3"/>
  <c r="EA207" i="3"/>
  <c r="DZ207" i="3"/>
  <c r="DY207" i="3"/>
  <c r="DX207" i="3"/>
  <c r="DW207" i="3"/>
  <c r="DV207" i="3"/>
  <c r="DU207" i="3"/>
  <c r="DT207" i="3"/>
  <c r="DS207" i="3"/>
  <c r="DR207" i="3"/>
  <c r="DQ207" i="3"/>
  <c r="DP207" i="3"/>
  <c r="DO207" i="3"/>
  <c r="DN207" i="3"/>
  <c r="DM207" i="3"/>
  <c r="DL207" i="3"/>
  <c r="DK207" i="3"/>
  <c r="DJ207" i="3"/>
  <c r="DI207" i="3"/>
  <c r="DH207" i="3"/>
  <c r="DG207" i="3"/>
  <c r="DF207" i="3"/>
  <c r="DE207" i="3"/>
  <c r="DD207" i="3"/>
  <c r="DC207" i="3"/>
  <c r="DB207" i="3"/>
  <c r="DA207" i="3"/>
  <c r="CZ207" i="3"/>
  <c r="CY207" i="3"/>
  <c r="CX207" i="3"/>
  <c r="CW207" i="3"/>
  <c r="CV207" i="3"/>
  <c r="CU207" i="3"/>
  <c r="CT207" i="3"/>
  <c r="CS207" i="3"/>
  <c r="CR207" i="3"/>
  <c r="CQ207" i="3"/>
  <c r="CP207" i="3"/>
  <c r="CO207" i="3"/>
  <c r="CN207" i="3"/>
  <c r="FW206" i="3"/>
  <c r="FV206" i="3"/>
  <c r="FU206" i="3"/>
  <c r="FT206" i="3"/>
  <c r="FS206" i="3"/>
  <c r="FR206" i="3"/>
  <c r="FQ206" i="3"/>
  <c r="FP206" i="3"/>
  <c r="FO206" i="3"/>
  <c r="FN206" i="3"/>
  <c r="FM206" i="3"/>
  <c r="FL206" i="3"/>
  <c r="FK206" i="3"/>
  <c r="FJ206" i="3"/>
  <c r="FI206" i="3"/>
  <c r="FH206" i="3"/>
  <c r="FG206" i="3"/>
  <c r="FF206" i="3"/>
  <c r="FE206" i="3"/>
  <c r="FD206" i="3"/>
  <c r="FC206" i="3"/>
  <c r="FB206" i="3"/>
  <c r="FA206" i="3"/>
  <c r="EZ206" i="3"/>
  <c r="EY206" i="3"/>
  <c r="EX206" i="3"/>
  <c r="EW206" i="3"/>
  <c r="EV206" i="3"/>
  <c r="EU206" i="3"/>
  <c r="ET206" i="3"/>
  <c r="ES206" i="3"/>
  <c r="ER206" i="3"/>
  <c r="EQ206" i="3"/>
  <c r="EP206" i="3"/>
  <c r="EO206" i="3"/>
  <c r="EN206" i="3"/>
  <c r="EM206" i="3"/>
  <c r="EL206" i="3"/>
  <c r="EK206" i="3"/>
  <c r="EJ206" i="3"/>
  <c r="EI206" i="3"/>
  <c r="EH206" i="3"/>
  <c r="EG206" i="3"/>
  <c r="EF206" i="3"/>
  <c r="EE206" i="3"/>
  <c r="ED206" i="3"/>
  <c r="EC206" i="3"/>
  <c r="EB206" i="3"/>
  <c r="EA206" i="3"/>
  <c r="DZ206" i="3"/>
  <c r="DY206" i="3"/>
  <c r="DX206" i="3"/>
  <c r="DW206" i="3"/>
  <c r="DV206" i="3"/>
  <c r="DU206" i="3"/>
  <c r="DT206" i="3"/>
  <c r="DS206" i="3"/>
  <c r="DR206" i="3"/>
  <c r="DQ206" i="3"/>
  <c r="DP206" i="3"/>
  <c r="DO206" i="3"/>
  <c r="DN206" i="3"/>
  <c r="DM206" i="3"/>
  <c r="DL206" i="3"/>
  <c r="DK206" i="3"/>
  <c r="DJ206" i="3"/>
  <c r="DI206" i="3"/>
  <c r="DH206" i="3"/>
  <c r="DG206" i="3"/>
  <c r="DF206" i="3"/>
  <c r="DE206" i="3"/>
  <c r="DD206" i="3"/>
  <c r="DC206" i="3"/>
  <c r="DB206" i="3"/>
  <c r="DA206" i="3"/>
  <c r="CZ206" i="3"/>
  <c r="CY206" i="3"/>
  <c r="CX206" i="3"/>
  <c r="CW206" i="3"/>
  <c r="CV206" i="3"/>
  <c r="CU206" i="3"/>
  <c r="CT206" i="3"/>
  <c r="CS206" i="3"/>
  <c r="CR206" i="3"/>
  <c r="CQ206" i="3"/>
  <c r="CP206" i="3"/>
  <c r="CO206" i="3"/>
  <c r="CN206" i="3"/>
  <c r="FW205" i="3"/>
  <c r="FV205" i="3"/>
  <c r="FU205" i="3"/>
  <c r="FT205" i="3"/>
  <c r="FS205" i="3"/>
  <c r="FR205" i="3"/>
  <c r="FQ205" i="3"/>
  <c r="FP205" i="3"/>
  <c r="FO205" i="3"/>
  <c r="FN205" i="3"/>
  <c r="FM205" i="3"/>
  <c r="FL205" i="3"/>
  <c r="FK205" i="3"/>
  <c r="FJ205" i="3"/>
  <c r="FI205" i="3"/>
  <c r="FH205" i="3"/>
  <c r="FG205" i="3"/>
  <c r="FF205" i="3"/>
  <c r="FE205" i="3"/>
  <c r="FD205" i="3"/>
  <c r="FC205" i="3"/>
  <c r="FB205" i="3"/>
  <c r="FA205" i="3"/>
  <c r="EZ205" i="3"/>
  <c r="EY205" i="3"/>
  <c r="EX205" i="3"/>
  <c r="EW205" i="3"/>
  <c r="EV205" i="3"/>
  <c r="EU205" i="3"/>
  <c r="ET205" i="3"/>
  <c r="ES205" i="3"/>
  <c r="ER205" i="3"/>
  <c r="EQ205" i="3"/>
  <c r="EP205" i="3"/>
  <c r="EO205" i="3"/>
  <c r="EN205" i="3"/>
  <c r="EM205" i="3"/>
  <c r="EL205" i="3"/>
  <c r="EK205" i="3"/>
  <c r="EJ205" i="3"/>
  <c r="EI205" i="3"/>
  <c r="EH205" i="3"/>
  <c r="EG205" i="3"/>
  <c r="EF205" i="3"/>
  <c r="EE205" i="3"/>
  <c r="ED205" i="3"/>
  <c r="EC205" i="3"/>
  <c r="EB205" i="3"/>
  <c r="EA205" i="3"/>
  <c r="DZ205" i="3"/>
  <c r="DY205" i="3"/>
  <c r="DX205" i="3"/>
  <c r="DW205" i="3"/>
  <c r="DV205" i="3"/>
  <c r="DU205" i="3"/>
  <c r="DT205" i="3"/>
  <c r="DS205" i="3"/>
  <c r="DR205" i="3"/>
  <c r="DQ205" i="3"/>
  <c r="DP205" i="3"/>
  <c r="DO205" i="3"/>
  <c r="DN205" i="3"/>
  <c r="DM205" i="3"/>
  <c r="DL205" i="3"/>
  <c r="DK205" i="3"/>
  <c r="DJ205" i="3"/>
  <c r="DI205" i="3"/>
  <c r="DH205" i="3"/>
  <c r="DG205" i="3"/>
  <c r="DF205" i="3"/>
  <c r="DE205" i="3"/>
  <c r="DD205" i="3"/>
  <c r="DC205" i="3"/>
  <c r="DB205" i="3"/>
  <c r="DA205" i="3"/>
  <c r="CZ205" i="3"/>
  <c r="CY205" i="3"/>
  <c r="CX205" i="3"/>
  <c r="CW205" i="3"/>
  <c r="CV205" i="3"/>
  <c r="CU205" i="3"/>
  <c r="CT205" i="3"/>
  <c r="CS205" i="3"/>
  <c r="CR205" i="3"/>
  <c r="CQ205" i="3"/>
  <c r="CP205" i="3"/>
  <c r="CO205" i="3"/>
  <c r="CN205" i="3"/>
  <c r="FW204" i="3"/>
  <c r="FV204" i="3"/>
  <c r="FU204" i="3"/>
  <c r="FT204" i="3"/>
  <c r="FS204" i="3"/>
  <c r="FR204" i="3"/>
  <c r="FQ204" i="3"/>
  <c r="FP204" i="3"/>
  <c r="FO204" i="3"/>
  <c r="FN204" i="3"/>
  <c r="FM204" i="3"/>
  <c r="FL204" i="3"/>
  <c r="FK204" i="3"/>
  <c r="FJ204" i="3"/>
  <c r="FI204" i="3"/>
  <c r="FH204" i="3"/>
  <c r="FG204" i="3"/>
  <c r="FF204" i="3"/>
  <c r="FE204" i="3"/>
  <c r="FD204" i="3"/>
  <c r="FC204" i="3"/>
  <c r="FB204" i="3"/>
  <c r="FA204" i="3"/>
  <c r="EZ204" i="3"/>
  <c r="EY204" i="3"/>
  <c r="EX204" i="3"/>
  <c r="EW204" i="3"/>
  <c r="EV204" i="3"/>
  <c r="EU204" i="3"/>
  <c r="ET204" i="3"/>
  <c r="ES204" i="3"/>
  <c r="ER204" i="3"/>
  <c r="EQ204" i="3"/>
  <c r="EP204" i="3"/>
  <c r="EO204" i="3"/>
  <c r="EN204" i="3"/>
  <c r="EM204" i="3"/>
  <c r="EL204" i="3"/>
  <c r="EK204" i="3"/>
  <c r="EJ204" i="3"/>
  <c r="EI204" i="3"/>
  <c r="EH204" i="3"/>
  <c r="EG204" i="3"/>
  <c r="EF204" i="3"/>
  <c r="EE204" i="3"/>
  <c r="ED204" i="3"/>
  <c r="EC204" i="3"/>
  <c r="EB204" i="3"/>
  <c r="EA204" i="3"/>
  <c r="DZ204" i="3"/>
  <c r="DY204" i="3"/>
  <c r="DX204" i="3"/>
  <c r="DW204" i="3"/>
  <c r="DV204" i="3"/>
  <c r="DU204" i="3"/>
  <c r="DT204" i="3"/>
  <c r="DS204" i="3"/>
  <c r="DR204" i="3"/>
  <c r="DQ204" i="3"/>
  <c r="DP204" i="3"/>
  <c r="DO204" i="3"/>
  <c r="DN204" i="3"/>
  <c r="DM204" i="3"/>
  <c r="DL204" i="3"/>
  <c r="DK204" i="3"/>
  <c r="DJ204" i="3"/>
  <c r="DI204" i="3"/>
  <c r="DH204" i="3"/>
  <c r="DG204" i="3"/>
  <c r="DF204" i="3"/>
  <c r="DE204" i="3"/>
  <c r="DD204" i="3"/>
  <c r="DC204" i="3"/>
  <c r="DB204" i="3"/>
  <c r="DA204" i="3"/>
  <c r="CZ204" i="3"/>
  <c r="CY204" i="3"/>
  <c r="CX204" i="3"/>
  <c r="CW204" i="3"/>
  <c r="CV204" i="3"/>
  <c r="CU204" i="3"/>
  <c r="CT204" i="3"/>
  <c r="CS204" i="3"/>
  <c r="CR204" i="3"/>
  <c r="CQ204" i="3"/>
  <c r="CP204" i="3"/>
  <c r="CO204" i="3"/>
  <c r="CN204" i="3"/>
  <c r="FW203" i="3"/>
  <c r="FV203" i="3"/>
  <c r="FU203" i="3"/>
  <c r="FT203" i="3"/>
  <c r="FS203" i="3"/>
  <c r="FR203" i="3"/>
  <c r="FQ203" i="3"/>
  <c r="FP203" i="3"/>
  <c r="FO203" i="3"/>
  <c r="FN203" i="3"/>
  <c r="FM203" i="3"/>
  <c r="FL203" i="3"/>
  <c r="FK203" i="3"/>
  <c r="FJ203" i="3"/>
  <c r="FI203" i="3"/>
  <c r="FH203" i="3"/>
  <c r="FG203" i="3"/>
  <c r="FF203" i="3"/>
  <c r="FE203" i="3"/>
  <c r="FD203" i="3"/>
  <c r="FC203" i="3"/>
  <c r="FB203" i="3"/>
  <c r="FA203" i="3"/>
  <c r="EZ203" i="3"/>
  <c r="EY203" i="3"/>
  <c r="EX203" i="3"/>
  <c r="EW203" i="3"/>
  <c r="EV203" i="3"/>
  <c r="EU203" i="3"/>
  <c r="ET203" i="3"/>
  <c r="ES203" i="3"/>
  <c r="ER203" i="3"/>
  <c r="EQ203" i="3"/>
  <c r="EP203" i="3"/>
  <c r="EO203" i="3"/>
  <c r="EN203" i="3"/>
  <c r="EM203" i="3"/>
  <c r="EL203" i="3"/>
  <c r="EK203" i="3"/>
  <c r="EJ203" i="3"/>
  <c r="EI203" i="3"/>
  <c r="EH203" i="3"/>
  <c r="EG203" i="3"/>
  <c r="EF203" i="3"/>
  <c r="EE203" i="3"/>
  <c r="ED203" i="3"/>
  <c r="EC203" i="3"/>
  <c r="EB203" i="3"/>
  <c r="EA203" i="3"/>
  <c r="DZ203" i="3"/>
  <c r="DY203" i="3"/>
  <c r="DX203" i="3"/>
  <c r="DW203" i="3"/>
  <c r="DV203" i="3"/>
  <c r="DU203" i="3"/>
  <c r="DT203" i="3"/>
  <c r="DS203" i="3"/>
  <c r="DR203" i="3"/>
  <c r="DQ203" i="3"/>
  <c r="DP203" i="3"/>
  <c r="DO203" i="3"/>
  <c r="DN203" i="3"/>
  <c r="DM203" i="3"/>
  <c r="DL203" i="3"/>
  <c r="DK203" i="3"/>
  <c r="DJ203" i="3"/>
  <c r="DI203" i="3"/>
  <c r="DH203" i="3"/>
  <c r="DG203" i="3"/>
  <c r="DF203" i="3"/>
  <c r="DE203" i="3"/>
  <c r="DD203" i="3"/>
  <c r="DC203" i="3"/>
  <c r="DB203" i="3"/>
  <c r="DA203" i="3"/>
  <c r="CZ203" i="3"/>
  <c r="CY203" i="3"/>
  <c r="CX203" i="3"/>
  <c r="CW203" i="3"/>
  <c r="CV203" i="3"/>
  <c r="CU203" i="3"/>
  <c r="CT203" i="3"/>
  <c r="CS203" i="3"/>
  <c r="CR203" i="3"/>
  <c r="CQ203" i="3"/>
  <c r="CP203" i="3"/>
  <c r="CO203" i="3"/>
  <c r="CN203" i="3"/>
  <c r="FW202" i="3"/>
  <c r="FW208" i="3" s="1"/>
  <c r="FV202" i="3"/>
  <c r="FU202" i="3"/>
  <c r="FU208" i="3" s="1"/>
  <c r="FT202" i="3"/>
  <c r="FS202" i="3"/>
  <c r="FR202" i="3"/>
  <c r="FR208" i="3" s="1"/>
  <c r="FQ202" i="3"/>
  <c r="FQ208" i="3" s="1"/>
  <c r="FP202" i="3"/>
  <c r="FP208" i="3" s="1"/>
  <c r="FO202" i="3"/>
  <c r="FN202" i="3"/>
  <c r="FM202" i="3"/>
  <c r="FL202" i="3"/>
  <c r="FK202" i="3"/>
  <c r="FJ202" i="3"/>
  <c r="FJ208" i="3" s="1"/>
  <c r="FI202" i="3"/>
  <c r="FI208" i="3" s="1"/>
  <c r="FH202" i="3"/>
  <c r="FH208" i="3" s="1"/>
  <c r="FG202" i="3"/>
  <c r="FF202" i="3"/>
  <c r="FE202" i="3"/>
  <c r="FE208" i="3" s="1"/>
  <c r="FD202" i="3"/>
  <c r="FD208" i="3" s="1"/>
  <c r="FC202" i="3"/>
  <c r="FB202" i="3"/>
  <c r="FB208" i="3" s="1"/>
  <c r="FA202" i="3"/>
  <c r="FA208" i="3" s="1"/>
  <c r="EZ202" i="3"/>
  <c r="EZ208" i="3" s="1"/>
  <c r="EY202" i="3"/>
  <c r="EX202" i="3"/>
  <c r="EW202" i="3"/>
  <c r="EW208" i="3" s="1"/>
  <c r="EV202" i="3"/>
  <c r="EU202" i="3"/>
  <c r="ET202" i="3"/>
  <c r="ET208" i="3" s="1"/>
  <c r="ES202" i="3"/>
  <c r="ES208" i="3" s="1"/>
  <c r="ER202" i="3"/>
  <c r="ER208" i="3" s="1"/>
  <c r="EQ202" i="3"/>
  <c r="EP202" i="3"/>
  <c r="EO202" i="3"/>
  <c r="EO208" i="3" s="1"/>
  <c r="EN202" i="3"/>
  <c r="EN208" i="3" s="1"/>
  <c r="EM202" i="3"/>
  <c r="EL202" i="3"/>
  <c r="EL208" i="3" s="1"/>
  <c r="EK202" i="3"/>
  <c r="EK208" i="3" s="1"/>
  <c r="EJ202" i="3"/>
  <c r="EI202" i="3"/>
  <c r="EI208" i="3" s="1"/>
  <c r="EH202" i="3"/>
  <c r="EG202" i="3"/>
  <c r="EG208" i="3" s="1"/>
  <c r="EF202" i="3"/>
  <c r="EE202" i="3"/>
  <c r="ED202" i="3"/>
  <c r="ED208" i="3" s="1"/>
  <c r="EC202" i="3"/>
  <c r="EC208" i="3" s="1"/>
  <c r="EB202" i="3"/>
  <c r="EB208" i="3" s="1"/>
  <c r="EA202" i="3"/>
  <c r="EA208" i="3" s="1"/>
  <c r="DZ202" i="3"/>
  <c r="DY202" i="3"/>
  <c r="DY208" i="3" s="1"/>
  <c r="DX202" i="3"/>
  <c r="DW202" i="3"/>
  <c r="DV202" i="3"/>
  <c r="DV208" i="3" s="1"/>
  <c r="DU202" i="3"/>
  <c r="DU208" i="3" s="1"/>
  <c r="DT202" i="3"/>
  <c r="DS202" i="3"/>
  <c r="DS208" i="3" s="1"/>
  <c r="DR202" i="3"/>
  <c r="DQ202" i="3"/>
  <c r="DP202" i="3"/>
  <c r="DO202" i="3"/>
  <c r="DN202" i="3"/>
  <c r="DN208" i="3" s="1"/>
  <c r="DM202" i="3"/>
  <c r="DM208" i="3" s="1"/>
  <c r="DL202" i="3"/>
  <c r="DK202" i="3"/>
  <c r="DK208" i="3" s="1"/>
  <c r="DJ202" i="3"/>
  <c r="DI202" i="3"/>
  <c r="DI208" i="3" s="1"/>
  <c r="DH202" i="3"/>
  <c r="DG202" i="3"/>
  <c r="DF202" i="3"/>
  <c r="DF208" i="3" s="1"/>
  <c r="DE202" i="3"/>
  <c r="DE208" i="3" s="1"/>
  <c r="DD202" i="3"/>
  <c r="DC202" i="3"/>
  <c r="DC208" i="3" s="1"/>
  <c r="DB202" i="3"/>
  <c r="DA202" i="3"/>
  <c r="DA208" i="3" s="1"/>
  <c r="CZ202" i="3"/>
  <c r="CY202" i="3"/>
  <c r="CY208" i="3" s="1"/>
  <c r="CX202" i="3"/>
  <c r="CX208" i="3" s="1"/>
  <c r="CW202" i="3"/>
  <c r="CW208" i="3" s="1"/>
  <c r="CV202" i="3"/>
  <c r="CU202" i="3"/>
  <c r="CU208" i="3" s="1"/>
  <c r="CT202" i="3"/>
  <c r="CS202" i="3"/>
  <c r="CS208" i="3" s="1"/>
  <c r="CR202" i="3"/>
  <c r="CQ202" i="3"/>
  <c r="CQ208" i="3" s="1"/>
  <c r="CP202" i="3"/>
  <c r="CP208" i="3" s="1"/>
  <c r="CO202" i="3"/>
  <c r="CO208" i="3" s="1"/>
  <c r="CN202" i="3"/>
  <c r="CN208" i="3" s="1"/>
  <c r="C208" i="3"/>
  <c r="EY236" i="3" l="1"/>
  <c r="FC236" i="3"/>
  <c r="EU208" i="3"/>
  <c r="CZ208" i="3"/>
  <c r="EF208" i="3"/>
  <c r="CN236" i="3"/>
  <c r="FB236" i="3"/>
  <c r="FJ236" i="3"/>
  <c r="DD236" i="3"/>
  <c r="DQ208" i="3"/>
  <c r="FI236" i="3"/>
  <c r="CR208" i="3"/>
  <c r="DP208" i="3"/>
  <c r="FL208" i="3"/>
  <c r="FT208" i="3"/>
  <c r="FQ236" i="3"/>
  <c r="DJ208" i="3"/>
  <c r="DR208" i="3"/>
  <c r="FV208" i="3"/>
  <c r="EV208" i="3"/>
  <c r="DX208" i="3"/>
  <c r="DH208" i="3"/>
  <c r="ET236" i="3"/>
  <c r="EP208" i="3"/>
  <c r="DZ208" i="3"/>
  <c r="EH208" i="3"/>
  <c r="CT208" i="3"/>
  <c r="DB208" i="3"/>
  <c r="EX208" i="3"/>
  <c r="FF208" i="3"/>
  <c r="EZ236" i="3"/>
  <c r="EQ236" i="3"/>
  <c r="DG208" i="3"/>
  <c r="FM208" i="3"/>
  <c r="DO208" i="3"/>
  <c r="EM208" i="3"/>
  <c r="DW208" i="3"/>
  <c r="FC208" i="3"/>
  <c r="FK208" i="3"/>
  <c r="FO236" i="3"/>
  <c r="EQ208" i="3"/>
  <c r="DT208" i="3"/>
  <c r="EJ208" i="3"/>
  <c r="CV208" i="3"/>
  <c r="FN208" i="3"/>
  <c r="DD208" i="3"/>
  <c r="CT214" i="3"/>
  <c r="DB214" i="3"/>
  <c r="DJ214" i="3"/>
  <c r="DR214" i="3"/>
  <c r="DZ214" i="3"/>
  <c r="EH214" i="3"/>
  <c r="EX214" i="3"/>
  <c r="FF214" i="3"/>
  <c r="FN214" i="3"/>
  <c r="FV214" i="3"/>
  <c r="FG208" i="3"/>
  <c r="DL208" i="3"/>
  <c r="EY208" i="3"/>
  <c r="FO208" i="3"/>
  <c r="FS208" i="3"/>
  <c r="EE208" i="3"/>
  <c r="EP214" i="3"/>
  <c r="CQ214" i="3"/>
  <c r="DG214" i="3"/>
  <c r="DO214" i="3"/>
  <c r="DW214" i="3"/>
  <c r="EE214" i="3"/>
  <c r="EM214" i="3"/>
  <c r="EU214" i="3"/>
  <c r="FC214" i="3"/>
  <c r="FK214" i="3"/>
  <c r="FS214" i="3"/>
  <c r="CO225" i="3"/>
  <c r="CO214" i="3"/>
  <c r="CW214" i="3"/>
  <c r="DE214" i="3"/>
  <c r="DM214" i="3"/>
  <c r="DU214" i="3"/>
  <c r="EC214" i="3"/>
  <c r="EK214" i="3"/>
  <c r="ES214" i="3"/>
  <c r="FA214" i="3"/>
  <c r="FI214" i="3"/>
  <c r="FQ214" i="3"/>
  <c r="DG225" i="3"/>
  <c r="CW225" i="3"/>
  <c r="DE225" i="3"/>
  <c r="DU225" i="3"/>
  <c r="EC225" i="3"/>
  <c r="EK225" i="3"/>
  <c r="ES225" i="3"/>
  <c r="EM225" i="3"/>
  <c r="CR214" i="3"/>
  <c r="CZ214" i="3"/>
  <c r="DH214" i="3"/>
  <c r="DP214" i="3"/>
  <c r="DX214" i="3"/>
  <c r="EF214" i="3"/>
  <c r="EN214" i="3"/>
  <c r="EV214" i="3"/>
  <c r="FD214" i="3"/>
  <c r="FL214" i="3"/>
  <c r="FT214" i="3"/>
  <c r="CP225" i="3"/>
  <c r="CX225" i="3"/>
  <c r="DF225" i="3"/>
  <c r="DN225" i="3"/>
  <c r="DV225" i="3"/>
  <c r="ED225" i="3"/>
  <c r="EL225" i="3"/>
  <c r="ET225" i="3"/>
  <c r="FR225" i="3"/>
  <c r="DW225" i="3"/>
  <c r="CR225" i="3"/>
  <c r="DP225" i="3"/>
  <c r="EN225" i="3"/>
  <c r="FD225" i="3"/>
  <c r="FT225" i="3"/>
  <c r="EE225" i="3"/>
  <c r="DH225" i="3"/>
  <c r="EV225" i="3"/>
  <c r="CS225" i="3"/>
  <c r="DA225" i="3"/>
  <c r="DI225" i="3"/>
  <c r="DQ225" i="3"/>
  <c r="DY225" i="3"/>
  <c r="EG225" i="3"/>
  <c r="EO225" i="3"/>
  <c r="EW225" i="3"/>
  <c r="FU225" i="3"/>
  <c r="CY225" i="3"/>
  <c r="FS225" i="3"/>
  <c r="CZ225" i="3"/>
  <c r="CT225" i="3"/>
  <c r="DB225" i="3"/>
  <c r="DJ225" i="3"/>
  <c r="DR225" i="3"/>
  <c r="DZ225" i="3"/>
  <c r="EH225" i="3"/>
  <c r="EP225" i="3"/>
  <c r="EX225" i="3"/>
  <c r="FV225" i="3"/>
  <c r="CQ225" i="3"/>
  <c r="EU225" i="3"/>
  <c r="EF225" i="3"/>
  <c r="DC225" i="3"/>
  <c r="DK225" i="3"/>
  <c r="DS225" i="3"/>
  <c r="EA225" i="3"/>
  <c r="EI225" i="3"/>
  <c r="EQ225" i="3"/>
  <c r="EY225" i="3"/>
  <c r="FW225" i="3"/>
  <c r="DO225" i="3"/>
  <c r="DX225" i="3"/>
  <c r="CP214" i="3"/>
  <c r="CX214" i="3"/>
  <c r="DF214" i="3"/>
  <c r="DN214" i="3"/>
  <c r="DV214" i="3"/>
  <c r="ED214" i="3"/>
  <c r="EL214" i="3"/>
  <c r="ET214" i="3"/>
  <c r="FB214" i="3"/>
  <c r="FJ214" i="3"/>
  <c r="FR214" i="3"/>
  <c r="CN225" i="3"/>
  <c r="CV225" i="3"/>
  <c r="DD225" i="3"/>
  <c r="DL225" i="3"/>
  <c r="DT225" i="3"/>
  <c r="EB225" i="3"/>
  <c r="EJ225" i="3"/>
  <c r="ER225" i="3"/>
  <c r="CU225" i="3"/>
  <c r="DM225" i="3"/>
  <c r="FM225" i="3"/>
  <c r="EZ225" i="3"/>
  <c r="FH225" i="3"/>
  <c r="FP225" i="3"/>
  <c r="FA225" i="3"/>
  <c r="FI225" i="3"/>
  <c r="FQ225" i="3"/>
  <c r="FB225" i="3"/>
  <c r="FJ225" i="3"/>
  <c r="FC225" i="3"/>
  <c r="FK225" i="3"/>
  <c r="FL225" i="3"/>
  <c r="FF225" i="3"/>
  <c r="FN225" i="3"/>
  <c r="FE225" i="3"/>
  <c r="FG225" i="3"/>
  <c r="FO225" i="3"/>
  <c r="CS214" i="3"/>
  <c r="DA214" i="3"/>
  <c r="DI214" i="3"/>
  <c r="DQ214" i="3"/>
  <c r="DY214" i="3"/>
  <c r="EG214" i="3"/>
  <c r="EO214" i="3"/>
  <c r="EW214" i="3"/>
  <c r="FE214" i="3"/>
  <c r="FM214" i="3"/>
  <c r="FU214" i="3"/>
  <c r="CU214" i="3"/>
  <c r="DC214" i="3"/>
  <c r="DK214" i="3"/>
  <c r="DS214" i="3"/>
  <c r="EA214" i="3"/>
  <c r="EI214" i="3"/>
  <c r="EQ214" i="3"/>
  <c r="EY214" i="3"/>
  <c r="FG214" i="3"/>
  <c r="FO214" i="3"/>
  <c r="FW214" i="3"/>
  <c r="CY214" i="3"/>
  <c r="CN214" i="3"/>
  <c r="CV214" i="3"/>
  <c r="DD214" i="3"/>
  <c r="DL214" i="3"/>
  <c r="DT214" i="3"/>
  <c r="EB214" i="3"/>
  <c r="EJ214" i="3"/>
  <c r="ER214" i="3"/>
  <c r="EZ214" i="3"/>
  <c r="FH214" i="3"/>
  <c r="FP214" i="3"/>
  <c r="FW96" i="3" l="1"/>
  <c r="FV96" i="3"/>
  <c r="FU96" i="3"/>
  <c r="FT96" i="3"/>
  <c r="FS96" i="3"/>
  <c r="FR96" i="3"/>
  <c r="FQ96" i="3"/>
  <c r="FP96" i="3"/>
  <c r="FO96" i="3"/>
  <c r="FN96" i="3"/>
  <c r="FM96" i="3"/>
  <c r="FL96" i="3"/>
  <c r="FK96" i="3"/>
  <c r="FJ96" i="3"/>
  <c r="FI96" i="3"/>
  <c r="FH96" i="3"/>
  <c r="FG96" i="3"/>
  <c r="FF96" i="3"/>
  <c r="FE96" i="3"/>
  <c r="FD96" i="3"/>
  <c r="FC96" i="3"/>
  <c r="FB96" i="3"/>
  <c r="FA96" i="3"/>
  <c r="EZ96" i="3"/>
  <c r="EY96" i="3"/>
  <c r="EX96" i="3"/>
  <c r="EW96" i="3"/>
  <c r="EV96" i="3"/>
  <c r="EU96" i="3"/>
  <c r="ET96" i="3"/>
  <c r="ES96" i="3"/>
  <c r="ER96" i="3"/>
  <c r="EQ96" i="3"/>
  <c r="EP96" i="3"/>
  <c r="EO96" i="3"/>
  <c r="EN96" i="3"/>
  <c r="EM96" i="3"/>
  <c r="EL96" i="3"/>
  <c r="EK96" i="3"/>
  <c r="EJ96" i="3"/>
  <c r="EI96" i="3"/>
  <c r="EH96" i="3"/>
  <c r="EG96" i="3"/>
  <c r="EF96" i="3"/>
  <c r="EE96" i="3"/>
  <c r="ED96" i="3"/>
  <c r="EC96" i="3"/>
  <c r="EB96" i="3"/>
  <c r="EA96" i="3"/>
  <c r="DZ96" i="3"/>
  <c r="DY96" i="3"/>
  <c r="DX96" i="3"/>
  <c r="DW96" i="3"/>
  <c r="DV96" i="3"/>
  <c r="DU96" i="3"/>
  <c r="DT96" i="3"/>
  <c r="DS96" i="3"/>
  <c r="DR96" i="3"/>
  <c r="DQ96" i="3"/>
  <c r="DP96" i="3"/>
  <c r="DO96" i="3"/>
  <c r="DN96" i="3"/>
  <c r="DM96" i="3"/>
  <c r="DL96" i="3"/>
  <c r="DK96" i="3"/>
  <c r="DJ96" i="3"/>
  <c r="DI96" i="3"/>
  <c r="DH96" i="3"/>
  <c r="DG96" i="3"/>
  <c r="DF96" i="3"/>
  <c r="DE96" i="3"/>
  <c r="DD96" i="3"/>
  <c r="DC96" i="3"/>
  <c r="DB96" i="3"/>
  <c r="DA96" i="3"/>
  <c r="CZ96" i="3"/>
  <c r="CY96" i="3"/>
  <c r="CX96" i="3"/>
  <c r="CW96" i="3"/>
  <c r="CV96" i="3"/>
  <c r="CU96" i="3"/>
  <c r="CT96" i="3"/>
  <c r="CS96" i="3"/>
  <c r="CR96" i="3"/>
  <c r="CQ96" i="3"/>
  <c r="CP96" i="3"/>
  <c r="CO96" i="3"/>
  <c r="CN96" i="3"/>
  <c r="FW95" i="3"/>
  <c r="FV95" i="3"/>
  <c r="FU95" i="3"/>
  <c r="FT95" i="3"/>
  <c r="FS95" i="3"/>
  <c r="FR95" i="3"/>
  <c r="FQ95" i="3"/>
  <c r="FP95" i="3"/>
  <c r="FO95" i="3"/>
  <c r="FN95" i="3"/>
  <c r="FM95" i="3"/>
  <c r="FL95" i="3"/>
  <c r="FK95" i="3"/>
  <c r="FJ95" i="3"/>
  <c r="FI95" i="3"/>
  <c r="FH95" i="3"/>
  <c r="FG95" i="3"/>
  <c r="FF95" i="3"/>
  <c r="FE95" i="3"/>
  <c r="FD95" i="3"/>
  <c r="FC95" i="3"/>
  <c r="FB95" i="3"/>
  <c r="FA95" i="3"/>
  <c r="EZ95" i="3"/>
  <c r="EY95" i="3"/>
  <c r="EX95" i="3"/>
  <c r="EW95" i="3"/>
  <c r="EV95" i="3"/>
  <c r="EU95" i="3"/>
  <c r="ET95" i="3"/>
  <c r="ES95" i="3"/>
  <c r="ER95" i="3"/>
  <c r="EQ95" i="3"/>
  <c r="EP95" i="3"/>
  <c r="EO95" i="3"/>
  <c r="EN95" i="3"/>
  <c r="EM95" i="3"/>
  <c r="EL95" i="3"/>
  <c r="EK95" i="3"/>
  <c r="EJ95" i="3"/>
  <c r="EI95" i="3"/>
  <c r="EH95" i="3"/>
  <c r="EG95" i="3"/>
  <c r="EF95" i="3"/>
  <c r="EE95" i="3"/>
  <c r="ED95" i="3"/>
  <c r="EC95" i="3"/>
  <c r="EB95" i="3"/>
  <c r="EA95" i="3"/>
  <c r="DZ95" i="3"/>
  <c r="DY95" i="3"/>
  <c r="DX95" i="3"/>
  <c r="DW95" i="3"/>
  <c r="DV95" i="3"/>
  <c r="DU95" i="3"/>
  <c r="DT95" i="3"/>
  <c r="DS95" i="3"/>
  <c r="DR95" i="3"/>
  <c r="DQ95" i="3"/>
  <c r="DP95" i="3"/>
  <c r="DO95" i="3"/>
  <c r="DN95" i="3"/>
  <c r="DM95" i="3"/>
  <c r="DL95" i="3"/>
  <c r="DK95" i="3"/>
  <c r="DJ95" i="3"/>
  <c r="DI95" i="3"/>
  <c r="DH95" i="3"/>
  <c r="DG95" i="3"/>
  <c r="DF95" i="3"/>
  <c r="DE95" i="3"/>
  <c r="DD95" i="3"/>
  <c r="DC95" i="3"/>
  <c r="DB95" i="3"/>
  <c r="DA95" i="3"/>
  <c r="CZ95" i="3"/>
  <c r="CY95" i="3"/>
  <c r="CX95" i="3"/>
  <c r="CW95" i="3"/>
  <c r="CV95" i="3"/>
  <c r="CU95" i="3"/>
  <c r="CT95" i="3"/>
  <c r="CS95" i="3"/>
  <c r="CR95" i="3"/>
  <c r="CQ95" i="3"/>
  <c r="CP95" i="3"/>
  <c r="CO95" i="3"/>
  <c r="CN95" i="3"/>
  <c r="FW94" i="3"/>
  <c r="FV94" i="3"/>
  <c r="FU94" i="3"/>
  <c r="FT94" i="3"/>
  <c r="FS94" i="3"/>
  <c r="FR94" i="3"/>
  <c r="FQ94" i="3"/>
  <c r="FP94" i="3"/>
  <c r="FO94" i="3"/>
  <c r="FN94" i="3"/>
  <c r="FM94" i="3"/>
  <c r="FL94" i="3"/>
  <c r="FK94" i="3"/>
  <c r="FJ94" i="3"/>
  <c r="FI94" i="3"/>
  <c r="FH94" i="3"/>
  <c r="FG94" i="3"/>
  <c r="FF94" i="3"/>
  <c r="FE94" i="3"/>
  <c r="FD94" i="3"/>
  <c r="FC94" i="3"/>
  <c r="FB94" i="3"/>
  <c r="FA94" i="3"/>
  <c r="EZ94" i="3"/>
  <c r="EY94" i="3"/>
  <c r="EX94" i="3"/>
  <c r="EW94" i="3"/>
  <c r="EV94" i="3"/>
  <c r="EU94" i="3"/>
  <c r="ET94" i="3"/>
  <c r="ES94" i="3"/>
  <c r="ER94" i="3"/>
  <c r="EQ94" i="3"/>
  <c r="EP94" i="3"/>
  <c r="EO94" i="3"/>
  <c r="EN94" i="3"/>
  <c r="EM94" i="3"/>
  <c r="EL94" i="3"/>
  <c r="EK94" i="3"/>
  <c r="EJ94" i="3"/>
  <c r="EI94" i="3"/>
  <c r="EH94" i="3"/>
  <c r="EG94" i="3"/>
  <c r="EF94" i="3"/>
  <c r="EE94" i="3"/>
  <c r="ED94" i="3"/>
  <c r="EC94" i="3"/>
  <c r="EB94" i="3"/>
  <c r="EA94" i="3"/>
  <c r="DZ94" i="3"/>
  <c r="DY94" i="3"/>
  <c r="DX94" i="3"/>
  <c r="DW94" i="3"/>
  <c r="DV94" i="3"/>
  <c r="DU94" i="3"/>
  <c r="DT94" i="3"/>
  <c r="DS94" i="3"/>
  <c r="DR94" i="3"/>
  <c r="DQ94" i="3"/>
  <c r="DP94" i="3"/>
  <c r="DO94" i="3"/>
  <c r="DN94" i="3"/>
  <c r="DM94" i="3"/>
  <c r="DL94" i="3"/>
  <c r="DK94" i="3"/>
  <c r="DJ94" i="3"/>
  <c r="DI94" i="3"/>
  <c r="DH94" i="3"/>
  <c r="DG94" i="3"/>
  <c r="DF94" i="3"/>
  <c r="DE94" i="3"/>
  <c r="DD94" i="3"/>
  <c r="DC94" i="3"/>
  <c r="DB94" i="3"/>
  <c r="DA94" i="3"/>
  <c r="CZ94" i="3"/>
  <c r="CY94" i="3"/>
  <c r="CX94" i="3"/>
  <c r="CW94" i="3"/>
  <c r="CV94" i="3"/>
  <c r="CU94" i="3"/>
  <c r="CT94" i="3"/>
  <c r="CS94" i="3"/>
  <c r="CR94" i="3"/>
  <c r="CQ94" i="3"/>
  <c r="CP94" i="3"/>
  <c r="CO94" i="3"/>
  <c r="CN94" i="3"/>
  <c r="FW93" i="3"/>
  <c r="FV93" i="3"/>
  <c r="FU93" i="3"/>
  <c r="FT93" i="3"/>
  <c r="FS93" i="3"/>
  <c r="FR93" i="3"/>
  <c r="FQ93" i="3"/>
  <c r="FP93" i="3"/>
  <c r="FO93" i="3"/>
  <c r="FN93" i="3"/>
  <c r="FM93" i="3"/>
  <c r="FL93" i="3"/>
  <c r="FK93" i="3"/>
  <c r="FJ93" i="3"/>
  <c r="FI93" i="3"/>
  <c r="FH93" i="3"/>
  <c r="FG93" i="3"/>
  <c r="FF93" i="3"/>
  <c r="FE93" i="3"/>
  <c r="FD93" i="3"/>
  <c r="FC93" i="3"/>
  <c r="FB93" i="3"/>
  <c r="FA93" i="3"/>
  <c r="EZ93" i="3"/>
  <c r="EY93" i="3"/>
  <c r="EX93" i="3"/>
  <c r="EW93" i="3"/>
  <c r="EV93" i="3"/>
  <c r="EU93" i="3"/>
  <c r="ET93" i="3"/>
  <c r="ES93" i="3"/>
  <c r="ER93" i="3"/>
  <c r="EQ93" i="3"/>
  <c r="EP93" i="3"/>
  <c r="EO93" i="3"/>
  <c r="EN93" i="3"/>
  <c r="EM93" i="3"/>
  <c r="EL93" i="3"/>
  <c r="EK93" i="3"/>
  <c r="EJ93" i="3"/>
  <c r="EI93" i="3"/>
  <c r="EH93" i="3"/>
  <c r="EG93" i="3"/>
  <c r="EF93" i="3"/>
  <c r="EE93" i="3"/>
  <c r="ED93" i="3"/>
  <c r="EC93" i="3"/>
  <c r="EB93" i="3"/>
  <c r="EA93" i="3"/>
  <c r="DZ93" i="3"/>
  <c r="DY93" i="3"/>
  <c r="DX93" i="3"/>
  <c r="DW93" i="3"/>
  <c r="DV93" i="3"/>
  <c r="DU93" i="3"/>
  <c r="DT93" i="3"/>
  <c r="DS93" i="3"/>
  <c r="DR93" i="3"/>
  <c r="DQ93" i="3"/>
  <c r="DP93" i="3"/>
  <c r="DO93" i="3"/>
  <c r="DN93" i="3"/>
  <c r="DM93" i="3"/>
  <c r="DL93" i="3"/>
  <c r="DK93" i="3"/>
  <c r="DJ93" i="3"/>
  <c r="DI93" i="3"/>
  <c r="DH93" i="3"/>
  <c r="DG93" i="3"/>
  <c r="DF93" i="3"/>
  <c r="DE93" i="3"/>
  <c r="DD93" i="3"/>
  <c r="DC93" i="3"/>
  <c r="DB93" i="3"/>
  <c r="DA93" i="3"/>
  <c r="CZ93" i="3"/>
  <c r="CY93" i="3"/>
  <c r="CX93" i="3"/>
  <c r="CW93" i="3"/>
  <c r="CV93" i="3"/>
  <c r="CU93" i="3"/>
  <c r="CT93" i="3"/>
  <c r="CS93" i="3"/>
  <c r="CR93" i="3"/>
  <c r="CQ93" i="3"/>
  <c r="CP93" i="3"/>
  <c r="CO93" i="3"/>
  <c r="CN93" i="3"/>
  <c r="FW92" i="3"/>
  <c r="FV92" i="3"/>
  <c r="FU92" i="3"/>
  <c r="FT92" i="3"/>
  <c r="FS92" i="3"/>
  <c r="FR92" i="3"/>
  <c r="FQ92" i="3"/>
  <c r="FP92" i="3"/>
  <c r="FO92" i="3"/>
  <c r="FN92" i="3"/>
  <c r="FM92" i="3"/>
  <c r="FL92" i="3"/>
  <c r="FK92" i="3"/>
  <c r="FJ92" i="3"/>
  <c r="FI92" i="3"/>
  <c r="FH92" i="3"/>
  <c r="FG92" i="3"/>
  <c r="FF92" i="3"/>
  <c r="FE92" i="3"/>
  <c r="FD92" i="3"/>
  <c r="FC92" i="3"/>
  <c r="FB92" i="3"/>
  <c r="FA92" i="3"/>
  <c r="EZ92" i="3"/>
  <c r="EY92" i="3"/>
  <c r="EX92" i="3"/>
  <c r="EW92" i="3"/>
  <c r="EV92" i="3"/>
  <c r="EU92" i="3"/>
  <c r="ET92" i="3"/>
  <c r="ES92" i="3"/>
  <c r="ER92" i="3"/>
  <c r="EQ92" i="3"/>
  <c r="EP92" i="3"/>
  <c r="EO92" i="3"/>
  <c r="EN92" i="3"/>
  <c r="EM92" i="3"/>
  <c r="EL92" i="3"/>
  <c r="EK92" i="3"/>
  <c r="EJ92" i="3"/>
  <c r="EI92" i="3"/>
  <c r="EH92" i="3"/>
  <c r="EG92" i="3"/>
  <c r="EF92" i="3"/>
  <c r="EE92" i="3"/>
  <c r="ED92" i="3"/>
  <c r="EC92" i="3"/>
  <c r="EB92" i="3"/>
  <c r="EA92" i="3"/>
  <c r="DZ92" i="3"/>
  <c r="DY92" i="3"/>
  <c r="DX92" i="3"/>
  <c r="DW92" i="3"/>
  <c r="DV92" i="3"/>
  <c r="DU92" i="3"/>
  <c r="DT92" i="3"/>
  <c r="DS92" i="3"/>
  <c r="DR92" i="3"/>
  <c r="DQ92" i="3"/>
  <c r="DP92" i="3"/>
  <c r="DO92" i="3"/>
  <c r="DN92" i="3"/>
  <c r="DM92" i="3"/>
  <c r="DL92" i="3"/>
  <c r="DK92" i="3"/>
  <c r="DJ92" i="3"/>
  <c r="DI92" i="3"/>
  <c r="DH92" i="3"/>
  <c r="DG92" i="3"/>
  <c r="DF92" i="3"/>
  <c r="DE92" i="3"/>
  <c r="DD92" i="3"/>
  <c r="DC92" i="3"/>
  <c r="DB92" i="3"/>
  <c r="DA92" i="3"/>
  <c r="CZ92" i="3"/>
  <c r="CY92" i="3"/>
  <c r="CX92" i="3"/>
  <c r="CW92" i="3"/>
  <c r="CV92" i="3"/>
  <c r="CU92" i="3"/>
  <c r="CT92" i="3"/>
  <c r="CS92" i="3"/>
  <c r="CR92" i="3"/>
  <c r="CQ92" i="3"/>
  <c r="CP92" i="3"/>
  <c r="CO92" i="3"/>
  <c r="CN92" i="3"/>
  <c r="FW91" i="3"/>
  <c r="FV91" i="3"/>
  <c r="FU91" i="3"/>
  <c r="FT91" i="3"/>
  <c r="FS91" i="3"/>
  <c r="FR91" i="3"/>
  <c r="FQ91" i="3"/>
  <c r="FP91" i="3"/>
  <c r="FO91" i="3"/>
  <c r="FN91" i="3"/>
  <c r="FM91" i="3"/>
  <c r="FL91" i="3"/>
  <c r="FK91" i="3"/>
  <c r="FJ91" i="3"/>
  <c r="FI91" i="3"/>
  <c r="FH91" i="3"/>
  <c r="FG91" i="3"/>
  <c r="FF91" i="3"/>
  <c r="FE91" i="3"/>
  <c r="FD91" i="3"/>
  <c r="FC91" i="3"/>
  <c r="FB91" i="3"/>
  <c r="FA91" i="3"/>
  <c r="EZ91" i="3"/>
  <c r="EY91" i="3"/>
  <c r="EX91" i="3"/>
  <c r="EW91" i="3"/>
  <c r="EV91" i="3"/>
  <c r="EU91" i="3"/>
  <c r="ET91" i="3"/>
  <c r="ES91" i="3"/>
  <c r="ER91" i="3"/>
  <c r="EQ91" i="3"/>
  <c r="EP91" i="3"/>
  <c r="EO91" i="3"/>
  <c r="EN91" i="3"/>
  <c r="EM91" i="3"/>
  <c r="EL91" i="3"/>
  <c r="EK91" i="3"/>
  <c r="EJ91" i="3"/>
  <c r="EI91" i="3"/>
  <c r="EH91" i="3"/>
  <c r="EG91" i="3"/>
  <c r="EF91" i="3"/>
  <c r="EE91" i="3"/>
  <c r="ED91" i="3"/>
  <c r="EC91" i="3"/>
  <c r="EB91" i="3"/>
  <c r="EA91" i="3"/>
  <c r="DZ91" i="3"/>
  <c r="DY91" i="3"/>
  <c r="DX91" i="3"/>
  <c r="DW91" i="3"/>
  <c r="DV91" i="3"/>
  <c r="DU91" i="3"/>
  <c r="DT91" i="3"/>
  <c r="DS91" i="3"/>
  <c r="DR91" i="3"/>
  <c r="DQ91" i="3"/>
  <c r="DP91" i="3"/>
  <c r="DO91" i="3"/>
  <c r="DN91" i="3"/>
  <c r="DM91" i="3"/>
  <c r="DL91" i="3"/>
  <c r="DK91" i="3"/>
  <c r="DJ91" i="3"/>
  <c r="DI91" i="3"/>
  <c r="DH91" i="3"/>
  <c r="DG91" i="3"/>
  <c r="DF91" i="3"/>
  <c r="DE91" i="3"/>
  <c r="DD91" i="3"/>
  <c r="DC91" i="3"/>
  <c r="DB91" i="3"/>
  <c r="DA91" i="3"/>
  <c r="CZ91" i="3"/>
  <c r="CY91" i="3"/>
  <c r="CX91" i="3"/>
  <c r="CW91" i="3"/>
  <c r="CV91" i="3"/>
  <c r="CU91" i="3"/>
  <c r="CT91" i="3"/>
  <c r="CS91" i="3"/>
  <c r="CR91" i="3"/>
  <c r="CQ91" i="3"/>
  <c r="CP91" i="3"/>
  <c r="CO91" i="3"/>
  <c r="CN91" i="3"/>
  <c r="FW89" i="3"/>
  <c r="FV89" i="3"/>
  <c r="FU89" i="3"/>
  <c r="FT89" i="3"/>
  <c r="FS89" i="3"/>
  <c r="FR89" i="3"/>
  <c r="FQ89" i="3"/>
  <c r="FP89" i="3"/>
  <c r="FO89" i="3"/>
  <c r="FN89" i="3"/>
  <c r="FM89" i="3"/>
  <c r="FL89" i="3"/>
  <c r="FK89" i="3"/>
  <c r="FJ89" i="3"/>
  <c r="FI89" i="3"/>
  <c r="FH89" i="3"/>
  <c r="FG89" i="3"/>
  <c r="FF89" i="3"/>
  <c r="FE89" i="3"/>
  <c r="FD89" i="3"/>
  <c r="FC89" i="3"/>
  <c r="FB89" i="3"/>
  <c r="FA89" i="3"/>
  <c r="EZ89" i="3"/>
  <c r="EY89" i="3"/>
  <c r="EX89" i="3"/>
  <c r="EW89" i="3"/>
  <c r="EV89" i="3"/>
  <c r="EU89" i="3"/>
  <c r="ET89" i="3"/>
  <c r="ES89" i="3"/>
  <c r="ER89" i="3"/>
  <c r="EQ89" i="3"/>
  <c r="EP89" i="3"/>
  <c r="EO89" i="3"/>
  <c r="EN89" i="3"/>
  <c r="EM89" i="3"/>
  <c r="EL89" i="3"/>
  <c r="EK89" i="3"/>
  <c r="EJ89" i="3"/>
  <c r="EI89" i="3"/>
  <c r="EH89" i="3"/>
  <c r="EG89" i="3"/>
  <c r="EF89" i="3"/>
  <c r="EE89" i="3"/>
  <c r="ED89" i="3"/>
  <c r="EC89" i="3"/>
  <c r="EB89" i="3"/>
  <c r="EA89" i="3"/>
  <c r="DZ89" i="3"/>
  <c r="DY89" i="3"/>
  <c r="DX89" i="3"/>
  <c r="DW89" i="3"/>
  <c r="DV89" i="3"/>
  <c r="DU89" i="3"/>
  <c r="DT89" i="3"/>
  <c r="DS89" i="3"/>
  <c r="DR89" i="3"/>
  <c r="DQ89" i="3"/>
  <c r="DP89" i="3"/>
  <c r="DO89" i="3"/>
  <c r="DN89" i="3"/>
  <c r="DM89" i="3"/>
  <c r="DL89" i="3"/>
  <c r="DK89" i="3"/>
  <c r="DJ89" i="3"/>
  <c r="DI89" i="3"/>
  <c r="DH89" i="3"/>
  <c r="DG89" i="3"/>
  <c r="DF89" i="3"/>
  <c r="DE89" i="3"/>
  <c r="DD89" i="3"/>
  <c r="DC89" i="3"/>
  <c r="DB89" i="3"/>
  <c r="DA89" i="3"/>
  <c r="CZ89" i="3"/>
  <c r="CY89" i="3"/>
  <c r="CX89" i="3"/>
  <c r="CW89" i="3"/>
  <c r="CV89" i="3"/>
  <c r="CU89" i="3"/>
  <c r="CT89" i="3"/>
  <c r="CS89" i="3"/>
  <c r="CR89" i="3"/>
  <c r="CQ89" i="3"/>
  <c r="CP89" i="3"/>
  <c r="CO89" i="3"/>
  <c r="CN89" i="3"/>
  <c r="C97" i="3"/>
  <c r="FW90" i="3"/>
  <c r="FV90" i="3"/>
  <c r="FU90" i="3"/>
  <c r="FT90" i="3"/>
  <c r="FS90" i="3"/>
  <c r="FR90" i="3"/>
  <c r="FQ90" i="3"/>
  <c r="FP90" i="3"/>
  <c r="FO90" i="3"/>
  <c r="FN90" i="3"/>
  <c r="FM90" i="3"/>
  <c r="FL90" i="3"/>
  <c r="FK90" i="3"/>
  <c r="FJ90" i="3"/>
  <c r="FI90" i="3"/>
  <c r="FH90" i="3"/>
  <c r="FG90" i="3"/>
  <c r="FF90" i="3"/>
  <c r="FE90" i="3"/>
  <c r="FD90" i="3"/>
  <c r="FC90" i="3"/>
  <c r="FB90" i="3"/>
  <c r="FA90" i="3"/>
  <c r="EZ90" i="3"/>
  <c r="EY90" i="3"/>
  <c r="EX90" i="3"/>
  <c r="EW90" i="3"/>
  <c r="EV90" i="3"/>
  <c r="EU90" i="3"/>
  <c r="ET90" i="3"/>
  <c r="ES90" i="3"/>
  <c r="ER90" i="3"/>
  <c r="EQ90" i="3"/>
  <c r="EP90" i="3"/>
  <c r="EO90" i="3"/>
  <c r="EN90" i="3"/>
  <c r="EM90" i="3"/>
  <c r="EL90" i="3"/>
  <c r="EK90" i="3"/>
  <c r="EJ90" i="3"/>
  <c r="EI90" i="3"/>
  <c r="EH90" i="3"/>
  <c r="EG90" i="3"/>
  <c r="EF90" i="3"/>
  <c r="EE90" i="3"/>
  <c r="ED90" i="3"/>
  <c r="EC90" i="3"/>
  <c r="EB90" i="3"/>
  <c r="EA90" i="3"/>
  <c r="DZ90" i="3"/>
  <c r="DY90" i="3"/>
  <c r="DX90" i="3"/>
  <c r="DW90" i="3"/>
  <c r="DV90" i="3"/>
  <c r="DU90" i="3"/>
  <c r="DT90" i="3"/>
  <c r="DS90" i="3"/>
  <c r="DR90" i="3"/>
  <c r="DQ90" i="3"/>
  <c r="DP90" i="3"/>
  <c r="DO90" i="3"/>
  <c r="DN90" i="3"/>
  <c r="DM90" i="3"/>
  <c r="DL90" i="3"/>
  <c r="DK90" i="3"/>
  <c r="DJ90" i="3"/>
  <c r="DI90" i="3"/>
  <c r="DH90" i="3"/>
  <c r="DG90" i="3"/>
  <c r="DF90" i="3"/>
  <c r="DE90" i="3"/>
  <c r="DD90" i="3"/>
  <c r="DC90" i="3"/>
  <c r="DB90" i="3"/>
  <c r="DA90" i="3"/>
  <c r="CZ90" i="3"/>
  <c r="CY90" i="3"/>
  <c r="CX90" i="3"/>
  <c r="CW90" i="3"/>
  <c r="CV90" i="3"/>
  <c r="CU90" i="3"/>
  <c r="CT90" i="3"/>
  <c r="CS90" i="3"/>
  <c r="CR90" i="3"/>
  <c r="CQ90" i="3"/>
  <c r="CP90" i="3"/>
  <c r="CO90" i="3"/>
  <c r="CN90" i="3"/>
  <c r="CO97" i="3" l="1"/>
  <c r="CW97" i="3"/>
  <c r="DE97" i="3"/>
  <c r="DM97" i="3"/>
  <c r="DU97" i="3"/>
  <c r="EC97" i="3"/>
  <c r="EK97" i="3"/>
  <c r="ES97" i="3"/>
  <c r="FA97" i="3"/>
  <c r="FI97" i="3"/>
  <c r="FQ97" i="3"/>
  <c r="DW97" i="3"/>
  <c r="CR97" i="3"/>
  <c r="CZ97" i="3"/>
  <c r="DH97" i="3"/>
  <c r="DP97" i="3"/>
  <c r="DX97" i="3"/>
  <c r="EF97" i="3"/>
  <c r="EN97" i="3"/>
  <c r="EV97" i="3"/>
  <c r="FD97" i="3"/>
  <c r="FL97" i="3"/>
  <c r="FT97" i="3"/>
  <c r="CY97" i="3"/>
  <c r="FK97" i="3"/>
  <c r="CS97" i="3"/>
  <c r="DA97" i="3"/>
  <c r="DI97" i="3"/>
  <c r="DQ97" i="3"/>
  <c r="DY97" i="3"/>
  <c r="EG97" i="3"/>
  <c r="EO97" i="3"/>
  <c r="EW97" i="3"/>
  <c r="FE97" i="3"/>
  <c r="FM97" i="3"/>
  <c r="FU97" i="3"/>
  <c r="EM97" i="3"/>
  <c r="CT97" i="3"/>
  <c r="DB97" i="3"/>
  <c r="DJ97" i="3"/>
  <c r="DR97" i="3"/>
  <c r="DZ97" i="3"/>
  <c r="EH97" i="3"/>
  <c r="EP97" i="3"/>
  <c r="EX97" i="3"/>
  <c r="FF97" i="3"/>
  <c r="FN97" i="3"/>
  <c r="FV97" i="3"/>
  <c r="DG97" i="3"/>
  <c r="FC97" i="3"/>
  <c r="CU97" i="3"/>
  <c r="DC97" i="3"/>
  <c r="DK97" i="3"/>
  <c r="DS97" i="3"/>
  <c r="EA97" i="3"/>
  <c r="EI97" i="3"/>
  <c r="EQ97" i="3"/>
  <c r="EY97" i="3"/>
  <c r="FG97" i="3"/>
  <c r="FO97" i="3"/>
  <c r="FW97" i="3"/>
  <c r="CQ97" i="3"/>
  <c r="EU97" i="3"/>
  <c r="CN97" i="3"/>
  <c r="CV97" i="3"/>
  <c r="DD97" i="3"/>
  <c r="DL97" i="3"/>
  <c r="DT97" i="3"/>
  <c r="EB97" i="3"/>
  <c r="EJ97" i="3"/>
  <c r="ER97" i="3"/>
  <c r="EZ97" i="3"/>
  <c r="FH97" i="3"/>
  <c r="FP97" i="3"/>
  <c r="DO97" i="3"/>
  <c r="FS97" i="3"/>
  <c r="EE97" i="3"/>
  <c r="CP97" i="3"/>
  <c r="CX97" i="3"/>
  <c r="DF97" i="3"/>
  <c r="DN97" i="3"/>
  <c r="DV97" i="3"/>
  <c r="ED97" i="3"/>
  <c r="EL97" i="3"/>
  <c r="ET97" i="3"/>
  <c r="FB97" i="3"/>
  <c r="FJ97" i="3"/>
  <c r="FR97" i="3"/>
  <c r="FW112" i="3"/>
  <c r="FV112" i="3"/>
  <c r="FU112" i="3"/>
  <c r="FT112" i="3"/>
  <c r="FS112" i="3"/>
  <c r="FR112" i="3"/>
  <c r="FQ112" i="3"/>
  <c r="FP112" i="3"/>
  <c r="FO112" i="3"/>
  <c r="FN112" i="3"/>
  <c r="FM112" i="3"/>
  <c r="FL112" i="3"/>
  <c r="FK112" i="3"/>
  <c r="FJ112" i="3"/>
  <c r="FI112" i="3"/>
  <c r="FH112" i="3"/>
  <c r="FG112" i="3"/>
  <c r="FF112" i="3"/>
  <c r="FE112" i="3"/>
  <c r="FD112" i="3"/>
  <c r="FC112" i="3"/>
  <c r="FB112" i="3"/>
  <c r="FA112" i="3"/>
  <c r="EZ112" i="3"/>
  <c r="EY112" i="3"/>
  <c r="EX112" i="3"/>
  <c r="EW112" i="3"/>
  <c r="EV112" i="3"/>
  <c r="EU112" i="3"/>
  <c r="ET112" i="3"/>
  <c r="ES112" i="3"/>
  <c r="ER112" i="3"/>
  <c r="EQ112" i="3"/>
  <c r="EP112" i="3"/>
  <c r="EO112" i="3"/>
  <c r="EN112" i="3"/>
  <c r="EM112" i="3"/>
  <c r="EL112" i="3"/>
  <c r="EK112" i="3"/>
  <c r="EJ112" i="3"/>
  <c r="EI112" i="3"/>
  <c r="EH112" i="3"/>
  <c r="EG112" i="3"/>
  <c r="EF112" i="3"/>
  <c r="EE112" i="3"/>
  <c r="ED112" i="3"/>
  <c r="EC112" i="3"/>
  <c r="EB112" i="3"/>
  <c r="EA112" i="3"/>
  <c r="DZ112" i="3"/>
  <c r="DY112" i="3"/>
  <c r="DX112" i="3"/>
  <c r="DW112" i="3"/>
  <c r="DV112" i="3"/>
  <c r="DU112" i="3"/>
  <c r="DT112" i="3"/>
  <c r="DS112" i="3"/>
  <c r="DR112" i="3"/>
  <c r="DQ112" i="3"/>
  <c r="DP112" i="3"/>
  <c r="DO112" i="3"/>
  <c r="DN112" i="3"/>
  <c r="DM112" i="3"/>
  <c r="DL112" i="3"/>
  <c r="DK112" i="3"/>
  <c r="DJ112" i="3"/>
  <c r="DI112" i="3"/>
  <c r="DH112" i="3"/>
  <c r="DG112" i="3"/>
  <c r="DF112" i="3"/>
  <c r="DE112" i="3"/>
  <c r="DD112" i="3"/>
  <c r="DC112" i="3"/>
  <c r="DB112" i="3"/>
  <c r="DA112" i="3"/>
  <c r="CZ112" i="3"/>
  <c r="CY112" i="3"/>
  <c r="CX112" i="3"/>
  <c r="CW112" i="3"/>
  <c r="CV112" i="3"/>
  <c r="CU112" i="3"/>
  <c r="CT112" i="3"/>
  <c r="CS112" i="3"/>
  <c r="CR112" i="3"/>
  <c r="CQ112" i="3"/>
  <c r="CP112" i="3"/>
  <c r="CO112" i="3"/>
  <c r="CN112" i="3"/>
  <c r="FW111" i="3"/>
  <c r="FV111" i="3"/>
  <c r="FU111" i="3"/>
  <c r="FT111" i="3"/>
  <c r="FS111" i="3"/>
  <c r="FR111" i="3"/>
  <c r="FQ111" i="3"/>
  <c r="FP111" i="3"/>
  <c r="FO111" i="3"/>
  <c r="FN111" i="3"/>
  <c r="FM111" i="3"/>
  <c r="FL111" i="3"/>
  <c r="FK111" i="3"/>
  <c r="FJ111" i="3"/>
  <c r="FI111" i="3"/>
  <c r="FH111" i="3"/>
  <c r="FG111" i="3"/>
  <c r="FF111" i="3"/>
  <c r="FE111" i="3"/>
  <c r="FD111" i="3"/>
  <c r="FC111" i="3"/>
  <c r="FB111" i="3"/>
  <c r="FA111" i="3"/>
  <c r="EZ111" i="3"/>
  <c r="EY111" i="3"/>
  <c r="EX111" i="3"/>
  <c r="EW111" i="3"/>
  <c r="EV111" i="3"/>
  <c r="EU111" i="3"/>
  <c r="ET111" i="3"/>
  <c r="ES111" i="3"/>
  <c r="ER111" i="3"/>
  <c r="EQ111" i="3"/>
  <c r="EP111" i="3"/>
  <c r="EO111" i="3"/>
  <c r="EN111" i="3"/>
  <c r="EM111" i="3"/>
  <c r="EL111" i="3"/>
  <c r="EK111" i="3"/>
  <c r="EJ111" i="3"/>
  <c r="EI111" i="3"/>
  <c r="EH111" i="3"/>
  <c r="EG111" i="3"/>
  <c r="EF111" i="3"/>
  <c r="EE111" i="3"/>
  <c r="ED111" i="3"/>
  <c r="EC111" i="3"/>
  <c r="EB111" i="3"/>
  <c r="EA111" i="3"/>
  <c r="DZ111" i="3"/>
  <c r="DY111" i="3"/>
  <c r="DX111" i="3"/>
  <c r="DW111" i="3"/>
  <c r="DV111" i="3"/>
  <c r="DU111" i="3"/>
  <c r="DT111" i="3"/>
  <c r="DS111" i="3"/>
  <c r="DR111" i="3"/>
  <c r="DQ111" i="3"/>
  <c r="DP111" i="3"/>
  <c r="DO111" i="3"/>
  <c r="DN111" i="3"/>
  <c r="DM111" i="3"/>
  <c r="DL111" i="3"/>
  <c r="DK111" i="3"/>
  <c r="DJ111" i="3"/>
  <c r="DI111" i="3"/>
  <c r="DH111" i="3"/>
  <c r="DG111" i="3"/>
  <c r="DF111" i="3"/>
  <c r="DE111" i="3"/>
  <c r="DD111" i="3"/>
  <c r="DC111" i="3"/>
  <c r="DB111" i="3"/>
  <c r="DA111" i="3"/>
  <c r="CZ111" i="3"/>
  <c r="CY111" i="3"/>
  <c r="CX111" i="3"/>
  <c r="CW111" i="3"/>
  <c r="CV111" i="3"/>
  <c r="CU111" i="3"/>
  <c r="CT111" i="3"/>
  <c r="CS111" i="3"/>
  <c r="CR111" i="3"/>
  <c r="CQ111" i="3"/>
  <c r="CP111" i="3"/>
  <c r="CO111" i="3"/>
  <c r="CN111" i="3"/>
  <c r="FW110" i="3"/>
  <c r="FV110" i="3"/>
  <c r="FU110" i="3"/>
  <c r="FT110" i="3"/>
  <c r="FS110" i="3"/>
  <c r="FR110" i="3"/>
  <c r="FQ110" i="3"/>
  <c r="FP110" i="3"/>
  <c r="FO110" i="3"/>
  <c r="FN110" i="3"/>
  <c r="FM110" i="3"/>
  <c r="FL110" i="3"/>
  <c r="FK110" i="3"/>
  <c r="FJ110" i="3"/>
  <c r="FI110" i="3"/>
  <c r="FH110" i="3"/>
  <c r="FG110" i="3"/>
  <c r="FF110" i="3"/>
  <c r="FE110" i="3"/>
  <c r="FD110" i="3"/>
  <c r="FC110" i="3"/>
  <c r="FB110" i="3"/>
  <c r="FA110" i="3"/>
  <c r="EZ110" i="3"/>
  <c r="EY110" i="3"/>
  <c r="EX110" i="3"/>
  <c r="EW110" i="3"/>
  <c r="EV110" i="3"/>
  <c r="EU110" i="3"/>
  <c r="ET110" i="3"/>
  <c r="ES110" i="3"/>
  <c r="ER110" i="3"/>
  <c r="EQ110" i="3"/>
  <c r="EP110" i="3"/>
  <c r="EO110" i="3"/>
  <c r="EN110" i="3"/>
  <c r="EM110" i="3"/>
  <c r="EL110" i="3"/>
  <c r="EK110" i="3"/>
  <c r="EJ110" i="3"/>
  <c r="EI110" i="3"/>
  <c r="EH110" i="3"/>
  <c r="EG110" i="3"/>
  <c r="EF110" i="3"/>
  <c r="EE110" i="3"/>
  <c r="ED110" i="3"/>
  <c r="EC110" i="3"/>
  <c r="EB110" i="3"/>
  <c r="EA110" i="3"/>
  <c r="DZ110" i="3"/>
  <c r="DY110" i="3"/>
  <c r="DX110" i="3"/>
  <c r="DW110" i="3"/>
  <c r="DV110" i="3"/>
  <c r="DU110" i="3"/>
  <c r="DT110" i="3"/>
  <c r="DS110" i="3"/>
  <c r="DR110" i="3"/>
  <c r="DQ110" i="3"/>
  <c r="DP110" i="3"/>
  <c r="DO110" i="3"/>
  <c r="DN110" i="3"/>
  <c r="DM110" i="3"/>
  <c r="DL110" i="3"/>
  <c r="DK110" i="3"/>
  <c r="DJ110" i="3"/>
  <c r="DI110" i="3"/>
  <c r="DH110" i="3"/>
  <c r="DG110" i="3"/>
  <c r="DF110" i="3"/>
  <c r="DE110" i="3"/>
  <c r="DD110" i="3"/>
  <c r="DC110" i="3"/>
  <c r="DB110" i="3"/>
  <c r="DA110" i="3"/>
  <c r="CZ110" i="3"/>
  <c r="CY110" i="3"/>
  <c r="CX110" i="3"/>
  <c r="CW110" i="3"/>
  <c r="CV110" i="3"/>
  <c r="CU110" i="3"/>
  <c r="CT110" i="3"/>
  <c r="CS110" i="3"/>
  <c r="CR110" i="3"/>
  <c r="CQ110" i="3"/>
  <c r="CP110" i="3"/>
  <c r="CO110" i="3"/>
  <c r="CN110" i="3"/>
  <c r="FW109" i="3"/>
  <c r="FV109" i="3"/>
  <c r="FU109" i="3"/>
  <c r="FT109" i="3"/>
  <c r="FS109" i="3"/>
  <c r="FR109" i="3"/>
  <c r="FQ109" i="3"/>
  <c r="FP109" i="3"/>
  <c r="FO109" i="3"/>
  <c r="FN109" i="3"/>
  <c r="FM109" i="3"/>
  <c r="FL109" i="3"/>
  <c r="FK109" i="3"/>
  <c r="FJ109" i="3"/>
  <c r="FI109" i="3"/>
  <c r="FH109" i="3"/>
  <c r="FG109" i="3"/>
  <c r="FF109" i="3"/>
  <c r="FE109" i="3"/>
  <c r="FD109" i="3"/>
  <c r="FC109" i="3"/>
  <c r="FB109" i="3"/>
  <c r="FA109" i="3"/>
  <c r="EZ109" i="3"/>
  <c r="EY109" i="3"/>
  <c r="EX109" i="3"/>
  <c r="EW109" i="3"/>
  <c r="EV109" i="3"/>
  <c r="EU109" i="3"/>
  <c r="ET109" i="3"/>
  <c r="ES109" i="3"/>
  <c r="ER109" i="3"/>
  <c r="EQ109" i="3"/>
  <c r="EP109" i="3"/>
  <c r="EO109" i="3"/>
  <c r="EN109" i="3"/>
  <c r="EM109" i="3"/>
  <c r="EL109" i="3"/>
  <c r="EK109" i="3"/>
  <c r="EJ109" i="3"/>
  <c r="EI109" i="3"/>
  <c r="EH109" i="3"/>
  <c r="EG109" i="3"/>
  <c r="EF109" i="3"/>
  <c r="EE109" i="3"/>
  <c r="ED109" i="3"/>
  <c r="EC109" i="3"/>
  <c r="EB109" i="3"/>
  <c r="EA109" i="3"/>
  <c r="DZ109" i="3"/>
  <c r="DY109" i="3"/>
  <c r="DX109" i="3"/>
  <c r="DW109" i="3"/>
  <c r="DV109" i="3"/>
  <c r="DU109" i="3"/>
  <c r="DT109" i="3"/>
  <c r="DS109" i="3"/>
  <c r="DR109" i="3"/>
  <c r="DQ109" i="3"/>
  <c r="DP109" i="3"/>
  <c r="DO109" i="3"/>
  <c r="DN109" i="3"/>
  <c r="DM109" i="3"/>
  <c r="DL109" i="3"/>
  <c r="DK109" i="3"/>
  <c r="DJ109" i="3"/>
  <c r="DI109" i="3"/>
  <c r="DH109" i="3"/>
  <c r="DG109" i="3"/>
  <c r="DF109" i="3"/>
  <c r="DE109" i="3"/>
  <c r="DD109" i="3"/>
  <c r="DC109" i="3"/>
  <c r="DB109" i="3"/>
  <c r="DA109" i="3"/>
  <c r="CZ109" i="3"/>
  <c r="CY109" i="3"/>
  <c r="CX109" i="3"/>
  <c r="CW109" i="3"/>
  <c r="CV109" i="3"/>
  <c r="CU109" i="3"/>
  <c r="CT109" i="3"/>
  <c r="CS109" i="3"/>
  <c r="CR109" i="3"/>
  <c r="CQ109" i="3"/>
  <c r="CP109" i="3"/>
  <c r="CO109" i="3"/>
  <c r="CN109" i="3"/>
  <c r="FW108" i="3"/>
  <c r="FV108" i="3"/>
  <c r="FU108" i="3"/>
  <c r="FT108" i="3"/>
  <c r="FS108" i="3"/>
  <c r="FR108" i="3"/>
  <c r="FQ108" i="3"/>
  <c r="FP108" i="3"/>
  <c r="FO108" i="3"/>
  <c r="FN108" i="3"/>
  <c r="FM108" i="3"/>
  <c r="FL108" i="3"/>
  <c r="FK108" i="3"/>
  <c r="FJ108" i="3"/>
  <c r="FI108" i="3"/>
  <c r="FH108" i="3"/>
  <c r="FG108" i="3"/>
  <c r="FF108" i="3"/>
  <c r="FE108" i="3"/>
  <c r="FD108" i="3"/>
  <c r="FC108" i="3"/>
  <c r="FB108" i="3"/>
  <c r="FA108" i="3"/>
  <c r="EZ108" i="3"/>
  <c r="EY108" i="3"/>
  <c r="EX108" i="3"/>
  <c r="EW108" i="3"/>
  <c r="EV108" i="3"/>
  <c r="EU108" i="3"/>
  <c r="ET108" i="3"/>
  <c r="ES108" i="3"/>
  <c r="ER108" i="3"/>
  <c r="EQ108" i="3"/>
  <c r="EP108" i="3"/>
  <c r="EO108" i="3"/>
  <c r="EN108" i="3"/>
  <c r="EM108" i="3"/>
  <c r="EL108" i="3"/>
  <c r="EK108" i="3"/>
  <c r="EJ108" i="3"/>
  <c r="EI108" i="3"/>
  <c r="EH108" i="3"/>
  <c r="EG108" i="3"/>
  <c r="EF108" i="3"/>
  <c r="EE108" i="3"/>
  <c r="ED108" i="3"/>
  <c r="EC108" i="3"/>
  <c r="EB108" i="3"/>
  <c r="EA108" i="3"/>
  <c r="DZ108" i="3"/>
  <c r="DY108" i="3"/>
  <c r="DX108" i="3"/>
  <c r="DW108" i="3"/>
  <c r="DV108" i="3"/>
  <c r="DU108" i="3"/>
  <c r="DT108" i="3"/>
  <c r="DS108" i="3"/>
  <c r="DR108" i="3"/>
  <c r="DQ108" i="3"/>
  <c r="DP108" i="3"/>
  <c r="DO108" i="3"/>
  <c r="DN108" i="3"/>
  <c r="DM108" i="3"/>
  <c r="DL108" i="3"/>
  <c r="DK108" i="3"/>
  <c r="DJ108" i="3"/>
  <c r="DI108" i="3"/>
  <c r="DH108" i="3"/>
  <c r="DG108" i="3"/>
  <c r="DF108" i="3"/>
  <c r="DE108" i="3"/>
  <c r="DD108" i="3"/>
  <c r="DC108" i="3"/>
  <c r="DB108" i="3"/>
  <c r="DA108" i="3"/>
  <c r="CZ108" i="3"/>
  <c r="CY108" i="3"/>
  <c r="CX108" i="3"/>
  <c r="CW108" i="3"/>
  <c r="CV108" i="3"/>
  <c r="CU108" i="3"/>
  <c r="CT108" i="3"/>
  <c r="CS108" i="3"/>
  <c r="CR108" i="3"/>
  <c r="CQ108" i="3"/>
  <c r="CP108" i="3"/>
  <c r="CO108" i="3"/>
  <c r="CN108" i="3"/>
  <c r="FW107" i="3"/>
  <c r="FV107" i="3"/>
  <c r="FU107" i="3"/>
  <c r="FT107" i="3"/>
  <c r="FS107" i="3"/>
  <c r="FR107" i="3"/>
  <c r="FQ107" i="3"/>
  <c r="FP107" i="3"/>
  <c r="FO107" i="3"/>
  <c r="FN107" i="3"/>
  <c r="FM107" i="3"/>
  <c r="FL107" i="3"/>
  <c r="FK107" i="3"/>
  <c r="FJ107" i="3"/>
  <c r="FI107" i="3"/>
  <c r="FH107" i="3"/>
  <c r="FG107" i="3"/>
  <c r="FF107" i="3"/>
  <c r="FE107" i="3"/>
  <c r="FD107" i="3"/>
  <c r="FC107" i="3"/>
  <c r="FB107" i="3"/>
  <c r="FA107" i="3"/>
  <c r="EZ107" i="3"/>
  <c r="EY107" i="3"/>
  <c r="EX107" i="3"/>
  <c r="EW107" i="3"/>
  <c r="EV107" i="3"/>
  <c r="EU107" i="3"/>
  <c r="ET107" i="3"/>
  <c r="ES107" i="3"/>
  <c r="ER107" i="3"/>
  <c r="EQ107" i="3"/>
  <c r="EP107" i="3"/>
  <c r="EO107" i="3"/>
  <c r="EN107" i="3"/>
  <c r="EM107" i="3"/>
  <c r="EL107" i="3"/>
  <c r="EK107" i="3"/>
  <c r="EJ107" i="3"/>
  <c r="EI107" i="3"/>
  <c r="EH107" i="3"/>
  <c r="EG107" i="3"/>
  <c r="EF107" i="3"/>
  <c r="EE107" i="3"/>
  <c r="ED107" i="3"/>
  <c r="EC107" i="3"/>
  <c r="EB107" i="3"/>
  <c r="EA107" i="3"/>
  <c r="DZ107" i="3"/>
  <c r="DY107" i="3"/>
  <c r="DX107" i="3"/>
  <c r="DW107" i="3"/>
  <c r="DV107" i="3"/>
  <c r="DU107" i="3"/>
  <c r="DT107" i="3"/>
  <c r="DS107" i="3"/>
  <c r="DR107" i="3"/>
  <c r="DQ107" i="3"/>
  <c r="DP107" i="3"/>
  <c r="DO107" i="3"/>
  <c r="DN107" i="3"/>
  <c r="DM107" i="3"/>
  <c r="DL107" i="3"/>
  <c r="DK107" i="3"/>
  <c r="DJ107" i="3"/>
  <c r="DI107" i="3"/>
  <c r="DH107" i="3"/>
  <c r="DG107" i="3"/>
  <c r="DF107" i="3"/>
  <c r="DE107" i="3"/>
  <c r="DD107" i="3"/>
  <c r="DC107" i="3"/>
  <c r="DB107" i="3"/>
  <c r="DA107" i="3"/>
  <c r="CZ107" i="3"/>
  <c r="CY107" i="3"/>
  <c r="CX107" i="3"/>
  <c r="CW107" i="3"/>
  <c r="CV107" i="3"/>
  <c r="CU107" i="3"/>
  <c r="CT107" i="3"/>
  <c r="CS107" i="3"/>
  <c r="CR107" i="3"/>
  <c r="CQ107" i="3"/>
  <c r="CP107" i="3"/>
  <c r="CO107" i="3"/>
  <c r="CN107" i="3"/>
  <c r="FW106" i="3"/>
  <c r="FV106" i="3"/>
  <c r="FU106" i="3"/>
  <c r="FT106" i="3"/>
  <c r="FS106" i="3"/>
  <c r="FR106" i="3"/>
  <c r="FQ106" i="3"/>
  <c r="FP106" i="3"/>
  <c r="FO106" i="3"/>
  <c r="FN106" i="3"/>
  <c r="FM106" i="3"/>
  <c r="FL106" i="3"/>
  <c r="FK106" i="3"/>
  <c r="FJ106" i="3"/>
  <c r="FI106" i="3"/>
  <c r="FH106" i="3"/>
  <c r="FG106" i="3"/>
  <c r="FF106" i="3"/>
  <c r="FE106" i="3"/>
  <c r="FD106" i="3"/>
  <c r="FC106" i="3"/>
  <c r="FB106" i="3"/>
  <c r="FA106" i="3"/>
  <c r="EZ106" i="3"/>
  <c r="EY106" i="3"/>
  <c r="EX106" i="3"/>
  <c r="EW106" i="3"/>
  <c r="EV106" i="3"/>
  <c r="EU106" i="3"/>
  <c r="ET106" i="3"/>
  <c r="ES106" i="3"/>
  <c r="ER106" i="3"/>
  <c r="EQ106" i="3"/>
  <c r="EP106" i="3"/>
  <c r="EO106" i="3"/>
  <c r="EN106" i="3"/>
  <c r="EM106" i="3"/>
  <c r="EL106" i="3"/>
  <c r="EK106" i="3"/>
  <c r="EJ106" i="3"/>
  <c r="EI106" i="3"/>
  <c r="EH106" i="3"/>
  <c r="EG106" i="3"/>
  <c r="EF106" i="3"/>
  <c r="EE106" i="3"/>
  <c r="ED106" i="3"/>
  <c r="EC106" i="3"/>
  <c r="EB106" i="3"/>
  <c r="EA106" i="3"/>
  <c r="DZ106" i="3"/>
  <c r="DY106" i="3"/>
  <c r="DX106" i="3"/>
  <c r="DW106" i="3"/>
  <c r="DV106" i="3"/>
  <c r="DU106" i="3"/>
  <c r="DT106" i="3"/>
  <c r="DS106" i="3"/>
  <c r="DR106" i="3"/>
  <c r="DQ106" i="3"/>
  <c r="DP106" i="3"/>
  <c r="DO106" i="3"/>
  <c r="DN106" i="3"/>
  <c r="DM106" i="3"/>
  <c r="DL106" i="3"/>
  <c r="DK106" i="3"/>
  <c r="DJ106" i="3"/>
  <c r="DI106" i="3"/>
  <c r="DH106" i="3"/>
  <c r="DG106" i="3"/>
  <c r="DF106" i="3"/>
  <c r="DE106" i="3"/>
  <c r="DD106" i="3"/>
  <c r="DC106" i="3"/>
  <c r="DB106" i="3"/>
  <c r="DA106" i="3"/>
  <c r="CZ106" i="3"/>
  <c r="CY106" i="3"/>
  <c r="CX106" i="3"/>
  <c r="CW106" i="3"/>
  <c r="CV106" i="3"/>
  <c r="CU106" i="3"/>
  <c r="CT106" i="3"/>
  <c r="CS106" i="3"/>
  <c r="CR106" i="3"/>
  <c r="CQ106" i="3"/>
  <c r="CP106" i="3"/>
  <c r="CO106" i="3"/>
  <c r="CN106" i="3"/>
  <c r="FW105" i="3"/>
  <c r="FV105" i="3"/>
  <c r="FU105" i="3"/>
  <c r="FT105" i="3"/>
  <c r="FS105" i="3"/>
  <c r="FR105" i="3"/>
  <c r="FQ105" i="3"/>
  <c r="FP105" i="3"/>
  <c r="FO105" i="3"/>
  <c r="FN105" i="3"/>
  <c r="FM105" i="3"/>
  <c r="FL105" i="3"/>
  <c r="FK105" i="3"/>
  <c r="FJ105" i="3"/>
  <c r="FI105" i="3"/>
  <c r="FH105" i="3"/>
  <c r="FG105" i="3"/>
  <c r="FF105" i="3"/>
  <c r="FE105" i="3"/>
  <c r="FD105" i="3"/>
  <c r="FC105" i="3"/>
  <c r="FB105" i="3"/>
  <c r="FA105" i="3"/>
  <c r="EZ105" i="3"/>
  <c r="EY105" i="3"/>
  <c r="EX105" i="3"/>
  <c r="EW105" i="3"/>
  <c r="EV105" i="3"/>
  <c r="EU105" i="3"/>
  <c r="ET105" i="3"/>
  <c r="ES105" i="3"/>
  <c r="ER105" i="3"/>
  <c r="EQ105" i="3"/>
  <c r="EP105" i="3"/>
  <c r="EO105" i="3"/>
  <c r="EN105" i="3"/>
  <c r="EM105" i="3"/>
  <c r="EL105" i="3"/>
  <c r="EK105" i="3"/>
  <c r="EJ105" i="3"/>
  <c r="EI105" i="3"/>
  <c r="EH105" i="3"/>
  <c r="EG105" i="3"/>
  <c r="EF105" i="3"/>
  <c r="EE105" i="3"/>
  <c r="ED105" i="3"/>
  <c r="EC105" i="3"/>
  <c r="EB105" i="3"/>
  <c r="EA105" i="3"/>
  <c r="DZ105" i="3"/>
  <c r="DY105" i="3"/>
  <c r="DX105" i="3"/>
  <c r="DW105" i="3"/>
  <c r="DV105" i="3"/>
  <c r="DU105" i="3"/>
  <c r="DT105" i="3"/>
  <c r="DS105" i="3"/>
  <c r="DR105" i="3"/>
  <c r="DQ105" i="3"/>
  <c r="DP105" i="3"/>
  <c r="DO105" i="3"/>
  <c r="DN105" i="3"/>
  <c r="DM105" i="3"/>
  <c r="DL105" i="3"/>
  <c r="DK105" i="3"/>
  <c r="DJ105" i="3"/>
  <c r="DI105" i="3"/>
  <c r="DH105" i="3"/>
  <c r="DG105" i="3"/>
  <c r="DF105" i="3"/>
  <c r="DE105" i="3"/>
  <c r="DD105" i="3"/>
  <c r="DC105" i="3"/>
  <c r="DB105" i="3"/>
  <c r="DA105" i="3"/>
  <c r="CZ105" i="3"/>
  <c r="CY105" i="3"/>
  <c r="CX105" i="3"/>
  <c r="CW105" i="3"/>
  <c r="CV105" i="3"/>
  <c r="CU105" i="3"/>
  <c r="CT105" i="3"/>
  <c r="CS105" i="3"/>
  <c r="CR105" i="3"/>
  <c r="CQ105" i="3"/>
  <c r="CP105" i="3"/>
  <c r="CO105" i="3"/>
  <c r="CN105" i="3"/>
  <c r="FW104" i="3"/>
  <c r="FV104" i="3"/>
  <c r="FU104" i="3"/>
  <c r="FT104" i="3"/>
  <c r="FS104" i="3"/>
  <c r="FR104" i="3"/>
  <c r="FQ104" i="3"/>
  <c r="FP104" i="3"/>
  <c r="FO104" i="3"/>
  <c r="FN104" i="3"/>
  <c r="FM104" i="3"/>
  <c r="FL104" i="3"/>
  <c r="FK104" i="3"/>
  <c r="FJ104" i="3"/>
  <c r="FI104" i="3"/>
  <c r="FH104" i="3"/>
  <c r="FG104" i="3"/>
  <c r="FF104" i="3"/>
  <c r="FE104" i="3"/>
  <c r="FD104" i="3"/>
  <c r="FC104" i="3"/>
  <c r="FB104" i="3"/>
  <c r="FA104" i="3"/>
  <c r="EZ104" i="3"/>
  <c r="EY104" i="3"/>
  <c r="EX104" i="3"/>
  <c r="EW104" i="3"/>
  <c r="EV104" i="3"/>
  <c r="EU104" i="3"/>
  <c r="ET104" i="3"/>
  <c r="ES104" i="3"/>
  <c r="ER104" i="3"/>
  <c r="EQ104" i="3"/>
  <c r="EP104" i="3"/>
  <c r="EO104" i="3"/>
  <c r="EN104" i="3"/>
  <c r="EM104" i="3"/>
  <c r="EL104" i="3"/>
  <c r="EK104" i="3"/>
  <c r="EJ104" i="3"/>
  <c r="EI104" i="3"/>
  <c r="EH104" i="3"/>
  <c r="EG104" i="3"/>
  <c r="EF104" i="3"/>
  <c r="EE104" i="3"/>
  <c r="ED104" i="3"/>
  <c r="EC104" i="3"/>
  <c r="EB104" i="3"/>
  <c r="EA104" i="3"/>
  <c r="DZ104" i="3"/>
  <c r="DY104" i="3"/>
  <c r="DX104" i="3"/>
  <c r="DW104" i="3"/>
  <c r="DV104" i="3"/>
  <c r="DU104" i="3"/>
  <c r="DT104" i="3"/>
  <c r="DS104" i="3"/>
  <c r="DR104" i="3"/>
  <c r="DQ104" i="3"/>
  <c r="DP104" i="3"/>
  <c r="DO104" i="3"/>
  <c r="DN104" i="3"/>
  <c r="DM104" i="3"/>
  <c r="DL104" i="3"/>
  <c r="DK104" i="3"/>
  <c r="DJ104" i="3"/>
  <c r="DI104" i="3"/>
  <c r="DH104" i="3"/>
  <c r="DG104" i="3"/>
  <c r="DF104" i="3"/>
  <c r="DE104" i="3"/>
  <c r="DD104" i="3"/>
  <c r="DC104" i="3"/>
  <c r="DB104" i="3"/>
  <c r="DA104" i="3"/>
  <c r="CZ104" i="3"/>
  <c r="CY104" i="3"/>
  <c r="CX104" i="3"/>
  <c r="CW104" i="3"/>
  <c r="CV104" i="3"/>
  <c r="CU104" i="3"/>
  <c r="CT104" i="3"/>
  <c r="CS104" i="3"/>
  <c r="CR104" i="3"/>
  <c r="CQ104" i="3"/>
  <c r="CP104" i="3"/>
  <c r="CO104" i="3"/>
  <c r="CN104" i="3"/>
  <c r="FW103" i="3"/>
  <c r="FV103" i="3"/>
  <c r="FU103" i="3"/>
  <c r="FT103" i="3"/>
  <c r="FS103" i="3"/>
  <c r="FR103" i="3"/>
  <c r="FQ103" i="3"/>
  <c r="FP103" i="3"/>
  <c r="FO103" i="3"/>
  <c r="FN103" i="3"/>
  <c r="FM103" i="3"/>
  <c r="FL103" i="3"/>
  <c r="FK103" i="3"/>
  <c r="FJ103" i="3"/>
  <c r="FI103" i="3"/>
  <c r="FH103" i="3"/>
  <c r="FG103" i="3"/>
  <c r="FF103" i="3"/>
  <c r="FE103" i="3"/>
  <c r="FD103" i="3"/>
  <c r="FC103" i="3"/>
  <c r="FB103" i="3"/>
  <c r="FA103" i="3"/>
  <c r="EZ103" i="3"/>
  <c r="EY103" i="3"/>
  <c r="EX103" i="3"/>
  <c r="EW103" i="3"/>
  <c r="EV103" i="3"/>
  <c r="EU103" i="3"/>
  <c r="ET103" i="3"/>
  <c r="ES103" i="3"/>
  <c r="ER103" i="3"/>
  <c r="EQ103" i="3"/>
  <c r="EP103" i="3"/>
  <c r="EO103" i="3"/>
  <c r="EN103" i="3"/>
  <c r="EM103" i="3"/>
  <c r="EL103" i="3"/>
  <c r="EK103" i="3"/>
  <c r="EJ103" i="3"/>
  <c r="EI103" i="3"/>
  <c r="EH103" i="3"/>
  <c r="EG103" i="3"/>
  <c r="EF103" i="3"/>
  <c r="EE103" i="3"/>
  <c r="ED103" i="3"/>
  <c r="EC103" i="3"/>
  <c r="EB103" i="3"/>
  <c r="EA103" i="3"/>
  <c r="DZ103" i="3"/>
  <c r="DY103" i="3"/>
  <c r="DX103" i="3"/>
  <c r="DW103" i="3"/>
  <c r="DV103" i="3"/>
  <c r="DU103" i="3"/>
  <c r="DT103" i="3"/>
  <c r="DS103" i="3"/>
  <c r="DR103" i="3"/>
  <c r="DQ103" i="3"/>
  <c r="DP103" i="3"/>
  <c r="DO103" i="3"/>
  <c r="DN103" i="3"/>
  <c r="DM103" i="3"/>
  <c r="DL103" i="3"/>
  <c r="DK103" i="3"/>
  <c r="DJ103" i="3"/>
  <c r="DI103" i="3"/>
  <c r="DH103" i="3"/>
  <c r="DG103" i="3"/>
  <c r="DF103" i="3"/>
  <c r="DE103" i="3"/>
  <c r="DD103" i="3"/>
  <c r="DC103" i="3"/>
  <c r="DB103" i="3"/>
  <c r="DA103" i="3"/>
  <c r="CZ103" i="3"/>
  <c r="CY103" i="3"/>
  <c r="CX103" i="3"/>
  <c r="CW103" i="3"/>
  <c r="CV103" i="3"/>
  <c r="CU103" i="3"/>
  <c r="CT103" i="3"/>
  <c r="CS103" i="3"/>
  <c r="CR103" i="3"/>
  <c r="CQ103" i="3"/>
  <c r="CP103" i="3"/>
  <c r="CO103" i="3"/>
  <c r="CN103" i="3"/>
  <c r="FW102" i="3"/>
  <c r="FV102" i="3"/>
  <c r="FU102" i="3"/>
  <c r="FT102" i="3"/>
  <c r="FS102" i="3"/>
  <c r="FR102" i="3"/>
  <c r="FQ102" i="3"/>
  <c r="FP102" i="3"/>
  <c r="FO102" i="3"/>
  <c r="FN102" i="3"/>
  <c r="FM102" i="3"/>
  <c r="FL102" i="3"/>
  <c r="FK102" i="3"/>
  <c r="FJ102" i="3"/>
  <c r="FI102" i="3"/>
  <c r="FH102" i="3"/>
  <c r="FG102" i="3"/>
  <c r="FF102" i="3"/>
  <c r="FE102" i="3"/>
  <c r="FD102" i="3"/>
  <c r="FC102" i="3"/>
  <c r="FB102" i="3"/>
  <c r="FA102" i="3"/>
  <c r="EZ102" i="3"/>
  <c r="EY102" i="3"/>
  <c r="EX102" i="3"/>
  <c r="EW102" i="3"/>
  <c r="EV102" i="3"/>
  <c r="EU102" i="3"/>
  <c r="ET102" i="3"/>
  <c r="ES102" i="3"/>
  <c r="ER102" i="3"/>
  <c r="EQ102" i="3"/>
  <c r="EP102" i="3"/>
  <c r="EO102" i="3"/>
  <c r="EN102" i="3"/>
  <c r="EM102" i="3"/>
  <c r="EL102" i="3"/>
  <c r="EK102" i="3"/>
  <c r="EJ102" i="3"/>
  <c r="EI102" i="3"/>
  <c r="EH102" i="3"/>
  <c r="EG102" i="3"/>
  <c r="EF102" i="3"/>
  <c r="EE102" i="3"/>
  <c r="ED102" i="3"/>
  <c r="EC102" i="3"/>
  <c r="EB102" i="3"/>
  <c r="EA102" i="3"/>
  <c r="DZ102" i="3"/>
  <c r="DY102" i="3"/>
  <c r="DX102" i="3"/>
  <c r="DW102" i="3"/>
  <c r="DV102" i="3"/>
  <c r="DU102" i="3"/>
  <c r="DT102" i="3"/>
  <c r="DS102" i="3"/>
  <c r="DR102" i="3"/>
  <c r="DQ102" i="3"/>
  <c r="DP102" i="3"/>
  <c r="DO102" i="3"/>
  <c r="DN102" i="3"/>
  <c r="DM102" i="3"/>
  <c r="DL102" i="3"/>
  <c r="DK102" i="3"/>
  <c r="DJ102" i="3"/>
  <c r="DI102" i="3"/>
  <c r="DH102" i="3"/>
  <c r="DG102" i="3"/>
  <c r="DF102" i="3"/>
  <c r="DE102" i="3"/>
  <c r="DD102" i="3"/>
  <c r="DC102" i="3"/>
  <c r="DB102" i="3"/>
  <c r="DA102" i="3"/>
  <c r="CZ102" i="3"/>
  <c r="CY102" i="3"/>
  <c r="CX102" i="3"/>
  <c r="CW102" i="3"/>
  <c r="CV102" i="3"/>
  <c r="CU102" i="3"/>
  <c r="CT102" i="3"/>
  <c r="CS102" i="3"/>
  <c r="CR102" i="3"/>
  <c r="CQ102" i="3"/>
  <c r="CP102" i="3"/>
  <c r="CO102" i="3"/>
  <c r="CN102" i="3"/>
  <c r="FW101" i="3"/>
  <c r="FV101" i="3"/>
  <c r="FU101" i="3"/>
  <c r="FT101" i="3"/>
  <c r="FS101" i="3"/>
  <c r="FR101" i="3"/>
  <c r="FQ101" i="3"/>
  <c r="FP101" i="3"/>
  <c r="FO101" i="3"/>
  <c r="FN101" i="3"/>
  <c r="FM101" i="3"/>
  <c r="FL101" i="3"/>
  <c r="FK101" i="3"/>
  <c r="FJ101" i="3"/>
  <c r="FI101" i="3"/>
  <c r="FH101" i="3"/>
  <c r="FG101" i="3"/>
  <c r="FF101" i="3"/>
  <c r="FE101" i="3"/>
  <c r="FD101" i="3"/>
  <c r="FC101" i="3"/>
  <c r="FB101" i="3"/>
  <c r="FA101" i="3"/>
  <c r="EZ101" i="3"/>
  <c r="EY101" i="3"/>
  <c r="EX101" i="3"/>
  <c r="EW101" i="3"/>
  <c r="EV101" i="3"/>
  <c r="EU101" i="3"/>
  <c r="ET101" i="3"/>
  <c r="ES101" i="3"/>
  <c r="ER101" i="3"/>
  <c r="EQ101" i="3"/>
  <c r="EP101" i="3"/>
  <c r="EO101" i="3"/>
  <c r="EN101" i="3"/>
  <c r="EM101" i="3"/>
  <c r="EL101" i="3"/>
  <c r="EK101" i="3"/>
  <c r="EJ101" i="3"/>
  <c r="EI101" i="3"/>
  <c r="EH101" i="3"/>
  <c r="EG101" i="3"/>
  <c r="EF101" i="3"/>
  <c r="EE101" i="3"/>
  <c r="ED101" i="3"/>
  <c r="EC101" i="3"/>
  <c r="EB101" i="3"/>
  <c r="EA101" i="3"/>
  <c r="DZ101" i="3"/>
  <c r="DY101" i="3"/>
  <c r="DX101" i="3"/>
  <c r="DW101" i="3"/>
  <c r="DV101" i="3"/>
  <c r="DU101" i="3"/>
  <c r="DT101" i="3"/>
  <c r="DS101" i="3"/>
  <c r="DR101" i="3"/>
  <c r="DQ101" i="3"/>
  <c r="DP101" i="3"/>
  <c r="DO101" i="3"/>
  <c r="DN101" i="3"/>
  <c r="DM101" i="3"/>
  <c r="DL101" i="3"/>
  <c r="DK101" i="3"/>
  <c r="DJ101" i="3"/>
  <c r="DI101" i="3"/>
  <c r="DH101" i="3"/>
  <c r="DG101" i="3"/>
  <c r="DF101" i="3"/>
  <c r="DE101" i="3"/>
  <c r="DD101" i="3"/>
  <c r="DC101" i="3"/>
  <c r="DB101" i="3"/>
  <c r="DA101" i="3"/>
  <c r="CZ101" i="3"/>
  <c r="CY101" i="3"/>
  <c r="CX101" i="3"/>
  <c r="CW101" i="3"/>
  <c r="CV101" i="3"/>
  <c r="CU101" i="3"/>
  <c r="CT101" i="3"/>
  <c r="CS101" i="3"/>
  <c r="CR101" i="3"/>
  <c r="CQ101" i="3"/>
  <c r="CP101" i="3"/>
  <c r="CO101" i="3"/>
  <c r="CN101" i="3"/>
  <c r="C113" i="3"/>
  <c r="FW194" i="3"/>
  <c r="FV194" i="3"/>
  <c r="FU194" i="3"/>
  <c r="FT194" i="3"/>
  <c r="FS194" i="3"/>
  <c r="FR194" i="3"/>
  <c r="FQ194" i="3"/>
  <c r="FP194" i="3"/>
  <c r="FO194" i="3"/>
  <c r="FN194" i="3"/>
  <c r="FM194" i="3"/>
  <c r="FL194" i="3"/>
  <c r="FK194" i="3"/>
  <c r="FJ194" i="3"/>
  <c r="FI194" i="3"/>
  <c r="FH194" i="3"/>
  <c r="FG194" i="3"/>
  <c r="FF194" i="3"/>
  <c r="FE194" i="3"/>
  <c r="FD194" i="3"/>
  <c r="FC194" i="3"/>
  <c r="FB194" i="3"/>
  <c r="FA194" i="3"/>
  <c r="EZ194" i="3"/>
  <c r="EY194" i="3"/>
  <c r="EX194" i="3"/>
  <c r="EW194" i="3"/>
  <c r="EV194" i="3"/>
  <c r="EU194" i="3"/>
  <c r="ET194" i="3"/>
  <c r="ES194" i="3"/>
  <c r="ER194" i="3"/>
  <c r="EQ194" i="3"/>
  <c r="EP194" i="3"/>
  <c r="EO194" i="3"/>
  <c r="EN194" i="3"/>
  <c r="EM194" i="3"/>
  <c r="EL194" i="3"/>
  <c r="EK194" i="3"/>
  <c r="EJ194" i="3"/>
  <c r="EI194" i="3"/>
  <c r="EH194" i="3"/>
  <c r="EG194" i="3"/>
  <c r="EF194" i="3"/>
  <c r="EE194" i="3"/>
  <c r="ED194" i="3"/>
  <c r="EC194" i="3"/>
  <c r="EB194" i="3"/>
  <c r="EA194" i="3"/>
  <c r="DZ194" i="3"/>
  <c r="DY194" i="3"/>
  <c r="DX194" i="3"/>
  <c r="DW194" i="3"/>
  <c r="DV194" i="3"/>
  <c r="DU194" i="3"/>
  <c r="DT194" i="3"/>
  <c r="DS194" i="3"/>
  <c r="DR194" i="3"/>
  <c r="DQ194" i="3"/>
  <c r="DP194" i="3"/>
  <c r="DO194" i="3"/>
  <c r="DN194" i="3"/>
  <c r="DM194" i="3"/>
  <c r="DL194" i="3"/>
  <c r="DK194" i="3"/>
  <c r="DJ194" i="3"/>
  <c r="DI194" i="3"/>
  <c r="DH194" i="3"/>
  <c r="DG194" i="3"/>
  <c r="DF194" i="3"/>
  <c r="DE194" i="3"/>
  <c r="DD194" i="3"/>
  <c r="DC194" i="3"/>
  <c r="DB194" i="3"/>
  <c r="DA194" i="3"/>
  <c r="CZ194" i="3"/>
  <c r="CY194" i="3"/>
  <c r="CX194" i="3"/>
  <c r="CW194" i="3"/>
  <c r="CV194" i="3"/>
  <c r="CU194" i="3"/>
  <c r="CT194" i="3"/>
  <c r="CS194" i="3"/>
  <c r="CR194" i="3"/>
  <c r="CQ194" i="3"/>
  <c r="CP194" i="3"/>
  <c r="CO194" i="3"/>
  <c r="CN194" i="3"/>
  <c r="C199" i="3"/>
  <c r="FW198" i="3"/>
  <c r="FV198" i="3"/>
  <c r="FU198" i="3"/>
  <c r="FT198" i="3"/>
  <c r="FS198" i="3"/>
  <c r="FR198" i="3"/>
  <c r="FQ198" i="3"/>
  <c r="FP198" i="3"/>
  <c r="FO198" i="3"/>
  <c r="FN198" i="3"/>
  <c r="FM198" i="3"/>
  <c r="FL198" i="3"/>
  <c r="FK198" i="3"/>
  <c r="FJ198" i="3"/>
  <c r="FI198" i="3"/>
  <c r="FH198" i="3"/>
  <c r="FG198" i="3"/>
  <c r="FF198" i="3"/>
  <c r="FE198" i="3"/>
  <c r="FD198" i="3"/>
  <c r="FC198" i="3"/>
  <c r="FB198" i="3"/>
  <c r="FA198" i="3"/>
  <c r="EZ198" i="3"/>
  <c r="EY198" i="3"/>
  <c r="EX198" i="3"/>
  <c r="EW198" i="3"/>
  <c r="EV198" i="3"/>
  <c r="EU198" i="3"/>
  <c r="ET198" i="3"/>
  <c r="ES198" i="3"/>
  <c r="ER198" i="3"/>
  <c r="EQ198" i="3"/>
  <c r="EP198" i="3"/>
  <c r="EO198" i="3"/>
  <c r="EN198" i="3"/>
  <c r="EM198" i="3"/>
  <c r="EL198" i="3"/>
  <c r="EK198" i="3"/>
  <c r="EJ198" i="3"/>
  <c r="EI198" i="3"/>
  <c r="EH198" i="3"/>
  <c r="EG198" i="3"/>
  <c r="EF198" i="3"/>
  <c r="EE198" i="3"/>
  <c r="ED198" i="3"/>
  <c r="EC198" i="3"/>
  <c r="EB198" i="3"/>
  <c r="EA198" i="3"/>
  <c r="DZ198" i="3"/>
  <c r="DY198" i="3"/>
  <c r="DX198" i="3"/>
  <c r="DW198" i="3"/>
  <c r="DV198" i="3"/>
  <c r="DU198" i="3"/>
  <c r="DT198" i="3"/>
  <c r="DS198" i="3"/>
  <c r="DR198" i="3"/>
  <c r="DQ198" i="3"/>
  <c r="DP198" i="3"/>
  <c r="DO198" i="3"/>
  <c r="DN198" i="3"/>
  <c r="DM198" i="3"/>
  <c r="DL198" i="3"/>
  <c r="DK198" i="3"/>
  <c r="DJ198" i="3"/>
  <c r="DI198" i="3"/>
  <c r="DH198" i="3"/>
  <c r="DG198" i="3"/>
  <c r="DF198" i="3"/>
  <c r="DE198" i="3"/>
  <c r="DD198" i="3"/>
  <c r="DC198" i="3"/>
  <c r="DB198" i="3"/>
  <c r="DA198" i="3"/>
  <c r="CZ198" i="3"/>
  <c r="CY198" i="3"/>
  <c r="CX198" i="3"/>
  <c r="CW198" i="3"/>
  <c r="CV198" i="3"/>
  <c r="CU198" i="3"/>
  <c r="CT198" i="3"/>
  <c r="CS198" i="3"/>
  <c r="CR198" i="3"/>
  <c r="CQ198" i="3"/>
  <c r="CP198" i="3"/>
  <c r="CO198" i="3"/>
  <c r="CN198" i="3"/>
  <c r="FW197" i="3"/>
  <c r="FV197" i="3"/>
  <c r="FU197" i="3"/>
  <c r="FT197" i="3"/>
  <c r="FS197" i="3"/>
  <c r="FR197" i="3"/>
  <c r="FQ197" i="3"/>
  <c r="FP197" i="3"/>
  <c r="FO197" i="3"/>
  <c r="FN197" i="3"/>
  <c r="FM197" i="3"/>
  <c r="FL197" i="3"/>
  <c r="FK197" i="3"/>
  <c r="FJ197" i="3"/>
  <c r="FI197" i="3"/>
  <c r="FH197" i="3"/>
  <c r="FG197" i="3"/>
  <c r="FF197" i="3"/>
  <c r="FE197" i="3"/>
  <c r="FD197" i="3"/>
  <c r="FC197" i="3"/>
  <c r="FB197" i="3"/>
  <c r="FA197" i="3"/>
  <c r="EZ197" i="3"/>
  <c r="EY197" i="3"/>
  <c r="EX197" i="3"/>
  <c r="EW197" i="3"/>
  <c r="EV197" i="3"/>
  <c r="EU197" i="3"/>
  <c r="ET197" i="3"/>
  <c r="ES197" i="3"/>
  <c r="ER197" i="3"/>
  <c r="EQ197" i="3"/>
  <c r="EP197" i="3"/>
  <c r="EO197" i="3"/>
  <c r="EN197" i="3"/>
  <c r="EM197" i="3"/>
  <c r="EL197" i="3"/>
  <c r="EK197" i="3"/>
  <c r="EJ197" i="3"/>
  <c r="EI197" i="3"/>
  <c r="EH197" i="3"/>
  <c r="EG197" i="3"/>
  <c r="EF197" i="3"/>
  <c r="EE197" i="3"/>
  <c r="ED197" i="3"/>
  <c r="EC197" i="3"/>
  <c r="EB197" i="3"/>
  <c r="EA197" i="3"/>
  <c r="DZ197" i="3"/>
  <c r="DY197" i="3"/>
  <c r="DX197" i="3"/>
  <c r="DW197" i="3"/>
  <c r="DV197" i="3"/>
  <c r="DU197" i="3"/>
  <c r="DT197" i="3"/>
  <c r="DS197" i="3"/>
  <c r="DR197" i="3"/>
  <c r="DQ197" i="3"/>
  <c r="DP197" i="3"/>
  <c r="DO197" i="3"/>
  <c r="DN197" i="3"/>
  <c r="DM197" i="3"/>
  <c r="DL197" i="3"/>
  <c r="DK197" i="3"/>
  <c r="DJ197" i="3"/>
  <c r="DI197" i="3"/>
  <c r="DH197" i="3"/>
  <c r="DG197" i="3"/>
  <c r="DF197" i="3"/>
  <c r="DE197" i="3"/>
  <c r="DD197" i="3"/>
  <c r="DC197" i="3"/>
  <c r="DB197" i="3"/>
  <c r="DA197" i="3"/>
  <c r="CZ197" i="3"/>
  <c r="CY197" i="3"/>
  <c r="CX197" i="3"/>
  <c r="CW197" i="3"/>
  <c r="CV197" i="3"/>
  <c r="CU197" i="3"/>
  <c r="CT197" i="3"/>
  <c r="CS197" i="3"/>
  <c r="CR197" i="3"/>
  <c r="CQ197" i="3"/>
  <c r="CP197" i="3"/>
  <c r="CO197" i="3"/>
  <c r="CN197" i="3"/>
  <c r="FW196" i="3"/>
  <c r="FV196" i="3"/>
  <c r="FU196" i="3"/>
  <c r="FT196" i="3"/>
  <c r="FS196" i="3"/>
  <c r="FR196" i="3"/>
  <c r="FQ196" i="3"/>
  <c r="FP196" i="3"/>
  <c r="FO196" i="3"/>
  <c r="FN196" i="3"/>
  <c r="FM196" i="3"/>
  <c r="FL196" i="3"/>
  <c r="FK196" i="3"/>
  <c r="FJ196" i="3"/>
  <c r="FI196" i="3"/>
  <c r="FH196" i="3"/>
  <c r="FG196" i="3"/>
  <c r="FF196" i="3"/>
  <c r="FE196" i="3"/>
  <c r="FD196" i="3"/>
  <c r="FC196" i="3"/>
  <c r="FB196" i="3"/>
  <c r="FA196" i="3"/>
  <c r="EZ196" i="3"/>
  <c r="EY196" i="3"/>
  <c r="EX196" i="3"/>
  <c r="EW196" i="3"/>
  <c r="EV196" i="3"/>
  <c r="EU196" i="3"/>
  <c r="ET196" i="3"/>
  <c r="ES196" i="3"/>
  <c r="ER196" i="3"/>
  <c r="EQ196" i="3"/>
  <c r="EP196" i="3"/>
  <c r="EO196" i="3"/>
  <c r="EN196" i="3"/>
  <c r="EM196" i="3"/>
  <c r="EL196" i="3"/>
  <c r="EK196" i="3"/>
  <c r="EJ196" i="3"/>
  <c r="EI196" i="3"/>
  <c r="EH196" i="3"/>
  <c r="EG196" i="3"/>
  <c r="EF196" i="3"/>
  <c r="EE196" i="3"/>
  <c r="ED196" i="3"/>
  <c r="EC196" i="3"/>
  <c r="EB196" i="3"/>
  <c r="EA196" i="3"/>
  <c r="DZ196" i="3"/>
  <c r="DY196" i="3"/>
  <c r="DX196" i="3"/>
  <c r="DW196" i="3"/>
  <c r="DV196" i="3"/>
  <c r="DU196" i="3"/>
  <c r="DT196" i="3"/>
  <c r="DS196" i="3"/>
  <c r="DR196" i="3"/>
  <c r="DQ196" i="3"/>
  <c r="DP196" i="3"/>
  <c r="DO196" i="3"/>
  <c r="DN196" i="3"/>
  <c r="DM196" i="3"/>
  <c r="DL196" i="3"/>
  <c r="DK196" i="3"/>
  <c r="DJ196" i="3"/>
  <c r="DI196" i="3"/>
  <c r="DH196" i="3"/>
  <c r="DG196" i="3"/>
  <c r="DF196" i="3"/>
  <c r="DE196" i="3"/>
  <c r="DD196" i="3"/>
  <c r="DC196" i="3"/>
  <c r="DB196" i="3"/>
  <c r="DA196" i="3"/>
  <c r="CZ196" i="3"/>
  <c r="CY196" i="3"/>
  <c r="CX196" i="3"/>
  <c r="CW196" i="3"/>
  <c r="CV196" i="3"/>
  <c r="CU196" i="3"/>
  <c r="CT196" i="3"/>
  <c r="CS196" i="3"/>
  <c r="CR196" i="3"/>
  <c r="CQ196" i="3"/>
  <c r="CP196" i="3"/>
  <c r="CO196" i="3"/>
  <c r="CN196" i="3"/>
  <c r="FW195" i="3"/>
  <c r="FV195" i="3"/>
  <c r="FU195" i="3"/>
  <c r="FT195" i="3"/>
  <c r="FS195" i="3"/>
  <c r="FR195" i="3"/>
  <c r="FQ195" i="3"/>
  <c r="FP195" i="3"/>
  <c r="FO195" i="3"/>
  <c r="FN195" i="3"/>
  <c r="FM195" i="3"/>
  <c r="FL195" i="3"/>
  <c r="FK195" i="3"/>
  <c r="FJ195" i="3"/>
  <c r="FI195" i="3"/>
  <c r="FH195" i="3"/>
  <c r="FG195" i="3"/>
  <c r="FF195" i="3"/>
  <c r="FE195" i="3"/>
  <c r="FD195" i="3"/>
  <c r="FC195" i="3"/>
  <c r="FB195" i="3"/>
  <c r="FA195" i="3"/>
  <c r="EZ195" i="3"/>
  <c r="EY195" i="3"/>
  <c r="EX195" i="3"/>
  <c r="EW195" i="3"/>
  <c r="EV195" i="3"/>
  <c r="EU195" i="3"/>
  <c r="ET195" i="3"/>
  <c r="ES195" i="3"/>
  <c r="ER195" i="3"/>
  <c r="EQ195" i="3"/>
  <c r="EP195" i="3"/>
  <c r="EO195" i="3"/>
  <c r="EN195" i="3"/>
  <c r="EM195" i="3"/>
  <c r="EL195" i="3"/>
  <c r="EK195" i="3"/>
  <c r="EJ195" i="3"/>
  <c r="EI195" i="3"/>
  <c r="EH195" i="3"/>
  <c r="EG195" i="3"/>
  <c r="EF195" i="3"/>
  <c r="EE195" i="3"/>
  <c r="ED195" i="3"/>
  <c r="EC195" i="3"/>
  <c r="EB195" i="3"/>
  <c r="EA195" i="3"/>
  <c r="DZ195" i="3"/>
  <c r="DY195" i="3"/>
  <c r="DX195" i="3"/>
  <c r="DW195" i="3"/>
  <c r="DV195" i="3"/>
  <c r="DU195" i="3"/>
  <c r="DT195" i="3"/>
  <c r="DS195" i="3"/>
  <c r="DR195" i="3"/>
  <c r="DQ195" i="3"/>
  <c r="DP195" i="3"/>
  <c r="DO195" i="3"/>
  <c r="DN195" i="3"/>
  <c r="DM195" i="3"/>
  <c r="DL195" i="3"/>
  <c r="DK195" i="3"/>
  <c r="DJ195" i="3"/>
  <c r="DI195" i="3"/>
  <c r="DH195" i="3"/>
  <c r="DG195" i="3"/>
  <c r="DF195" i="3"/>
  <c r="DE195" i="3"/>
  <c r="DD195" i="3"/>
  <c r="DC195" i="3"/>
  <c r="DB195" i="3"/>
  <c r="DA195" i="3"/>
  <c r="CZ195" i="3"/>
  <c r="CY195" i="3"/>
  <c r="CX195" i="3"/>
  <c r="CW195" i="3"/>
  <c r="CV195" i="3"/>
  <c r="CU195" i="3"/>
  <c r="CT195" i="3"/>
  <c r="CS195" i="3"/>
  <c r="CR195" i="3"/>
  <c r="CQ195" i="3"/>
  <c r="CP195" i="3"/>
  <c r="CO195" i="3"/>
  <c r="CN195" i="3"/>
  <c r="FW193" i="3"/>
  <c r="FV193" i="3"/>
  <c r="FU193" i="3"/>
  <c r="FT193" i="3"/>
  <c r="FS193" i="3"/>
  <c r="FR193" i="3"/>
  <c r="FQ193" i="3"/>
  <c r="FP193" i="3"/>
  <c r="FO193" i="3"/>
  <c r="FN193" i="3"/>
  <c r="FM193" i="3"/>
  <c r="FL193" i="3"/>
  <c r="FK193" i="3"/>
  <c r="FJ193" i="3"/>
  <c r="FI193" i="3"/>
  <c r="FH193" i="3"/>
  <c r="FG193" i="3"/>
  <c r="FF193" i="3"/>
  <c r="FE193" i="3"/>
  <c r="FD193" i="3"/>
  <c r="FC193" i="3"/>
  <c r="FB193" i="3"/>
  <c r="FA193" i="3"/>
  <c r="EZ193" i="3"/>
  <c r="EY193" i="3"/>
  <c r="EX193" i="3"/>
  <c r="EW193" i="3"/>
  <c r="EV193" i="3"/>
  <c r="EU193" i="3"/>
  <c r="ET193" i="3"/>
  <c r="ES193" i="3"/>
  <c r="ER193" i="3"/>
  <c r="EQ193" i="3"/>
  <c r="EP193" i="3"/>
  <c r="EO193" i="3"/>
  <c r="EN193" i="3"/>
  <c r="EM193" i="3"/>
  <c r="EL193" i="3"/>
  <c r="EK193" i="3"/>
  <c r="EJ193" i="3"/>
  <c r="EI193" i="3"/>
  <c r="EH193" i="3"/>
  <c r="EG193" i="3"/>
  <c r="EF193" i="3"/>
  <c r="EE193" i="3"/>
  <c r="ED193" i="3"/>
  <c r="EC193" i="3"/>
  <c r="EB193" i="3"/>
  <c r="EA193" i="3"/>
  <c r="DZ193" i="3"/>
  <c r="DY193" i="3"/>
  <c r="DX193" i="3"/>
  <c r="DW193" i="3"/>
  <c r="DV193" i="3"/>
  <c r="DU193" i="3"/>
  <c r="DT193" i="3"/>
  <c r="DS193" i="3"/>
  <c r="DR193" i="3"/>
  <c r="DQ193" i="3"/>
  <c r="DP193" i="3"/>
  <c r="DO193" i="3"/>
  <c r="DN193" i="3"/>
  <c r="DM193" i="3"/>
  <c r="DL193" i="3"/>
  <c r="DK193" i="3"/>
  <c r="DJ193" i="3"/>
  <c r="DI193" i="3"/>
  <c r="DH193" i="3"/>
  <c r="DG193" i="3"/>
  <c r="DF193" i="3"/>
  <c r="DE193" i="3"/>
  <c r="DD193" i="3"/>
  <c r="DC193" i="3"/>
  <c r="DB193" i="3"/>
  <c r="DA193" i="3"/>
  <c r="CZ193" i="3"/>
  <c r="CY193" i="3"/>
  <c r="CX193" i="3"/>
  <c r="CW193" i="3"/>
  <c r="CV193" i="3"/>
  <c r="CU193" i="3"/>
  <c r="CT193" i="3"/>
  <c r="CS193" i="3"/>
  <c r="CR193" i="3"/>
  <c r="CQ193" i="3"/>
  <c r="CP193" i="3"/>
  <c r="CO193" i="3"/>
  <c r="CN193" i="3"/>
  <c r="FW118" i="3"/>
  <c r="FV118" i="3"/>
  <c r="FU118" i="3"/>
  <c r="FT118" i="3"/>
  <c r="FS118" i="3"/>
  <c r="FR118" i="3"/>
  <c r="FQ118" i="3"/>
  <c r="FP118" i="3"/>
  <c r="FO118" i="3"/>
  <c r="FN118" i="3"/>
  <c r="FM118" i="3"/>
  <c r="FL118" i="3"/>
  <c r="FK118" i="3"/>
  <c r="FJ118" i="3"/>
  <c r="FI118" i="3"/>
  <c r="FH118" i="3"/>
  <c r="FG118" i="3"/>
  <c r="FF118" i="3"/>
  <c r="FE118" i="3"/>
  <c r="FD118" i="3"/>
  <c r="FC118" i="3"/>
  <c r="FB118" i="3"/>
  <c r="FA118" i="3"/>
  <c r="EZ118" i="3"/>
  <c r="EY118" i="3"/>
  <c r="EX118" i="3"/>
  <c r="EW118" i="3"/>
  <c r="EV118" i="3"/>
  <c r="EU118" i="3"/>
  <c r="ET118" i="3"/>
  <c r="ES118" i="3"/>
  <c r="ER118" i="3"/>
  <c r="EQ118" i="3"/>
  <c r="EP118" i="3"/>
  <c r="EO118" i="3"/>
  <c r="EN118" i="3"/>
  <c r="EM118" i="3"/>
  <c r="EL118" i="3"/>
  <c r="EK118" i="3"/>
  <c r="EJ118" i="3"/>
  <c r="EI118" i="3"/>
  <c r="EH118" i="3"/>
  <c r="EG118" i="3"/>
  <c r="EF118" i="3"/>
  <c r="EE118" i="3"/>
  <c r="ED118" i="3"/>
  <c r="EC118" i="3"/>
  <c r="EB118" i="3"/>
  <c r="EA118" i="3"/>
  <c r="DZ118" i="3"/>
  <c r="DY118" i="3"/>
  <c r="DX118" i="3"/>
  <c r="DW118" i="3"/>
  <c r="DV118" i="3"/>
  <c r="DU118" i="3"/>
  <c r="DT118" i="3"/>
  <c r="DS118" i="3"/>
  <c r="DR118" i="3"/>
  <c r="DQ118" i="3"/>
  <c r="DP118" i="3"/>
  <c r="DO118" i="3"/>
  <c r="DN118" i="3"/>
  <c r="DM118" i="3"/>
  <c r="DL118" i="3"/>
  <c r="DK118" i="3"/>
  <c r="DJ118" i="3"/>
  <c r="DI118" i="3"/>
  <c r="DH118" i="3"/>
  <c r="DG118" i="3"/>
  <c r="DF118" i="3"/>
  <c r="DE118" i="3"/>
  <c r="DD118" i="3"/>
  <c r="DC118" i="3"/>
  <c r="DB118" i="3"/>
  <c r="DA118" i="3"/>
  <c r="CZ118" i="3"/>
  <c r="CY118" i="3"/>
  <c r="CX118" i="3"/>
  <c r="CW118" i="3"/>
  <c r="CV118" i="3"/>
  <c r="CU118" i="3"/>
  <c r="CT118" i="3"/>
  <c r="CS118" i="3"/>
  <c r="CR118" i="3"/>
  <c r="CQ118" i="3"/>
  <c r="CP118" i="3"/>
  <c r="CO118" i="3"/>
  <c r="CN118" i="3"/>
  <c r="FW117" i="3"/>
  <c r="FV117" i="3"/>
  <c r="FU117" i="3"/>
  <c r="FT117" i="3"/>
  <c r="FS117" i="3"/>
  <c r="FR117" i="3"/>
  <c r="FQ117" i="3"/>
  <c r="FP117" i="3"/>
  <c r="FO117" i="3"/>
  <c r="FN117" i="3"/>
  <c r="FM117" i="3"/>
  <c r="FL117" i="3"/>
  <c r="FK117" i="3"/>
  <c r="FJ117" i="3"/>
  <c r="FI117" i="3"/>
  <c r="FH117" i="3"/>
  <c r="FG117" i="3"/>
  <c r="FF117" i="3"/>
  <c r="FE117" i="3"/>
  <c r="FD117" i="3"/>
  <c r="FC117" i="3"/>
  <c r="FB117" i="3"/>
  <c r="FA117" i="3"/>
  <c r="EZ117" i="3"/>
  <c r="EY117" i="3"/>
  <c r="EX117" i="3"/>
  <c r="EW117" i="3"/>
  <c r="EV117" i="3"/>
  <c r="EU117" i="3"/>
  <c r="ET117" i="3"/>
  <c r="ES117" i="3"/>
  <c r="ER117" i="3"/>
  <c r="EQ117" i="3"/>
  <c r="EP117" i="3"/>
  <c r="EO117" i="3"/>
  <c r="EN117" i="3"/>
  <c r="EM117" i="3"/>
  <c r="EL117" i="3"/>
  <c r="EK117" i="3"/>
  <c r="EJ117" i="3"/>
  <c r="EI117" i="3"/>
  <c r="EH117" i="3"/>
  <c r="EG117" i="3"/>
  <c r="EF117" i="3"/>
  <c r="EE117" i="3"/>
  <c r="ED117" i="3"/>
  <c r="EC117" i="3"/>
  <c r="EB117" i="3"/>
  <c r="EA117" i="3"/>
  <c r="DZ117" i="3"/>
  <c r="DY117" i="3"/>
  <c r="DX117" i="3"/>
  <c r="DW117" i="3"/>
  <c r="DV117" i="3"/>
  <c r="DU117" i="3"/>
  <c r="DT117" i="3"/>
  <c r="DS117" i="3"/>
  <c r="DR117" i="3"/>
  <c r="DQ117" i="3"/>
  <c r="DP117" i="3"/>
  <c r="DO117" i="3"/>
  <c r="DN117" i="3"/>
  <c r="DM117" i="3"/>
  <c r="DL117" i="3"/>
  <c r="DK117" i="3"/>
  <c r="DJ117" i="3"/>
  <c r="DI117" i="3"/>
  <c r="DH117" i="3"/>
  <c r="DG117" i="3"/>
  <c r="DF117" i="3"/>
  <c r="DE117" i="3"/>
  <c r="DD117" i="3"/>
  <c r="DC117" i="3"/>
  <c r="DB117" i="3"/>
  <c r="DA117" i="3"/>
  <c r="CZ117" i="3"/>
  <c r="CY117" i="3"/>
  <c r="CX117" i="3"/>
  <c r="CW117" i="3"/>
  <c r="CV117" i="3"/>
  <c r="CU117" i="3"/>
  <c r="CT117" i="3"/>
  <c r="CS117" i="3"/>
  <c r="CR117" i="3"/>
  <c r="CQ117" i="3"/>
  <c r="CP117" i="3"/>
  <c r="CO117" i="3"/>
  <c r="CN117" i="3"/>
  <c r="FW116" i="3"/>
  <c r="FV116" i="3"/>
  <c r="FU116" i="3"/>
  <c r="FT116" i="3"/>
  <c r="FS116" i="3"/>
  <c r="FR116" i="3"/>
  <c r="FQ116" i="3"/>
  <c r="FP116" i="3"/>
  <c r="FO116" i="3"/>
  <c r="FN116" i="3"/>
  <c r="FM116" i="3"/>
  <c r="FL116" i="3"/>
  <c r="FK116" i="3"/>
  <c r="FJ116" i="3"/>
  <c r="FI116" i="3"/>
  <c r="FH116" i="3"/>
  <c r="FG116" i="3"/>
  <c r="FF116" i="3"/>
  <c r="FE116" i="3"/>
  <c r="FD116" i="3"/>
  <c r="FC116" i="3"/>
  <c r="FB116" i="3"/>
  <c r="FA116" i="3"/>
  <c r="EZ116" i="3"/>
  <c r="EY116" i="3"/>
  <c r="EX116" i="3"/>
  <c r="EW116" i="3"/>
  <c r="EV116" i="3"/>
  <c r="EU116" i="3"/>
  <c r="ET116" i="3"/>
  <c r="ES116" i="3"/>
  <c r="ER116" i="3"/>
  <c r="EQ116" i="3"/>
  <c r="EP116" i="3"/>
  <c r="EO116" i="3"/>
  <c r="EN116" i="3"/>
  <c r="EM116" i="3"/>
  <c r="EL116" i="3"/>
  <c r="EK116" i="3"/>
  <c r="EJ116" i="3"/>
  <c r="EI116" i="3"/>
  <c r="EH116" i="3"/>
  <c r="EG116" i="3"/>
  <c r="EF116" i="3"/>
  <c r="EE116" i="3"/>
  <c r="ED116" i="3"/>
  <c r="EC116" i="3"/>
  <c r="EB116" i="3"/>
  <c r="EA116" i="3"/>
  <c r="DZ116" i="3"/>
  <c r="DY116" i="3"/>
  <c r="DX116" i="3"/>
  <c r="DW116" i="3"/>
  <c r="DV116" i="3"/>
  <c r="DU116" i="3"/>
  <c r="DT116" i="3"/>
  <c r="DS116" i="3"/>
  <c r="DR116" i="3"/>
  <c r="DQ116" i="3"/>
  <c r="DP116" i="3"/>
  <c r="DO116" i="3"/>
  <c r="DN116" i="3"/>
  <c r="DM116" i="3"/>
  <c r="DL116" i="3"/>
  <c r="DK116" i="3"/>
  <c r="DJ116" i="3"/>
  <c r="DI116" i="3"/>
  <c r="DH116" i="3"/>
  <c r="DG116" i="3"/>
  <c r="DF116" i="3"/>
  <c r="DE116" i="3"/>
  <c r="DD116" i="3"/>
  <c r="DC116" i="3"/>
  <c r="DB116" i="3"/>
  <c r="DA116" i="3"/>
  <c r="CZ116" i="3"/>
  <c r="CY116" i="3"/>
  <c r="CX116" i="3"/>
  <c r="CW116" i="3"/>
  <c r="CV116" i="3"/>
  <c r="CU116" i="3"/>
  <c r="CT116" i="3"/>
  <c r="CS116" i="3"/>
  <c r="CR116" i="3"/>
  <c r="CQ116" i="3"/>
  <c r="CP116" i="3"/>
  <c r="CO116" i="3"/>
  <c r="CN116" i="3"/>
  <c r="FW115" i="3"/>
  <c r="FV115" i="3"/>
  <c r="FU115" i="3"/>
  <c r="FU119" i="3" s="1"/>
  <c r="FT115" i="3"/>
  <c r="FT119" i="3" s="1"/>
  <c r="FS115" i="3"/>
  <c r="FS119" i="3" s="1"/>
  <c r="FR115" i="3"/>
  <c r="FR119" i="3" s="1"/>
  <c r="FQ115" i="3"/>
  <c r="FP115" i="3"/>
  <c r="FP119" i="3" s="1"/>
  <c r="FO115" i="3"/>
  <c r="FO119" i="3" s="1"/>
  <c r="FN115" i="3"/>
  <c r="FM115" i="3"/>
  <c r="FM119" i="3" s="1"/>
  <c r="FL115" i="3"/>
  <c r="FL119" i="3" s="1"/>
  <c r="FK115" i="3"/>
  <c r="FK119" i="3" s="1"/>
  <c r="FJ115" i="3"/>
  <c r="FJ119" i="3" s="1"/>
  <c r="FI115" i="3"/>
  <c r="FH115" i="3"/>
  <c r="FH119" i="3" s="1"/>
  <c r="FG115" i="3"/>
  <c r="FG119" i="3" s="1"/>
  <c r="FF115" i="3"/>
  <c r="FF119" i="3" s="1"/>
  <c r="FE115" i="3"/>
  <c r="FE119" i="3" s="1"/>
  <c r="FD115" i="3"/>
  <c r="FD119" i="3" s="1"/>
  <c r="FC115" i="3"/>
  <c r="FC119" i="3" s="1"/>
  <c r="FB115" i="3"/>
  <c r="FB119" i="3" s="1"/>
  <c r="FA115" i="3"/>
  <c r="FA119" i="3" s="1"/>
  <c r="EZ115" i="3"/>
  <c r="EZ119" i="3" s="1"/>
  <c r="EY115" i="3"/>
  <c r="EY119" i="3" s="1"/>
  <c r="EX115" i="3"/>
  <c r="EW115" i="3"/>
  <c r="EW119" i="3" s="1"/>
  <c r="EV115" i="3"/>
  <c r="EV119" i="3" s="1"/>
  <c r="EU115" i="3"/>
  <c r="EU119" i="3" s="1"/>
  <c r="ET115" i="3"/>
  <c r="ET119" i="3" s="1"/>
  <c r="ES115" i="3"/>
  <c r="ES119" i="3" s="1"/>
  <c r="ER115" i="3"/>
  <c r="ER119" i="3" s="1"/>
  <c r="EQ115" i="3"/>
  <c r="EQ119" i="3" s="1"/>
  <c r="EP115" i="3"/>
  <c r="EO115" i="3"/>
  <c r="EO119" i="3" s="1"/>
  <c r="EN115" i="3"/>
  <c r="EN119" i="3" s="1"/>
  <c r="EM115" i="3"/>
  <c r="EM119" i="3" s="1"/>
  <c r="EL115" i="3"/>
  <c r="EL119" i="3" s="1"/>
  <c r="EK115" i="3"/>
  <c r="EK119" i="3" s="1"/>
  <c r="EJ115" i="3"/>
  <c r="EJ119" i="3" s="1"/>
  <c r="EI115" i="3"/>
  <c r="EI119" i="3" s="1"/>
  <c r="EH115" i="3"/>
  <c r="EH119" i="3" s="1"/>
  <c r="EG115" i="3"/>
  <c r="EG119" i="3" s="1"/>
  <c r="EF115" i="3"/>
  <c r="EF119" i="3" s="1"/>
  <c r="EE115" i="3"/>
  <c r="EE119" i="3" s="1"/>
  <c r="ED115" i="3"/>
  <c r="ED119" i="3" s="1"/>
  <c r="EC115" i="3"/>
  <c r="EC119" i="3" s="1"/>
  <c r="EB115" i="3"/>
  <c r="EB119" i="3" s="1"/>
  <c r="EA115" i="3"/>
  <c r="EA119" i="3" s="1"/>
  <c r="DZ115" i="3"/>
  <c r="DZ119" i="3" s="1"/>
  <c r="DY115" i="3"/>
  <c r="DY119" i="3" s="1"/>
  <c r="DX115" i="3"/>
  <c r="DW115" i="3"/>
  <c r="DW119" i="3" s="1"/>
  <c r="DV115" i="3"/>
  <c r="DV119" i="3" s="1"/>
  <c r="DU115" i="3"/>
  <c r="DU119" i="3" s="1"/>
  <c r="DT115" i="3"/>
  <c r="DS115" i="3"/>
  <c r="DS119" i="3" s="1"/>
  <c r="DR115" i="3"/>
  <c r="DR119" i="3" s="1"/>
  <c r="DQ115" i="3"/>
  <c r="DQ119" i="3" s="1"/>
  <c r="DP115" i="3"/>
  <c r="DP119" i="3" s="1"/>
  <c r="DO115" i="3"/>
  <c r="DO119" i="3" s="1"/>
  <c r="DN115" i="3"/>
  <c r="DM115" i="3"/>
  <c r="DM119" i="3" s="1"/>
  <c r="DL115" i="3"/>
  <c r="DL119" i="3" s="1"/>
  <c r="DK115" i="3"/>
  <c r="DK119" i="3" s="1"/>
  <c r="DJ115" i="3"/>
  <c r="DJ119" i="3" s="1"/>
  <c r="DI115" i="3"/>
  <c r="DI119" i="3" s="1"/>
  <c r="DH115" i="3"/>
  <c r="DH119" i="3" s="1"/>
  <c r="DG115" i="3"/>
  <c r="DG119" i="3" s="1"/>
  <c r="DF115" i="3"/>
  <c r="DF119" i="3" s="1"/>
  <c r="DE115" i="3"/>
  <c r="DE119" i="3" s="1"/>
  <c r="DD115" i="3"/>
  <c r="DC115" i="3"/>
  <c r="DC119" i="3" s="1"/>
  <c r="DB115" i="3"/>
  <c r="DB119" i="3" s="1"/>
  <c r="DA115" i="3"/>
  <c r="DA119" i="3" s="1"/>
  <c r="CZ115" i="3"/>
  <c r="CZ119" i="3" s="1"/>
  <c r="CY115" i="3"/>
  <c r="CY119" i="3" s="1"/>
  <c r="CX115" i="3"/>
  <c r="CX119" i="3" s="1"/>
  <c r="CW115" i="3"/>
  <c r="CW119" i="3" s="1"/>
  <c r="CV115" i="3"/>
  <c r="CV119" i="3" s="1"/>
  <c r="CU115" i="3"/>
  <c r="CU119" i="3" s="1"/>
  <c r="CT115" i="3"/>
  <c r="CS115" i="3"/>
  <c r="CS119" i="3" s="1"/>
  <c r="CR115" i="3"/>
  <c r="CR119" i="3" s="1"/>
  <c r="CQ115" i="3"/>
  <c r="CQ119" i="3" s="1"/>
  <c r="CP115" i="3"/>
  <c r="CO115" i="3"/>
  <c r="CO119" i="3" s="1"/>
  <c r="CN115" i="3"/>
  <c r="CN119" i="3" s="1"/>
  <c r="C119" i="3"/>
  <c r="FW190" i="3"/>
  <c r="FV190" i="3"/>
  <c r="FU190" i="3"/>
  <c r="FT190" i="3"/>
  <c r="FS190" i="3"/>
  <c r="FR190" i="3"/>
  <c r="FQ190" i="3"/>
  <c r="FP190" i="3"/>
  <c r="FO190" i="3"/>
  <c r="FN190" i="3"/>
  <c r="FM190" i="3"/>
  <c r="FL190" i="3"/>
  <c r="FK190" i="3"/>
  <c r="FJ190" i="3"/>
  <c r="FI190" i="3"/>
  <c r="FH190" i="3"/>
  <c r="FG190" i="3"/>
  <c r="FF190" i="3"/>
  <c r="FE190" i="3"/>
  <c r="FD190" i="3"/>
  <c r="FC190" i="3"/>
  <c r="FB190" i="3"/>
  <c r="FA190" i="3"/>
  <c r="EZ190" i="3"/>
  <c r="EY190" i="3"/>
  <c r="EX190" i="3"/>
  <c r="EW190" i="3"/>
  <c r="EV190" i="3"/>
  <c r="EU190" i="3"/>
  <c r="ET190" i="3"/>
  <c r="ES190" i="3"/>
  <c r="ER190" i="3"/>
  <c r="EQ190" i="3"/>
  <c r="EP190" i="3"/>
  <c r="EO190" i="3"/>
  <c r="EN190" i="3"/>
  <c r="EM190" i="3"/>
  <c r="EL190" i="3"/>
  <c r="EK190" i="3"/>
  <c r="EJ190" i="3"/>
  <c r="EI190" i="3"/>
  <c r="EH190" i="3"/>
  <c r="EG190" i="3"/>
  <c r="EF190" i="3"/>
  <c r="EE190" i="3"/>
  <c r="ED190" i="3"/>
  <c r="EC190" i="3"/>
  <c r="EB190" i="3"/>
  <c r="EA190" i="3"/>
  <c r="DZ190" i="3"/>
  <c r="DY190" i="3"/>
  <c r="DX190" i="3"/>
  <c r="DW190" i="3"/>
  <c r="DV190" i="3"/>
  <c r="DU190" i="3"/>
  <c r="DT190" i="3"/>
  <c r="DS190" i="3"/>
  <c r="DR190" i="3"/>
  <c r="DQ190" i="3"/>
  <c r="DP190" i="3"/>
  <c r="DO190" i="3"/>
  <c r="DN190" i="3"/>
  <c r="DM190" i="3"/>
  <c r="DL190" i="3"/>
  <c r="DK190" i="3"/>
  <c r="DJ190" i="3"/>
  <c r="DI190" i="3"/>
  <c r="DH190" i="3"/>
  <c r="DG190" i="3"/>
  <c r="DF190" i="3"/>
  <c r="DE190" i="3"/>
  <c r="DD190" i="3"/>
  <c r="DC190" i="3"/>
  <c r="DB190" i="3"/>
  <c r="DA190" i="3"/>
  <c r="CZ190" i="3"/>
  <c r="CY190" i="3"/>
  <c r="CX190" i="3"/>
  <c r="CW190" i="3"/>
  <c r="CV190" i="3"/>
  <c r="CU190" i="3"/>
  <c r="CT190" i="3"/>
  <c r="CS190" i="3"/>
  <c r="CR190" i="3"/>
  <c r="CQ190" i="3"/>
  <c r="CP190" i="3"/>
  <c r="CO190" i="3"/>
  <c r="CN190" i="3"/>
  <c r="C191" i="3"/>
  <c r="FW189" i="3"/>
  <c r="FV189" i="3"/>
  <c r="FU189" i="3"/>
  <c r="FT189" i="3"/>
  <c r="FS189" i="3"/>
  <c r="FR189" i="3"/>
  <c r="FQ189" i="3"/>
  <c r="FP189" i="3"/>
  <c r="FO189" i="3"/>
  <c r="FN189" i="3"/>
  <c r="FM189" i="3"/>
  <c r="FL189" i="3"/>
  <c r="FK189" i="3"/>
  <c r="FJ189" i="3"/>
  <c r="FI189" i="3"/>
  <c r="FH189" i="3"/>
  <c r="FG189" i="3"/>
  <c r="FF189" i="3"/>
  <c r="FE189" i="3"/>
  <c r="FD189" i="3"/>
  <c r="FC189" i="3"/>
  <c r="FB189" i="3"/>
  <c r="FA189" i="3"/>
  <c r="EZ189" i="3"/>
  <c r="EY189" i="3"/>
  <c r="EX189" i="3"/>
  <c r="EW189" i="3"/>
  <c r="EV189" i="3"/>
  <c r="EU189" i="3"/>
  <c r="ET189" i="3"/>
  <c r="ES189" i="3"/>
  <c r="ER189" i="3"/>
  <c r="EQ189" i="3"/>
  <c r="EP189" i="3"/>
  <c r="EO189" i="3"/>
  <c r="EN189" i="3"/>
  <c r="EM189" i="3"/>
  <c r="EL189" i="3"/>
  <c r="EK189" i="3"/>
  <c r="EJ189" i="3"/>
  <c r="EI189" i="3"/>
  <c r="EH189" i="3"/>
  <c r="EG189" i="3"/>
  <c r="EF189" i="3"/>
  <c r="EE189" i="3"/>
  <c r="ED189" i="3"/>
  <c r="EC189" i="3"/>
  <c r="EB189" i="3"/>
  <c r="EA189" i="3"/>
  <c r="DZ189" i="3"/>
  <c r="DY189" i="3"/>
  <c r="DX189" i="3"/>
  <c r="DW189" i="3"/>
  <c r="DV189" i="3"/>
  <c r="DU189" i="3"/>
  <c r="DT189" i="3"/>
  <c r="DS189" i="3"/>
  <c r="DR189" i="3"/>
  <c r="DQ189" i="3"/>
  <c r="DP189" i="3"/>
  <c r="DO189" i="3"/>
  <c r="DN189" i="3"/>
  <c r="DM189" i="3"/>
  <c r="DL189" i="3"/>
  <c r="DK189" i="3"/>
  <c r="DJ189" i="3"/>
  <c r="DI189" i="3"/>
  <c r="DH189" i="3"/>
  <c r="DG189" i="3"/>
  <c r="DF189" i="3"/>
  <c r="DE189" i="3"/>
  <c r="DD189" i="3"/>
  <c r="DC189" i="3"/>
  <c r="DB189" i="3"/>
  <c r="DA189" i="3"/>
  <c r="CZ189" i="3"/>
  <c r="CY189" i="3"/>
  <c r="CX189" i="3"/>
  <c r="CW189" i="3"/>
  <c r="CV189" i="3"/>
  <c r="CU189" i="3"/>
  <c r="CT189" i="3"/>
  <c r="CS189" i="3"/>
  <c r="CR189" i="3"/>
  <c r="CQ189" i="3"/>
  <c r="CP189" i="3"/>
  <c r="CO189" i="3"/>
  <c r="CN189" i="3"/>
  <c r="DT119" i="3" l="1"/>
  <c r="FI119" i="3"/>
  <c r="FQ119" i="3"/>
  <c r="CN113" i="3"/>
  <c r="DD119" i="3"/>
  <c r="EX119" i="3"/>
  <c r="CT119" i="3"/>
  <c r="EP119" i="3"/>
  <c r="FN119" i="3"/>
  <c r="FV119" i="3"/>
  <c r="CP119" i="3"/>
  <c r="FW119" i="3"/>
  <c r="DX119" i="3"/>
  <c r="CO191" i="3"/>
  <c r="CW191" i="3"/>
  <c r="DE191" i="3"/>
  <c r="DM191" i="3"/>
  <c r="DU191" i="3"/>
  <c r="DN119" i="3"/>
  <c r="DY113" i="3"/>
  <c r="CT113" i="3"/>
  <c r="DB113" i="3"/>
  <c r="DJ113" i="3"/>
  <c r="DR113" i="3"/>
  <c r="DZ113" i="3"/>
  <c r="EH113" i="3"/>
  <c r="EP113" i="3"/>
  <c r="EX113" i="3"/>
  <c r="FF113" i="3"/>
  <c r="FN113" i="3"/>
  <c r="FV113" i="3"/>
  <c r="DI113" i="3"/>
  <c r="FU113" i="3"/>
  <c r="CU113" i="3"/>
  <c r="DC113" i="3"/>
  <c r="DK113" i="3"/>
  <c r="DS113" i="3"/>
  <c r="EA113" i="3"/>
  <c r="EI113" i="3"/>
  <c r="EQ113" i="3"/>
  <c r="EY113" i="3"/>
  <c r="FG113" i="3"/>
  <c r="FO113" i="3"/>
  <c r="FW113" i="3"/>
  <c r="EO113" i="3"/>
  <c r="CV113" i="3"/>
  <c r="DD113" i="3"/>
  <c r="DL113" i="3"/>
  <c r="DT113" i="3"/>
  <c r="EB113" i="3"/>
  <c r="EJ113" i="3"/>
  <c r="ER113" i="3"/>
  <c r="EZ113" i="3"/>
  <c r="FH113" i="3"/>
  <c r="FP113" i="3"/>
  <c r="DA113" i="3"/>
  <c r="FE113" i="3"/>
  <c r="CO113" i="3"/>
  <c r="CW113" i="3"/>
  <c r="DE113" i="3"/>
  <c r="DM113" i="3"/>
  <c r="DU113" i="3"/>
  <c r="EC113" i="3"/>
  <c r="EK113" i="3"/>
  <c r="ES113" i="3"/>
  <c r="FA113" i="3"/>
  <c r="FI113" i="3"/>
  <c r="FQ113" i="3"/>
  <c r="CS113" i="3"/>
  <c r="EG113" i="3"/>
  <c r="CP113" i="3"/>
  <c r="CX113" i="3"/>
  <c r="DF113" i="3"/>
  <c r="DN113" i="3"/>
  <c r="DV113" i="3"/>
  <c r="ED113" i="3"/>
  <c r="EL113" i="3"/>
  <c r="ET113" i="3"/>
  <c r="FB113" i="3"/>
  <c r="FJ113" i="3"/>
  <c r="FR113" i="3"/>
  <c r="DQ113" i="3"/>
  <c r="FM113" i="3"/>
  <c r="CQ113" i="3"/>
  <c r="CY113" i="3"/>
  <c r="DG113" i="3"/>
  <c r="DO113" i="3"/>
  <c r="DW113" i="3"/>
  <c r="EE113" i="3"/>
  <c r="EM113" i="3"/>
  <c r="EU113" i="3"/>
  <c r="FC113" i="3"/>
  <c r="FK113" i="3"/>
  <c r="FS113" i="3"/>
  <c r="EW113" i="3"/>
  <c r="CR113" i="3"/>
  <c r="CZ113" i="3"/>
  <c r="DH113" i="3"/>
  <c r="DP113" i="3"/>
  <c r="DX113" i="3"/>
  <c r="EF113" i="3"/>
  <c r="EN113" i="3"/>
  <c r="EV113" i="3"/>
  <c r="FD113" i="3"/>
  <c r="FL113" i="3"/>
  <c r="FT113" i="3"/>
  <c r="EC191" i="3"/>
  <c r="EK191" i="3"/>
  <c r="ES191" i="3"/>
  <c r="FA191" i="3"/>
  <c r="FI191" i="3"/>
  <c r="FQ191" i="3"/>
  <c r="CT191" i="3"/>
  <c r="DB191" i="3"/>
  <c r="DJ191" i="3"/>
  <c r="DR191" i="3"/>
  <c r="DZ191" i="3"/>
  <c r="EH191" i="3"/>
  <c r="EP191" i="3"/>
  <c r="EX191" i="3"/>
  <c r="FF191" i="3"/>
  <c r="FN191" i="3"/>
  <c r="FV191" i="3"/>
  <c r="CQ191" i="3"/>
  <c r="CY191" i="3"/>
  <c r="DG191" i="3"/>
  <c r="DO191" i="3"/>
  <c r="DW191" i="3"/>
  <c r="EE191" i="3"/>
  <c r="EM191" i="3"/>
  <c r="EU191" i="3"/>
  <c r="FC191" i="3"/>
  <c r="FK191" i="3"/>
  <c r="FS191" i="3"/>
  <c r="CV191" i="3"/>
  <c r="DD191" i="3"/>
  <c r="DL191" i="3"/>
  <c r="DT191" i="3"/>
  <c r="EB191" i="3"/>
  <c r="EJ191" i="3"/>
  <c r="ER191" i="3"/>
  <c r="EZ191" i="3"/>
  <c r="FH191" i="3"/>
  <c r="FP191" i="3"/>
  <c r="DR199" i="3"/>
  <c r="DZ199" i="3"/>
  <c r="EH199" i="3"/>
  <c r="EX199" i="3"/>
  <c r="FF199" i="3"/>
  <c r="FN199" i="3"/>
  <c r="FV199" i="3"/>
  <c r="CR191" i="3"/>
  <c r="CZ191" i="3"/>
  <c r="DH191" i="3"/>
  <c r="DP191" i="3"/>
  <c r="DX191" i="3"/>
  <c r="EF191" i="3"/>
  <c r="EN191" i="3"/>
  <c r="EV191" i="3"/>
  <c r="FD191" i="3"/>
  <c r="FL191" i="3"/>
  <c r="FT191" i="3"/>
  <c r="CP191" i="3"/>
  <c r="CX191" i="3"/>
  <c r="DF191" i="3"/>
  <c r="DN191" i="3"/>
  <c r="DV191" i="3"/>
  <c r="ED191" i="3"/>
  <c r="EL191" i="3"/>
  <c r="ET191" i="3"/>
  <c r="FB191" i="3"/>
  <c r="DK199" i="3"/>
  <c r="CO199" i="3"/>
  <c r="DE199" i="3"/>
  <c r="DM199" i="3"/>
  <c r="DU199" i="3"/>
  <c r="EC199" i="3"/>
  <c r="EK199" i="3"/>
  <c r="ES199" i="3"/>
  <c r="FA199" i="3"/>
  <c r="FI199" i="3"/>
  <c r="FQ199" i="3"/>
  <c r="DB199" i="3"/>
  <c r="CW199" i="3"/>
  <c r="CQ199" i="3"/>
  <c r="DW199" i="3"/>
  <c r="EE199" i="3"/>
  <c r="EU199" i="3"/>
  <c r="FC199" i="3"/>
  <c r="FS199" i="3"/>
  <c r="DY199" i="3"/>
  <c r="CT199" i="3"/>
  <c r="EF199" i="3"/>
  <c r="FU199" i="3"/>
  <c r="EV199" i="3"/>
  <c r="DG199" i="3"/>
  <c r="CZ199" i="3"/>
  <c r="DH199" i="3"/>
  <c r="DP199" i="3"/>
  <c r="EN199" i="3"/>
  <c r="FL199" i="3"/>
  <c r="FT199" i="3"/>
  <c r="DJ199" i="3"/>
  <c r="EP199" i="3"/>
  <c r="DS199" i="3"/>
  <c r="FW199" i="3"/>
  <c r="CS199" i="3"/>
  <c r="DA199" i="3"/>
  <c r="DI199" i="3"/>
  <c r="DQ199" i="3"/>
  <c r="EG199" i="3"/>
  <c r="EW199" i="3"/>
  <c r="FE199" i="3"/>
  <c r="FM199" i="3"/>
  <c r="EO199" i="3"/>
  <c r="CU199" i="3"/>
  <c r="DC199" i="3"/>
  <c r="FG199" i="3"/>
  <c r="CN199" i="3"/>
  <c r="DD199" i="3"/>
  <c r="DT199" i="3"/>
  <c r="EJ199" i="3"/>
  <c r="EZ199" i="3"/>
  <c r="FP199" i="3"/>
  <c r="CS191" i="3"/>
  <c r="DA191" i="3"/>
  <c r="DI191" i="3"/>
  <c r="DQ191" i="3"/>
  <c r="DY191" i="3"/>
  <c r="EG191" i="3"/>
  <c r="EO191" i="3"/>
  <c r="EW191" i="3"/>
  <c r="FE191" i="3"/>
  <c r="FM191" i="3"/>
  <c r="FU191" i="3"/>
  <c r="CP199" i="3"/>
  <c r="CX199" i="3"/>
  <c r="DF199" i="3"/>
  <c r="DN199" i="3"/>
  <c r="DV199" i="3"/>
  <c r="ED199" i="3"/>
  <c r="EL199" i="3"/>
  <c r="ET199" i="3"/>
  <c r="FB199" i="3"/>
  <c r="FJ199" i="3"/>
  <c r="FR199" i="3"/>
  <c r="CU191" i="3"/>
  <c r="DC191" i="3"/>
  <c r="DK191" i="3"/>
  <c r="DS191" i="3"/>
  <c r="EA191" i="3"/>
  <c r="EI191" i="3"/>
  <c r="EQ191" i="3"/>
  <c r="EY191" i="3"/>
  <c r="FG191" i="3"/>
  <c r="FO191" i="3"/>
  <c r="FW191" i="3"/>
  <c r="CY199" i="3"/>
  <c r="DO199" i="3"/>
  <c r="EM199" i="3"/>
  <c r="FK199" i="3"/>
  <c r="CN191" i="3"/>
  <c r="FJ191" i="3"/>
  <c r="FR191" i="3"/>
  <c r="EA199" i="3"/>
  <c r="EI199" i="3"/>
  <c r="EQ199" i="3"/>
  <c r="EY199" i="3"/>
  <c r="FO199" i="3"/>
  <c r="CV199" i="3"/>
  <c r="DL199" i="3"/>
  <c r="EB199" i="3"/>
  <c r="ER199" i="3"/>
  <c r="FH199" i="3"/>
  <c r="CR199" i="3"/>
  <c r="DX199" i="3"/>
  <c r="FD199" i="3"/>
  <c r="C70" i="3"/>
  <c r="FW69" i="3"/>
  <c r="FV69" i="3"/>
  <c r="FU69" i="3"/>
  <c r="FT69" i="3"/>
  <c r="FS69" i="3"/>
  <c r="FR69" i="3"/>
  <c r="FQ69" i="3"/>
  <c r="FP69" i="3"/>
  <c r="FO69" i="3"/>
  <c r="FN69" i="3"/>
  <c r="FM69" i="3"/>
  <c r="FL69" i="3"/>
  <c r="FK69" i="3"/>
  <c r="FJ69" i="3"/>
  <c r="FI69" i="3"/>
  <c r="FH69" i="3"/>
  <c r="FG69" i="3"/>
  <c r="FF69" i="3"/>
  <c r="FE69" i="3"/>
  <c r="FD69" i="3"/>
  <c r="FC69" i="3"/>
  <c r="FB69" i="3"/>
  <c r="FA69" i="3"/>
  <c r="EZ69" i="3"/>
  <c r="EY69" i="3"/>
  <c r="EX69" i="3"/>
  <c r="EW69" i="3"/>
  <c r="EV69" i="3"/>
  <c r="EU69" i="3"/>
  <c r="ET69" i="3"/>
  <c r="ES69" i="3"/>
  <c r="ER69" i="3"/>
  <c r="EQ69" i="3"/>
  <c r="EP69" i="3"/>
  <c r="EO69" i="3"/>
  <c r="EN69" i="3"/>
  <c r="EM69" i="3"/>
  <c r="EL69" i="3"/>
  <c r="EK69" i="3"/>
  <c r="EJ69" i="3"/>
  <c r="EI69" i="3"/>
  <c r="EH69" i="3"/>
  <c r="EG69" i="3"/>
  <c r="EF69" i="3"/>
  <c r="EE69" i="3"/>
  <c r="ED69" i="3"/>
  <c r="EC69" i="3"/>
  <c r="EB69" i="3"/>
  <c r="EA69" i="3"/>
  <c r="DZ69" i="3"/>
  <c r="DY69" i="3"/>
  <c r="DX69" i="3"/>
  <c r="DW69" i="3"/>
  <c r="DV69" i="3"/>
  <c r="DU69" i="3"/>
  <c r="DT69" i="3"/>
  <c r="DS69" i="3"/>
  <c r="DR69" i="3"/>
  <c r="DQ69" i="3"/>
  <c r="DP69" i="3"/>
  <c r="DO69" i="3"/>
  <c r="DN69" i="3"/>
  <c r="DM69" i="3"/>
  <c r="DL69" i="3"/>
  <c r="DK69" i="3"/>
  <c r="DJ69" i="3"/>
  <c r="DI69" i="3"/>
  <c r="DH69" i="3"/>
  <c r="DG69" i="3"/>
  <c r="DF69" i="3"/>
  <c r="DE69" i="3"/>
  <c r="DD69" i="3"/>
  <c r="DC69" i="3"/>
  <c r="DB69" i="3"/>
  <c r="DA69" i="3"/>
  <c r="CZ69" i="3"/>
  <c r="CY69" i="3"/>
  <c r="CX69" i="3"/>
  <c r="CW69" i="3"/>
  <c r="CV69" i="3"/>
  <c r="CU69" i="3"/>
  <c r="CT69" i="3"/>
  <c r="CS69" i="3"/>
  <c r="CR69" i="3"/>
  <c r="CQ69" i="3"/>
  <c r="CP69" i="3"/>
  <c r="CO69" i="3"/>
  <c r="CN69" i="3"/>
  <c r="FW68" i="3"/>
  <c r="FV68" i="3"/>
  <c r="FU68" i="3"/>
  <c r="FT68" i="3"/>
  <c r="FS68" i="3"/>
  <c r="FR68" i="3"/>
  <c r="FQ68" i="3"/>
  <c r="FP68" i="3"/>
  <c r="FO68" i="3"/>
  <c r="FN68" i="3"/>
  <c r="FM68" i="3"/>
  <c r="FL68" i="3"/>
  <c r="FK68" i="3"/>
  <c r="FJ68" i="3"/>
  <c r="FI68" i="3"/>
  <c r="FH68" i="3"/>
  <c r="FG68" i="3"/>
  <c r="FF68" i="3"/>
  <c r="FE68" i="3"/>
  <c r="FD68" i="3"/>
  <c r="FC68" i="3"/>
  <c r="FB68" i="3"/>
  <c r="FA68" i="3"/>
  <c r="EZ68" i="3"/>
  <c r="EY68" i="3"/>
  <c r="EX68" i="3"/>
  <c r="EW68" i="3"/>
  <c r="EV68" i="3"/>
  <c r="EU68" i="3"/>
  <c r="ET68" i="3"/>
  <c r="ES68" i="3"/>
  <c r="ER68" i="3"/>
  <c r="EQ68" i="3"/>
  <c r="EP68" i="3"/>
  <c r="EO68" i="3"/>
  <c r="EN68" i="3"/>
  <c r="EM68" i="3"/>
  <c r="EL68" i="3"/>
  <c r="EK68" i="3"/>
  <c r="EJ68" i="3"/>
  <c r="EI68" i="3"/>
  <c r="EH68" i="3"/>
  <c r="EG68" i="3"/>
  <c r="EF68" i="3"/>
  <c r="EE68" i="3"/>
  <c r="ED68" i="3"/>
  <c r="EC68" i="3"/>
  <c r="EB68" i="3"/>
  <c r="EA68" i="3"/>
  <c r="DZ68" i="3"/>
  <c r="DY68" i="3"/>
  <c r="DX68" i="3"/>
  <c r="DW68" i="3"/>
  <c r="DV68" i="3"/>
  <c r="DU68" i="3"/>
  <c r="DT68" i="3"/>
  <c r="DS68" i="3"/>
  <c r="DR68" i="3"/>
  <c r="DQ68" i="3"/>
  <c r="DP68" i="3"/>
  <c r="DO68" i="3"/>
  <c r="DN68" i="3"/>
  <c r="DM68" i="3"/>
  <c r="DL68" i="3"/>
  <c r="DK68" i="3"/>
  <c r="DJ68" i="3"/>
  <c r="DI68" i="3"/>
  <c r="DH68" i="3"/>
  <c r="DG68" i="3"/>
  <c r="DF68" i="3"/>
  <c r="DE68" i="3"/>
  <c r="DD68" i="3"/>
  <c r="DC68" i="3"/>
  <c r="DB68" i="3"/>
  <c r="DA68" i="3"/>
  <c r="CZ68" i="3"/>
  <c r="CY68" i="3"/>
  <c r="CX68" i="3"/>
  <c r="CW68" i="3"/>
  <c r="CV68" i="3"/>
  <c r="CU68" i="3"/>
  <c r="CT68" i="3"/>
  <c r="CS68" i="3"/>
  <c r="CR68" i="3"/>
  <c r="CQ68" i="3"/>
  <c r="CP68" i="3"/>
  <c r="CO68" i="3"/>
  <c r="CN68" i="3"/>
  <c r="FW67" i="3"/>
  <c r="FV67" i="3"/>
  <c r="FU67" i="3"/>
  <c r="FT67" i="3"/>
  <c r="FS67" i="3"/>
  <c r="FR67" i="3"/>
  <c r="FQ67" i="3"/>
  <c r="FP67" i="3"/>
  <c r="FO67" i="3"/>
  <c r="FN67" i="3"/>
  <c r="FM67" i="3"/>
  <c r="FL67" i="3"/>
  <c r="FK67" i="3"/>
  <c r="FJ67" i="3"/>
  <c r="FI67" i="3"/>
  <c r="FH67" i="3"/>
  <c r="FG67" i="3"/>
  <c r="FF67" i="3"/>
  <c r="FE67" i="3"/>
  <c r="FD67" i="3"/>
  <c r="FC67" i="3"/>
  <c r="FB67" i="3"/>
  <c r="FA67" i="3"/>
  <c r="EZ67" i="3"/>
  <c r="EY67" i="3"/>
  <c r="EX67" i="3"/>
  <c r="EW67" i="3"/>
  <c r="EV67" i="3"/>
  <c r="EU67" i="3"/>
  <c r="ET67" i="3"/>
  <c r="ES67" i="3"/>
  <c r="ER67" i="3"/>
  <c r="EQ67" i="3"/>
  <c r="EP67" i="3"/>
  <c r="EO67" i="3"/>
  <c r="EN67" i="3"/>
  <c r="EM67" i="3"/>
  <c r="EL67" i="3"/>
  <c r="EK67" i="3"/>
  <c r="EJ67" i="3"/>
  <c r="EI67" i="3"/>
  <c r="EH67" i="3"/>
  <c r="EG67" i="3"/>
  <c r="EF67" i="3"/>
  <c r="EE67" i="3"/>
  <c r="ED67" i="3"/>
  <c r="EC67" i="3"/>
  <c r="EB67" i="3"/>
  <c r="EA67" i="3"/>
  <c r="DZ67" i="3"/>
  <c r="DY67" i="3"/>
  <c r="DX67" i="3"/>
  <c r="DW67" i="3"/>
  <c r="DV67" i="3"/>
  <c r="DU67" i="3"/>
  <c r="DT67" i="3"/>
  <c r="DS67" i="3"/>
  <c r="DR67" i="3"/>
  <c r="DQ67" i="3"/>
  <c r="DP67" i="3"/>
  <c r="DO67" i="3"/>
  <c r="DN67" i="3"/>
  <c r="DM67" i="3"/>
  <c r="DL67" i="3"/>
  <c r="DK67" i="3"/>
  <c r="DJ67" i="3"/>
  <c r="DI67" i="3"/>
  <c r="DH67" i="3"/>
  <c r="DG67" i="3"/>
  <c r="DF67" i="3"/>
  <c r="DE67" i="3"/>
  <c r="DD67" i="3"/>
  <c r="DC67" i="3"/>
  <c r="DB67" i="3"/>
  <c r="DA67" i="3"/>
  <c r="CZ67" i="3"/>
  <c r="CY67" i="3"/>
  <c r="CX67" i="3"/>
  <c r="CW67" i="3"/>
  <c r="CV67" i="3"/>
  <c r="CU67" i="3"/>
  <c r="CT67" i="3"/>
  <c r="CS67" i="3"/>
  <c r="CR67" i="3"/>
  <c r="CQ67" i="3"/>
  <c r="CP67" i="3"/>
  <c r="CO67" i="3"/>
  <c r="CN67" i="3"/>
  <c r="FW66" i="3"/>
  <c r="FV66" i="3"/>
  <c r="FU66" i="3"/>
  <c r="FT66" i="3"/>
  <c r="FS66" i="3"/>
  <c r="FR66" i="3"/>
  <c r="FQ66" i="3"/>
  <c r="FP66" i="3"/>
  <c r="FO66" i="3"/>
  <c r="FN66" i="3"/>
  <c r="FM66" i="3"/>
  <c r="FL66" i="3"/>
  <c r="FK66" i="3"/>
  <c r="FJ66" i="3"/>
  <c r="FI66" i="3"/>
  <c r="FH66" i="3"/>
  <c r="FG66" i="3"/>
  <c r="FF66" i="3"/>
  <c r="FE66" i="3"/>
  <c r="FD66" i="3"/>
  <c r="FC66" i="3"/>
  <c r="FB66" i="3"/>
  <c r="FA66" i="3"/>
  <c r="EZ66" i="3"/>
  <c r="EY66" i="3"/>
  <c r="EX66" i="3"/>
  <c r="EW66" i="3"/>
  <c r="EV66" i="3"/>
  <c r="EU66" i="3"/>
  <c r="ET66" i="3"/>
  <c r="ES66" i="3"/>
  <c r="ER66" i="3"/>
  <c r="EQ66" i="3"/>
  <c r="EP66" i="3"/>
  <c r="EO66" i="3"/>
  <c r="EN66" i="3"/>
  <c r="EM66" i="3"/>
  <c r="EL66" i="3"/>
  <c r="EK66" i="3"/>
  <c r="EJ66" i="3"/>
  <c r="EI66" i="3"/>
  <c r="EH66" i="3"/>
  <c r="EG66" i="3"/>
  <c r="EF66" i="3"/>
  <c r="EE66" i="3"/>
  <c r="ED66" i="3"/>
  <c r="EC66" i="3"/>
  <c r="EB66" i="3"/>
  <c r="EA66" i="3"/>
  <c r="DZ66" i="3"/>
  <c r="DY66" i="3"/>
  <c r="DX66" i="3"/>
  <c r="DW66" i="3"/>
  <c r="DV66" i="3"/>
  <c r="DU66" i="3"/>
  <c r="DT66" i="3"/>
  <c r="DS66" i="3"/>
  <c r="DR66" i="3"/>
  <c r="DQ66" i="3"/>
  <c r="DP66" i="3"/>
  <c r="DO66" i="3"/>
  <c r="DN66" i="3"/>
  <c r="DM66" i="3"/>
  <c r="DL66" i="3"/>
  <c r="DK66" i="3"/>
  <c r="DJ66" i="3"/>
  <c r="DI66" i="3"/>
  <c r="DH66" i="3"/>
  <c r="DG66" i="3"/>
  <c r="DF66" i="3"/>
  <c r="DE66" i="3"/>
  <c r="DD66" i="3"/>
  <c r="DC66" i="3"/>
  <c r="DB66" i="3"/>
  <c r="DA66" i="3"/>
  <c r="CZ66" i="3"/>
  <c r="CY66" i="3"/>
  <c r="CX66" i="3"/>
  <c r="CW66" i="3"/>
  <c r="CV66" i="3"/>
  <c r="CU66" i="3"/>
  <c r="CT66" i="3"/>
  <c r="CS66" i="3"/>
  <c r="CR66" i="3"/>
  <c r="CQ66" i="3"/>
  <c r="CP66" i="3"/>
  <c r="CO66" i="3"/>
  <c r="CN66" i="3"/>
  <c r="FW65" i="3"/>
  <c r="FV65" i="3"/>
  <c r="FU65" i="3"/>
  <c r="FT65" i="3"/>
  <c r="FS65" i="3"/>
  <c r="FR65" i="3"/>
  <c r="FQ65" i="3"/>
  <c r="FP65" i="3"/>
  <c r="FO65" i="3"/>
  <c r="FN65" i="3"/>
  <c r="FM65" i="3"/>
  <c r="FL65" i="3"/>
  <c r="FK65" i="3"/>
  <c r="FJ65" i="3"/>
  <c r="FI65" i="3"/>
  <c r="FH65" i="3"/>
  <c r="FG65" i="3"/>
  <c r="FF65" i="3"/>
  <c r="FE65" i="3"/>
  <c r="FD65" i="3"/>
  <c r="FC65" i="3"/>
  <c r="FB65" i="3"/>
  <c r="FA65" i="3"/>
  <c r="EZ65" i="3"/>
  <c r="EY65" i="3"/>
  <c r="EX65" i="3"/>
  <c r="EW65" i="3"/>
  <c r="EV65" i="3"/>
  <c r="EU65" i="3"/>
  <c r="ET65" i="3"/>
  <c r="ES65" i="3"/>
  <c r="ER65" i="3"/>
  <c r="EQ65" i="3"/>
  <c r="EP65" i="3"/>
  <c r="EO65" i="3"/>
  <c r="EN65" i="3"/>
  <c r="EM65" i="3"/>
  <c r="EL65" i="3"/>
  <c r="EK65" i="3"/>
  <c r="EJ65" i="3"/>
  <c r="EI65" i="3"/>
  <c r="EH65" i="3"/>
  <c r="EG65" i="3"/>
  <c r="EF65" i="3"/>
  <c r="EE65" i="3"/>
  <c r="ED65" i="3"/>
  <c r="EC65" i="3"/>
  <c r="EB65" i="3"/>
  <c r="EA65" i="3"/>
  <c r="DZ65" i="3"/>
  <c r="DY65" i="3"/>
  <c r="DX65" i="3"/>
  <c r="DW65" i="3"/>
  <c r="DV65" i="3"/>
  <c r="DU65" i="3"/>
  <c r="DT65" i="3"/>
  <c r="DS65" i="3"/>
  <c r="DR65" i="3"/>
  <c r="DQ65" i="3"/>
  <c r="DP65" i="3"/>
  <c r="DO65" i="3"/>
  <c r="DN65" i="3"/>
  <c r="DM65" i="3"/>
  <c r="DL65" i="3"/>
  <c r="DK65" i="3"/>
  <c r="DJ65" i="3"/>
  <c r="DI65" i="3"/>
  <c r="DH65" i="3"/>
  <c r="DG65" i="3"/>
  <c r="DF65" i="3"/>
  <c r="DE65" i="3"/>
  <c r="DD65" i="3"/>
  <c r="DC65" i="3"/>
  <c r="DB65" i="3"/>
  <c r="DA65" i="3"/>
  <c r="CZ65" i="3"/>
  <c r="CY65" i="3"/>
  <c r="CX65" i="3"/>
  <c r="CW65" i="3"/>
  <c r="CV65" i="3"/>
  <c r="CU65" i="3"/>
  <c r="CT65" i="3"/>
  <c r="CS65" i="3"/>
  <c r="CR65" i="3"/>
  <c r="CQ65" i="3"/>
  <c r="CP65" i="3"/>
  <c r="CO65" i="3"/>
  <c r="CN65" i="3"/>
  <c r="FW64" i="3"/>
  <c r="FW70" i="3" s="1"/>
  <c r="FV64" i="3"/>
  <c r="FV70" i="3" s="1"/>
  <c r="FU64" i="3"/>
  <c r="FU70" i="3" s="1"/>
  <c r="FT64" i="3"/>
  <c r="FT70" i="3" s="1"/>
  <c r="FS64" i="3"/>
  <c r="FS70" i="3" s="1"/>
  <c r="FR64" i="3"/>
  <c r="FR70" i="3" s="1"/>
  <c r="FQ64" i="3"/>
  <c r="FP64" i="3"/>
  <c r="FP70" i="3" s="1"/>
  <c r="FO64" i="3"/>
  <c r="FO70" i="3" s="1"/>
  <c r="FN64" i="3"/>
  <c r="FN70" i="3" s="1"/>
  <c r="FM64" i="3"/>
  <c r="FM70" i="3" s="1"/>
  <c r="FL64" i="3"/>
  <c r="FL70" i="3" s="1"/>
  <c r="FK64" i="3"/>
  <c r="FK70" i="3" s="1"/>
  <c r="FJ64" i="3"/>
  <c r="FJ70" i="3" s="1"/>
  <c r="FI64" i="3"/>
  <c r="FI70" i="3" s="1"/>
  <c r="FH64" i="3"/>
  <c r="FH70" i="3" s="1"/>
  <c r="FG64" i="3"/>
  <c r="FG70" i="3" s="1"/>
  <c r="FF64" i="3"/>
  <c r="FF70" i="3" s="1"/>
  <c r="FE64" i="3"/>
  <c r="FE70" i="3" s="1"/>
  <c r="FD64" i="3"/>
  <c r="FD70" i="3" s="1"/>
  <c r="FC64" i="3"/>
  <c r="FC70" i="3" s="1"/>
  <c r="FB64" i="3"/>
  <c r="FA64" i="3"/>
  <c r="FA70" i="3" s="1"/>
  <c r="EZ64" i="3"/>
  <c r="EZ70" i="3" s="1"/>
  <c r="EY64" i="3"/>
  <c r="EY70" i="3" s="1"/>
  <c r="EX64" i="3"/>
  <c r="EX70" i="3" s="1"/>
  <c r="EW64" i="3"/>
  <c r="EW70" i="3" s="1"/>
  <c r="EV64" i="3"/>
  <c r="EV70" i="3" s="1"/>
  <c r="EU64" i="3"/>
  <c r="EU70" i="3" s="1"/>
  <c r="ET64" i="3"/>
  <c r="ES64" i="3"/>
  <c r="ES70" i="3" s="1"/>
  <c r="ER64" i="3"/>
  <c r="ER70" i="3" s="1"/>
  <c r="EQ64" i="3"/>
  <c r="EQ70" i="3" s="1"/>
  <c r="EP64" i="3"/>
  <c r="EP70" i="3" s="1"/>
  <c r="EO64" i="3"/>
  <c r="EO70" i="3" s="1"/>
  <c r="EN64" i="3"/>
  <c r="EN70" i="3" s="1"/>
  <c r="EM64" i="3"/>
  <c r="EM70" i="3" s="1"/>
  <c r="EL64" i="3"/>
  <c r="EL70" i="3" s="1"/>
  <c r="EK64" i="3"/>
  <c r="EJ64" i="3"/>
  <c r="EJ70" i="3" s="1"/>
  <c r="EI64" i="3"/>
  <c r="EI70" i="3" s="1"/>
  <c r="EH64" i="3"/>
  <c r="EH70" i="3" s="1"/>
  <c r="EG64" i="3"/>
  <c r="EG70" i="3" s="1"/>
  <c r="EF64" i="3"/>
  <c r="EF70" i="3" s="1"/>
  <c r="EE64" i="3"/>
  <c r="ED64" i="3"/>
  <c r="ED70" i="3" s="1"/>
  <c r="EC64" i="3"/>
  <c r="EC70" i="3" s="1"/>
  <c r="EB64" i="3"/>
  <c r="EB70" i="3" s="1"/>
  <c r="EA64" i="3"/>
  <c r="EA70" i="3" s="1"/>
  <c r="DZ64" i="3"/>
  <c r="DZ70" i="3" s="1"/>
  <c r="DY64" i="3"/>
  <c r="DY70" i="3" s="1"/>
  <c r="DX64" i="3"/>
  <c r="DX70" i="3" s="1"/>
  <c r="DW64" i="3"/>
  <c r="DV64" i="3"/>
  <c r="DV70" i="3" s="1"/>
  <c r="DU64" i="3"/>
  <c r="DU70" i="3" s="1"/>
  <c r="DT64" i="3"/>
  <c r="DT70" i="3" s="1"/>
  <c r="DS64" i="3"/>
  <c r="DR64" i="3"/>
  <c r="DR70" i="3" s="1"/>
  <c r="DQ64" i="3"/>
  <c r="DQ70" i="3" s="1"/>
  <c r="DP64" i="3"/>
  <c r="DP70" i="3" s="1"/>
  <c r="DO64" i="3"/>
  <c r="DO70" i="3" s="1"/>
  <c r="DN64" i="3"/>
  <c r="DM64" i="3"/>
  <c r="DM70" i="3" s="1"/>
  <c r="DL64" i="3"/>
  <c r="DL70" i="3" s="1"/>
  <c r="DK64" i="3"/>
  <c r="DK70" i="3" s="1"/>
  <c r="DJ64" i="3"/>
  <c r="DJ70" i="3" s="1"/>
  <c r="DI64" i="3"/>
  <c r="DI70" i="3" s="1"/>
  <c r="DH64" i="3"/>
  <c r="DG64" i="3"/>
  <c r="DG70" i="3" s="1"/>
  <c r="DF64" i="3"/>
  <c r="DF70" i="3" s="1"/>
  <c r="DE64" i="3"/>
  <c r="DD64" i="3"/>
  <c r="DD70" i="3" s="1"/>
  <c r="DC64" i="3"/>
  <c r="DB64" i="3"/>
  <c r="DB70" i="3" s="1"/>
  <c r="DA64" i="3"/>
  <c r="DA70" i="3" s="1"/>
  <c r="CZ64" i="3"/>
  <c r="CZ70" i="3" s="1"/>
  <c r="CY64" i="3"/>
  <c r="CY70" i="3" s="1"/>
  <c r="CX64" i="3"/>
  <c r="CX70" i="3" s="1"/>
  <c r="CW64" i="3"/>
  <c r="CW70" i="3" s="1"/>
  <c r="CV64" i="3"/>
  <c r="CV70" i="3" s="1"/>
  <c r="CU64" i="3"/>
  <c r="CU70" i="3" s="1"/>
  <c r="CT64" i="3"/>
  <c r="CT70" i="3" s="1"/>
  <c r="CS64" i="3"/>
  <c r="CS70" i="3" s="1"/>
  <c r="CR64" i="3"/>
  <c r="CR70" i="3" s="1"/>
  <c r="CQ64" i="3"/>
  <c r="CQ70" i="3" s="1"/>
  <c r="CP64" i="3"/>
  <c r="CP70" i="3" s="1"/>
  <c r="CO64" i="3"/>
  <c r="CO70" i="3" s="1"/>
  <c r="CN64" i="3"/>
  <c r="CN70" i="3" s="1"/>
  <c r="CN72" i="3"/>
  <c r="CO72" i="3"/>
  <c r="CP72" i="3"/>
  <c r="CQ72" i="3"/>
  <c r="CR72" i="3"/>
  <c r="CS72" i="3"/>
  <c r="CT72" i="3"/>
  <c r="CU72" i="3"/>
  <c r="CV72" i="3"/>
  <c r="CW72" i="3"/>
  <c r="CX72" i="3"/>
  <c r="CY72" i="3"/>
  <c r="CZ72" i="3"/>
  <c r="DA72" i="3"/>
  <c r="DB72" i="3"/>
  <c r="DC72" i="3"/>
  <c r="DD72" i="3"/>
  <c r="DE72" i="3"/>
  <c r="DF72" i="3"/>
  <c r="DG72" i="3"/>
  <c r="DH72" i="3"/>
  <c r="DI72" i="3"/>
  <c r="DJ72" i="3"/>
  <c r="DK72" i="3"/>
  <c r="DL72" i="3"/>
  <c r="DM72" i="3"/>
  <c r="DN72" i="3"/>
  <c r="DO72" i="3"/>
  <c r="DP72" i="3"/>
  <c r="DQ72" i="3"/>
  <c r="DR72" i="3"/>
  <c r="DS72" i="3"/>
  <c r="DT72" i="3"/>
  <c r="DU72" i="3"/>
  <c r="DV72" i="3"/>
  <c r="DW72" i="3"/>
  <c r="DX72" i="3"/>
  <c r="DY72" i="3"/>
  <c r="DZ72" i="3"/>
  <c r="EA72" i="3"/>
  <c r="EB72" i="3"/>
  <c r="EC72" i="3"/>
  <c r="ED72" i="3"/>
  <c r="EE72" i="3"/>
  <c r="EF72" i="3"/>
  <c r="EG72" i="3"/>
  <c r="EH72" i="3"/>
  <c r="EI72" i="3"/>
  <c r="EJ72" i="3"/>
  <c r="EK72" i="3"/>
  <c r="EL72" i="3"/>
  <c r="EM72" i="3"/>
  <c r="EN72" i="3"/>
  <c r="EO72" i="3"/>
  <c r="EP72" i="3"/>
  <c r="EQ72" i="3"/>
  <c r="ER72" i="3"/>
  <c r="ES72" i="3"/>
  <c r="ET72" i="3"/>
  <c r="EU72" i="3"/>
  <c r="EV72" i="3"/>
  <c r="EW72" i="3"/>
  <c r="EX72" i="3"/>
  <c r="EY72" i="3"/>
  <c r="EZ72" i="3"/>
  <c r="FA72" i="3"/>
  <c r="FB72" i="3"/>
  <c r="FC72" i="3"/>
  <c r="FD72" i="3"/>
  <c r="FE72" i="3"/>
  <c r="FF72" i="3"/>
  <c r="FG72" i="3"/>
  <c r="FH72" i="3"/>
  <c r="FI72" i="3"/>
  <c r="FJ72" i="3"/>
  <c r="FK72" i="3"/>
  <c r="FL72" i="3"/>
  <c r="FM72" i="3"/>
  <c r="FN72" i="3"/>
  <c r="FO72" i="3"/>
  <c r="FP72" i="3"/>
  <c r="FQ72" i="3"/>
  <c r="FR72" i="3"/>
  <c r="FS72" i="3"/>
  <c r="FT72" i="3"/>
  <c r="FU72" i="3"/>
  <c r="FV72" i="3"/>
  <c r="FW72" i="3"/>
  <c r="CN73" i="3"/>
  <c r="CO73" i="3"/>
  <c r="CP73" i="3"/>
  <c r="CQ73" i="3"/>
  <c r="CR73" i="3"/>
  <c r="CS73" i="3"/>
  <c r="CT73" i="3"/>
  <c r="CU73" i="3"/>
  <c r="CV73" i="3"/>
  <c r="CW73" i="3"/>
  <c r="CX73" i="3"/>
  <c r="CY73" i="3"/>
  <c r="CZ73" i="3"/>
  <c r="DA73" i="3"/>
  <c r="DB73" i="3"/>
  <c r="DC73" i="3"/>
  <c r="DD73" i="3"/>
  <c r="DE73" i="3"/>
  <c r="DF73" i="3"/>
  <c r="DG73" i="3"/>
  <c r="DH73" i="3"/>
  <c r="DI73" i="3"/>
  <c r="DJ73" i="3"/>
  <c r="DK73" i="3"/>
  <c r="DL73" i="3"/>
  <c r="DM73" i="3"/>
  <c r="DN73" i="3"/>
  <c r="DO73" i="3"/>
  <c r="DP73" i="3"/>
  <c r="DQ73" i="3"/>
  <c r="DR73" i="3"/>
  <c r="DS73" i="3"/>
  <c r="DT73" i="3"/>
  <c r="DU73" i="3"/>
  <c r="DV73" i="3"/>
  <c r="DW73" i="3"/>
  <c r="DX73" i="3"/>
  <c r="DY73" i="3"/>
  <c r="DZ73" i="3"/>
  <c r="EA73" i="3"/>
  <c r="EB73" i="3"/>
  <c r="EC73" i="3"/>
  <c r="ED73" i="3"/>
  <c r="EE73" i="3"/>
  <c r="EF73" i="3"/>
  <c r="EG73" i="3"/>
  <c r="EH73" i="3"/>
  <c r="EI73" i="3"/>
  <c r="EJ73" i="3"/>
  <c r="EK73" i="3"/>
  <c r="EL73" i="3"/>
  <c r="EM73" i="3"/>
  <c r="EN73" i="3"/>
  <c r="EO73" i="3"/>
  <c r="EP73" i="3"/>
  <c r="EQ73" i="3"/>
  <c r="ER73" i="3"/>
  <c r="ES73" i="3"/>
  <c r="ET73" i="3"/>
  <c r="EU73" i="3"/>
  <c r="EV73" i="3"/>
  <c r="EW73" i="3"/>
  <c r="EX73" i="3"/>
  <c r="EY73" i="3"/>
  <c r="EZ73" i="3"/>
  <c r="FA73" i="3"/>
  <c r="FB73" i="3"/>
  <c r="FC73" i="3"/>
  <c r="FD73" i="3"/>
  <c r="FE73" i="3"/>
  <c r="FF73" i="3"/>
  <c r="FG73" i="3"/>
  <c r="FH73" i="3"/>
  <c r="FI73" i="3"/>
  <c r="FJ73" i="3"/>
  <c r="FK73" i="3"/>
  <c r="FL73" i="3"/>
  <c r="FM73" i="3"/>
  <c r="FN73" i="3"/>
  <c r="FO73" i="3"/>
  <c r="FP73" i="3"/>
  <c r="FQ73" i="3"/>
  <c r="FR73" i="3"/>
  <c r="FS73" i="3"/>
  <c r="FT73" i="3"/>
  <c r="FU73" i="3"/>
  <c r="FV73" i="3"/>
  <c r="FW73" i="3"/>
  <c r="FW80" i="3"/>
  <c r="FV80" i="3"/>
  <c r="FU80" i="3"/>
  <c r="FT80" i="3"/>
  <c r="FS80" i="3"/>
  <c r="FR80" i="3"/>
  <c r="FQ80" i="3"/>
  <c r="FP80" i="3"/>
  <c r="FO80" i="3"/>
  <c r="FN80" i="3"/>
  <c r="FM80" i="3"/>
  <c r="FL80" i="3"/>
  <c r="FK80" i="3"/>
  <c r="FJ80" i="3"/>
  <c r="FI80" i="3"/>
  <c r="FH80" i="3"/>
  <c r="FG80" i="3"/>
  <c r="FF80" i="3"/>
  <c r="FE80" i="3"/>
  <c r="FD80" i="3"/>
  <c r="FC80" i="3"/>
  <c r="FB80" i="3"/>
  <c r="FA80" i="3"/>
  <c r="EZ80" i="3"/>
  <c r="EY80" i="3"/>
  <c r="EX80" i="3"/>
  <c r="EW80" i="3"/>
  <c r="EV80" i="3"/>
  <c r="EU80" i="3"/>
  <c r="ET80" i="3"/>
  <c r="ES80" i="3"/>
  <c r="ER80" i="3"/>
  <c r="EQ80" i="3"/>
  <c r="EP80" i="3"/>
  <c r="EO80" i="3"/>
  <c r="EN80" i="3"/>
  <c r="EM80" i="3"/>
  <c r="EL80" i="3"/>
  <c r="EK80" i="3"/>
  <c r="EJ80" i="3"/>
  <c r="EI80" i="3"/>
  <c r="EH80" i="3"/>
  <c r="EG80" i="3"/>
  <c r="EF80" i="3"/>
  <c r="EE80" i="3"/>
  <c r="ED80" i="3"/>
  <c r="EC80" i="3"/>
  <c r="EB80" i="3"/>
  <c r="EA80" i="3"/>
  <c r="DZ80" i="3"/>
  <c r="DY80" i="3"/>
  <c r="DX80" i="3"/>
  <c r="DW80" i="3"/>
  <c r="DV80" i="3"/>
  <c r="DU80" i="3"/>
  <c r="DT80" i="3"/>
  <c r="DS80" i="3"/>
  <c r="DR80" i="3"/>
  <c r="DQ80" i="3"/>
  <c r="DP80" i="3"/>
  <c r="DO80" i="3"/>
  <c r="DN80" i="3"/>
  <c r="DM80" i="3"/>
  <c r="DL80" i="3"/>
  <c r="DK80" i="3"/>
  <c r="DJ80" i="3"/>
  <c r="DI80" i="3"/>
  <c r="DH80" i="3"/>
  <c r="DG80" i="3"/>
  <c r="DF80" i="3"/>
  <c r="DE80" i="3"/>
  <c r="DD80" i="3"/>
  <c r="DC80" i="3"/>
  <c r="DB80" i="3"/>
  <c r="DA80" i="3"/>
  <c r="CZ80" i="3"/>
  <c r="CY80" i="3"/>
  <c r="CX80" i="3"/>
  <c r="CW80" i="3"/>
  <c r="CV80" i="3"/>
  <c r="CU80" i="3"/>
  <c r="CT80" i="3"/>
  <c r="CS80" i="3"/>
  <c r="CR80" i="3"/>
  <c r="CQ80" i="3"/>
  <c r="CP80" i="3"/>
  <c r="CO80" i="3"/>
  <c r="CN80" i="3"/>
  <c r="FW79" i="3"/>
  <c r="FV79" i="3"/>
  <c r="FU79" i="3"/>
  <c r="FT79" i="3"/>
  <c r="FS79" i="3"/>
  <c r="FR79" i="3"/>
  <c r="FQ79" i="3"/>
  <c r="FP79" i="3"/>
  <c r="FO79" i="3"/>
  <c r="FN79" i="3"/>
  <c r="FM79" i="3"/>
  <c r="FL79" i="3"/>
  <c r="FK79" i="3"/>
  <c r="FJ79" i="3"/>
  <c r="FI79" i="3"/>
  <c r="FH79" i="3"/>
  <c r="FG79" i="3"/>
  <c r="FF79" i="3"/>
  <c r="FE79" i="3"/>
  <c r="FD79" i="3"/>
  <c r="FC79" i="3"/>
  <c r="FB79" i="3"/>
  <c r="FA79" i="3"/>
  <c r="EZ79" i="3"/>
  <c r="EY79" i="3"/>
  <c r="EX79" i="3"/>
  <c r="EW79" i="3"/>
  <c r="EV79" i="3"/>
  <c r="EU79" i="3"/>
  <c r="ET79" i="3"/>
  <c r="ES79" i="3"/>
  <c r="ER79" i="3"/>
  <c r="EQ79" i="3"/>
  <c r="EP79" i="3"/>
  <c r="EO79" i="3"/>
  <c r="EN79" i="3"/>
  <c r="EM79" i="3"/>
  <c r="EL79" i="3"/>
  <c r="EK79" i="3"/>
  <c r="EJ79" i="3"/>
  <c r="EI79" i="3"/>
  <c r="EH79" i="3"/>
  <c r="EG79" i="3"/>
  <c r="EF79" i="3"/>
  <c r="EE79" i="3"/>
  <c r="ED79" i="3"/>
  <c r="EC79" i="3"/>
  <c r="EB79" i="3"/>
  <c r="EA79" i="3"/>
  <c r="DZ79" i="3"/>
  <c r="DY79" i="3"/>
  <c r="DX79" i="3"/>
  <c r="DW79" i="3"/>
  <c r="DV79" i="3"/>
  <c r="DU79" i="3"/>
  <c r="DT79" i="3"/>
  <c r="DS79" i="3"/>
  <c r="DR79" i="3"/>
  <c r="DQ79" i="3"/>
  <c r="DP79" i="3"/>
  <c r="DO79" i="3"/>
  <c r="DN79" i="3"/>
  <c r="DM79" i="3"/>
  <c r="DL79" i="3"/>
  <c r="DK79" i="3"/>
  <c r="DJ79" i="3"/>
  <c r="DI79" i="3"/>
  <c r="DH79" i="3"/>
  <c r="DG79" i="3"/>
  <c r="DF79" i="3"/>
  <c r="DE79" i="3"/>
  <c r="DD79" i="3"/>
  <c r="DC79" i="3"/>
  <c r="DB79" i="3"/>
  <c r="DA79" i="3"/>
  <c r="CZ79" i="3"/>
  <c r="CY79" i="3"/>
  <c r="CX79" i="3"/>
  <c r="CW79" i="3"/>
  <c r="CV79" i="3"/>
  <c r="CU79" i="3"/>
  <c r="CT79" i="3"/>
  <c r="CS79" i="3"/>
  <c r="CR79" i="3"/>
  <c r="CQ79" i="3"/>
  <c r="CP79" i="3"/>
  <c r="CO79" i="3"/>
  <c r="CN79" i="3"/>
  <c r="FW78" i="3"/>
  <c r="FV78" i="3"/>
  <c r="FU78" i="3"/>
  <c r="FT78" i="3"/>
  <c r="FS78" i="3"/>
  <c r="FR78" i="3"/>
  <c r="FQ78" i="3"/>
  <c r="FP78" i="3"/>
  <c r="FO78" i="3"/>
  <c r="FN78" i="3"/>
  <c r="FM78" i="3"/>
  <c r="FL78" i="3"/>
  <c r="FK78" i="3"/>
  <c r="FJ78" i="3"/>
  <c r="FI78" i="3"/>
  <c r="FH78" i="3"/>
  <c r="FG78" i="3"/>
  <c r="FF78" i="3"/>
  <c r="FE78" i="3"/>
  <c r="FD78" i="3"/>
  <c r="FC78" i="3"/>
  <c r="FB78" i="3"/>
  <c r="FA78" i="3"/>
  <c r="EZ78" i="3"/>
  <c r="EY78" i="3"/>
  <c r="EX78" i="3"/>
  <c r="EW78" i="3"/>
  <c r="EV78" i="3"/>
  <c r="EU78" i="3"/>
  <c r="ET78" i="3"/>
  <c r="ES78" i="3"/>
  <c r="ER78" i="3"/>
  <c r="EQ78" i="3"/>
  <c r="EP78" i="3"/>
  <c r="EO78" i="3"/>
  <c r="EN78" i="3"/>
  <c r="EM78" i="3"/>
  <c r="EL78" i="3"/>
  <c r="EK78" i="3"/>
  <c r="EJ78" i="3"/>
  <c r="EI78" i="3"/>
  <c r="EH78" i="3"/>
  <c r="EG78" i="3"/>
  <c r="EF78" i="3"/>
  <c r="EE78" i="3"/>
  <c r="ED78" i="3"/>
  <c r="EC78" i="3"/>
  <c r="EB78" i="3"/>
  <c r="EA78" i="3"/>
  <c r="DZ78" i="3"/>
  <c r="DY78" i="3"/>
  <c r="DX78" i="3"/>
  <c r="DW78" i="3"/>
  <c r="DV78" i="3"/>
  <c r="DU78" i="3"/>
  <c r="DT78" i="3"/>
  <c r="DS78" i="3"/>
  <c r="DR78" i="3"/>
  <c r="DQ78" i="3"/>
  <c r="DP78" i="3"/>
  <c r="DO78" i="3"/>
  <c r="DN78" i="3"/>
  <c r="DM78" i="3"/>
  <c r="DL78" i="3"/>
  <c r="DK78" i="3"/>
  <c r="DJ78" i="3"/>
  <c r="DI78" i="3"/>
  <c r="DH78" i="3"/>
  <c r="DG78" i="3"/>
  <c r="DF78" i="3"/>
  <c r="DE78" i="3"/>
  <c r="DD78" i="3"/>
  <c r="DC78" i="3"/>
  <c r="DB78" i="3"/>
  <c r="DA78" i="3"/>
  <c r="CZ78" i="3"/>
  <c r="CY78" i="3"/>
  <c r="CX78" i="3"/>
  <c r="CW78" i="3"/>
  <c r="CV78" i="3"/>
  <c r="CU78" i="3"/>
  <c r="CT78" i="3"/>
  <c r="CS78" i="3"/>
  <c r="CR78" i="3"/>
  <c r="CQ78" i="3"/>
  <c r="CP78" i="3"/>
  <c r="CO78" i="3"/>
  <c r="CN78" i="3"/>
  <c r="FW77" i="3"/>
  <c r="FV77" i="3"/>
  <c r="FU77" i="3"/>
  <c r="FT77" i="3"/>
  <c r="FS77" i="3"/>
  <c r="FR77" i="3"/>
  <c r="FQ77" i="3"/>
  <c r="FP77" i="3"/>
  <c r="FO77" i="3"/>
  <c r="FN77" i="3"/>
  <c r="FM77" i="3"/>
  <c r="FL77" i="3"/>
  <c r="FK77" i="3"/>
  <c r="FJ77" i="3"/>
  <c r="FI77" i="3"/>
  <c r="FH77" i="3"/>
  <c r="FG77" i="3"/>
  <c r="FF77" i="3"/>
  <c r="FE77" i="3"/>
  <c r="FD77" i="3"/>
  <c r="FC77" i="3"/>
  <c r="FB77" i="3"/>
  <c r="FA77" i="3"/>
  <c r="EZ77" i="3"/>
  <c r="EY77" i="3"/>
  <c r="EX77" i="3"/>
  <c r="EW77" i="3"/>
  <c r="EV77" i="3"/>
  <c r="EU77" i="3"/>
  <c r="ET77" i="3"/>
  <c r="ES77" i="3"/>
  <c r="ER77" i="3"/>
  <c r="EQ77" i="3"/>
  <c r="EP77" i="3"/>
  <c r="EO77" i="3"/>
  <c r="EN77" i="3"/>
  <c r="EM77" i="3"/>
  <c r="EL77" i="3"/>
  <c r="EK77" i="3"/>
  <c r="EJ77" i="3"/>
  <c r="EI77" i="3"/>
  <c r="EH77" i="3"/>
  <c r="EG77" i="3"/>
  <c r="EF77" i="3"/>
  <c r="EE77" i="3"/>
  <c r="ED77" i="3"/>
  <c r="EC77" i="3"/>
  <c r="EB77" i="3"/>
  <c r="EA77" i="3"/>
  <c r="DZ77" i="3"/>
  <c r="DY77" i="3"/>
  <c r="DX77" i="3"/>
  <c r="DW77" i="3"/>
  <c r="DV77" i="3"/>
  <c r="DU77" i="3"/>
  <c r="DT77" i="3"/>
  <c r="DS77" i="3"/>
  <c r="DR77" i="3"/>
  <c r="DQ77" i="3"/>
  <c r="DP77" i="3"/>
  <c r="DO77" i="3"/>
  <c r="DN77" i="3"/>
  <c r="DM77" i="3"/>
  <c r="DL77" i="3"/>
  <c r="DK77" i="3"/>
  <c r="DJ77" i="3"/>
  <c r="DI77" i="3"/>
  <c r="DH77" i="3"/>
  <c r="DG77" i="3"/>
  <c r="DF77" i="3"/>
  <c r="DE77" i="3"/>
  <c r="DD77" i="3"/>
  <c r="DC77" i="3"/>
  <c r="DB77" i="3"/>
  <c r="DA77" i="3"/>
  <c r="CZ77" i="3"/>
  <c r="CY77" i="3"/>
  <c r="CX77" i="3"/>
  <c r="CW77" i="3"/>
  <c r="CV77" i="3"/>
  <c r="CU77" i="3"/>
  <c r="CT77" i="3"/>
  <c r="CS77" i="3"/>
  <c r="CR77" i="3"/>
  <c r="CQ77" i="3"/>
  <c r="CP77" i="3"/>
  <c r="CO77" i="3"/>
  <c r="CN77" i="3"/>
  <c r="FW76" i="3"/>
  <c r="FV76" i="3"/>
  <c r="FU76" i="3"/>
  <c r="FT76" i="3"/>
  <c r="FS76" i="3"/>
  <c r="FR76" i="3"/>
  <c r="FQ76" i="3"/>
  <c r="FP76" i="3"/>
  <c r="FO76" i="3"/>
  <c r="FN76" i="3"/>
  <c r="FM76" i="3"/>
  <c r="FL76" i="3"/>
  <c r="FK76" i="3"/>
  <c r="FJ76" i="3"/>
  <c r="FI76" i="3"/>
  <c r="FH76" i="3"/>
  <c r="FG76" i="3"/>
  <c r="FF76" i="3"/>
  <c r="FE76" i="3"/>
  <c r="FD76" i="3"/>
  <c r="FC76" i="3"/>
  <c r="FB76" i="3"/>
  <c r="FA76" i="3"/>
  <c r="EZ76" i="3"/>
  <c r="EY76" i="3"/>
  <c r="EX76" i="3"/>
  <c r="EW76" i="3"/>
  <c r="EV76" i="3"/>
  <c r="EU76" i="3"/>
  <c r="ET76" i="3"/>
  <c r="ES76" i="3"/>
  <c r="ER76" i="3"/>
  <c r="EQ76" i="3"/>
  <c r="EP76" i="3"/>
  <c r="EO76" i="3"/>
  <c r="EN76" i="3"/>
  <c r="EM76" i="3"/>
  <c r="EL76" i="3"/>
  <c r="EK76" i="3"/>
  <c r="EJ76" i="3"/>
  <c r="EI76" i="3"/>
  <c r="EH76" i="3"/>
  <c r="EG76" i="3"/>
  <c r="EF76" i="3"/>
  <c r="EE76" i="3"/>
  <c r="ED76" i="3"/>
  <c r="EC76" i="3"/>
  <c r="EB76" i="3"/>
  <c r="EA76" i="3"/>
  <c r="DZ76" i="3"/>
  <c r="DY76" i="3"/>
  <c r="DX76" i="3"/>
  <c r="DW76" i="3"/>
  <c r="DV76" i="3"/>
  <c r="DU76" i="3"/>
  <c r="DT76" i="3"/>
  <c r="DS76" i="3"/>
  <c r="DR76" i="3"/>
  <c r="DQ76" i="3"/>
  <c r="DP76" i="3"/>
  <c r="DO76" i="3"/>
  <c r="DN76" i="3"/>
  <c r="DM76" i="3"/>
  <c r="DL76" i="3"/>
  <c r="DK76" i="3"/>
  <c r="DJ76" i="3"/>
  <c r="DI76" i="3"/>
  <c r="DH76" i="3"/>
  <c r="DG76" i="3"/>
  <c r="DF76" i="3"/>
  <c r="DE76" i="3"/>
  <c r="DD76" i="3"/>
  <c r="DC76" i="3"/>
  <c r="DB76" i="3"/>
  <c r="DA76" i="3"/>
  <c r="CZ76" i="3"/>
  <c r="CY76" i="3"/>
  <c r="CX76" i="3"/>
  <c r="CW76" i="3"/>
  <c r="CV76" i="3"/>
  <c r="CU76" i="3"/>
  <c r="CT76" i="3"/>
  <c r="CS76" i="3"/>
  <c r="CR76" i="3"/>
  <c r="CQ76" i="3"/>
  <c r="CP76" i="3"/>
  <c r="CO76" i="3"/>
  <c r="CN76" i="3"/>
  <c r="FW75" i="3"/>
  <c r="FV75" i="3"/>
  <c r="FU75" i="3"/>
  <c r="FT75" i="3"/>
  <c r="FS75" i="3"/>
  <c r="FR75" i="3"/>
  <c r="FQ75" i="3"/>
  <c r="FP75" i="3"/>
  <c r="FO75" i="3"/>
  <c r="FN75" i="3"/>
  <c r="FM75" i="3"/>
  <c r="FL75" i="3"/>
  <c r="FK75" i="3"/>
  <c r="FJ75" i="3"/>
  <c r="FI75" i="3"/>
  <c r="FH75" i="3"/>
  <c r="FG75" i="3"/>
  <c r="FF75" i="3"/>
  <c r="FE75" i="3"/>
  <c r="FD75" i="3"/>
  <c r="FC75" i="3"/>
  <c r="FB75" i="3"/>
  <c r="FA75" i="3"/>
  <c r="EZ75" i="3"/>
  <c r="EY75" i="3"/>
  <c r="EX75" i="3"/>
  <c r="EW75" i="3"/>
  <c r="EV75" i="3"/>
  <c r="EU75" i="3"/>
  <c r="ET75" i="3"/>
  <c r="ES75" i="3"/>
  <c r="ER75" i="3"/>
  <c r="EQ75" i="3"/>
  <c r="EP75" i="3"/>
  <c r="EO75" i="3"/>
  <c r="EN75" i="3"/>
  <c r="EM75" i="3"/>
  <c r="EL75" i="3"/>
  <c r="EK75" i="3"/>
  <c r="EJ75" i="3"/>
  <c r="EI75" i="3"/>
  <c r="EH75" i="3"/>
  <c r="EG75" i="3"/>
  <c r="EF75" i="3"/>
  <c r="EE75" i="3"/>
  <c r="ED75" i="3"/>
  <c r="EC75" i="3"/>
  <c r="EB75" i="3"/>
  <c r="EA75" i="3"/>
  <c r="DZ75" i="3"/>
  <c r="DY75" i="3"/>
  <c r="DX75" i="3"/>
  <c r="DW75" i="3"/>
  <c r="DV75" i="3"/>
  <c r="DU75" i="3"/>
  <c r="DT75" i="3"/>
  <c r="DS75" i="3"/>
  <c r="DR75" i="3"/>
  <c r="DQ75" i="3"/>
  <c r="DP75" i="3"/>
  <c r="DO75" i="3"/>
  <c r="DN75" i="3"/>
  <c r="DM75" i="3"/>
  <c r="DL75" i="3"/>
  <c r="DK75" i="3"/>
  <c r="DJ75" i="3"/>
  <c r="DI75" i="3"/>
  <c r="DH75" i="3"/>
  <c r="DG75" i="3"/>
  <c r="DF75" i="3"/>
  <c r="DE75" i="3"/>
  <c r="DD75" i="3"/>
  <c r="DC75" i="3"/>
  <c r="DB75" i="3"/>
  <c r="DA75" i="3"/>
  <c r="CZ75" i="3"/>
  <c r="CY75" i="3"/>
  <c r="CX75" i="3"/>
  <c r="CW75" i="3"/>
  <c r="CV75" i="3"/>
  <c r="CU75" i="3"/>
  <c r="CT75" i="3"/>
  <c r="CS75" i="3"/>
  <c r="CR75" i="3"/>
  <c r="CQ75" i="3"/>
  <c r="CP75" i="3"/>
  <c r="CO75" i="3"/>
  <c r="CN75" i="3"/>
  <c r="C81" i="3"/>
  <c r="FW60" i="3"/>
  <c r="FV60" i="3"/>
  <c r="FU60" i="3"/>
  <c r="FT60" i="3"/>
  <c r="FS60" i="3"/>
  <c r="FR60" i="3"/>
  <c r="FQ60" i="3"/>
  <c r="FP60" i="3"/>
  <c r="FO60" i="3"/>
  <c r="FN60" i="3"/>
  <c r="FM60" i="3"/>
  <c r="FL60" i="3"/>
  <c r="FK60" i="3"/>
  <c r="FJ60" i="3"/>
  <c r="FI60" i="3"/>
  <c r="FH60" i="3"/>
  <c r="FG60" i="3"/>
  <c r="FF60" i="3"/>
  <c r="FE60" i="3"/>
  <c r="FD60" i="3"/>
  <c r="FC60" i="3"/>
  <c r="FB60" i="3"/>
  <c r="FA60" i="3"/>
  <c r="EZ60" i="3"/>
  <c r="EY60" i="3"/>
  <c r="EX60" i="3"/>
  <c r="EW60" i="3"/>
  <c r="EV60" i="3"/>
  <c r="EU60" i="3"/>
  <c r="ET60" i="3"/>
  <c r="ES60" i="3"/>
  <c r="ER60" i="3"/>
  <c r="EQ60" i="3"/>
  <c r="EP60" i="3"/>
  <c r="EO60" i="3"/>
  <c r="EN60" i="3"/>
  <c r="EM60" i="3"/>
  <c r="EL60" i="3"/>
  <c r="EK60" i="3"/>
  <c r="EJ60" i="3"/>
  <c r="EI60" i="3"/>
  <c r="EH60" i="3"/>
  <c r="EG60" i="3"/>
  <c r="EF60" i="3"/>
  <c r="EE60" i="3"/>
  <c r="ED60" i="3"/>
  <c r="EC60" i="3"/>
  <c r="EB60" i="3"/>
  <c r="EA60" i="3"/>
  <c r="DZ60" i="3"/>
  <c r="DY60" i="3"/>
  <c r="DX60" i="3"/>
  <c r="DW60" i="3"/>
  <c r="DV60" i="3"/>
  <c r="DU60" i="3"/>
  <c r="DT60" i="3"/>
  <c r="DS60" i="3"/>
  <c r="DR60" i="3"/>
  <c r="DQ60" i="3"/>
  <c r="DP60" i="3"/>
  <c r="DO60" i="3"/>
  <c r="DN60" i="3"/>
  <c r="DM60" i="3"/>
  <c r="DL60" i="3"/>
  <c r="DK60" i="3"/>
  <c r="DJ60" i="3"/>
  <c r="DI60" i="3"/>
  <c r="DH60" i="3"/>
  <c r="DG60" i="3"/>
  <c r="DF60" i="3"/>
  <c r="DE60" i="3"/>
  <c r="DD60" i="3"/>
  <c r="DC60" i="3"/>
  <c r="DB60" i="3"/>
  <c r="DA60" i="3"/>
  <c r="CZ60" i="3"/>
  <c r="CY60" i="3"/>
  <c r="CX60" i="3"/>
  <c r="CW60" i="3"/>
  <c r="CV60" i="3"/>
  <c r="CU60" i="3"/>
  <c r="CT60" i="3"/>
  <c r="CS60" i="3"/>
  <c r="CR60" i="3"/>
  <c r="CQ60" i="3"/>
  <c r="CP60" i="3"/>
  <c r="CO60" i="3"/>
  <c r="CN60" i="3"/>
  <c r="FW58" i="3"/>
  <c r="FV58" i="3"/>
  <c r="FU58" i="3"/>
  <c r="FT58" i="3"/>
  <c r="FS58" i="3"/>
  <c r="FR58" i="3"/>
  <c r="FQ58" i="3"/>
  <c r="FP58" i="3"/>
  <c r="FO58" i="3"/>
  <c r="FN58" i="3"/>
  <c r="FM58" i="3"/>
  <c r="FL58" i="3"/>
  <c r="FK58" i="3"/>
  <c r="FJ58" i="3"/>
  <c r="FI58" i="3"/>
  <c r="FH58" i="3"/>
  <c r="FG58" i="3"/>
  <c r="FF58" i="3"/>
  <c r="FE58" i="3"/>
  <c r="FD58" i="3"/>
  <c r="FC58" i="3"/>
  <c r="FB58" i="3"/>
  <c r="FA58" i="3"/>
  <c r="EZ58" i="3"/>
  <c r="EY58" i="3"/>
  <c r="EX58" i="3"/>
  <c r="EW58" i="3"/>
  <c r="EV58" i="3"/>
  <c r="EU58" i="3"/>
  <c r="ET58" i="3"/>
  <c r="ES58" i="3"/>
  <c r="ER58" i="3"/>
  <c r="EQ58" i="3"/>
  <c r="EP58" i="3"/>
  <c r="EO58" i="3"/>
  <c r="EN58" i="3"/>
  <c r="EM58" i="3"/>
  <c r="EL58" i="3"/>
  <c r="EK58" i="3"/>
  <c r="EJ58" i="3"/>
  <c r="EI58" i="3"/>
  <c r="EH58" i="3"/>
  <c r="EG58" i="3"/>
  <c r="EF58" i="3"/>
  <c r="EE58" i="3"/>
  <c r="ED58" i="3"/>
  <c r="EC58" i="3"/>
  <c r="EB58" i="3"/>
  <c r="EA58" i="3"/>
  <c r="DZ58" i="3"/>
  <c r="DY58" i="3"/>
  <c r="DX58" i="3"/>
  <c r="DW58" i="3"/>
  <c r="DV58" i="3"/>
  <c r="DU58" i="3"/>
  <c r="DT58" i="3"/>
  <c r="DS58" i="3"/>
  <c r="DR58" i="3"/>
  <c r="DQ58" i="3"/>
  <c r="DP58" i="3"/>
  <c r="DO58" i="3"/>
  <c r="DN58" i="3"/>
  <c r="DM58" i="3"/>
  <c r="DL58" i="3"/>
  <c r="DK58" i="3"/>
  <c r="DJ58" i="3"/>
  <c r="DI58" i="3"/>
  <c r="DH58" i="3"/>
  <c r="DG58" i="3"/>
  <c r="DF58" i="3"/>
  <c r="DE58" i="3"/>
  <c r="DD58" i="3"/>
  <c r="DC58" i="3"/>
  <c r="DB58" i="3"/>
  <c r="DA58" i="3"/>
  <c r="CZ58" i="3"/>
  <c r="CY58" i="3"/>
  <c r="CX58" i="3"/>
  <c r="CW58" i="3"/>
  <c r="CV58" i="3"/>
  <c r="CU58" i="3"/>
  <c r="CT58" i="3"/>
  <c r="CS58" i="3"/>
  <c r="CR58" i="3"/>
  <c r="CQ58" i="3"/>
  <c r="CP58" i="3"/>
  <c r="CO58" i="3"/>
  <c r="CN58" i="3"/>
  <c r="FW57" i="3"/>
  <c r="FV57" i="3"/>
  <c r="FU57" i="3"/>
  <c r="FT57" i="3"/>
  <c r="FS57" i="3"/>
  <c r="FR57" i="3"/>
  <c r="FQ57" i="3"/>
  <c r="FP57" i="3"/>
  <c r="FO57" i="3"/>
  <c r="FN57" i="3"/>
  <c r="FM57" i="3"/>
  <c r="FL57" i="3"/>
  <c r="FK57" i="3"/>
  <c r="FJ57" i="3"/>
  <c r="FI57" i="3"/>
  <c r="FH57" i="3"/>
  <c r="FG57" i="3"/>
  <c r="FF57" i="3"/>
  <c r="FE57" i="3"/>
  <c r="FD57" i="3"/>
  <c r="FC57" i="3"/>
  <c r="FB57" i="3"/>
  <c r="FA57" i="3"/>
  <c r="EZ57" i="3"/>
  <c r="EY57" i="3"/>
  <c r="EX57" i="3"/>
  <c r="EW57" i="3"/>
  <c r="EV57" i="3"/>
  <c r="EU57" i="3"/>
  <c r="ET57" i="3"/>
  <c r="ES57" i="3"/>
  <c r="ER57" i="3"/>
  <c r="EQ57" i="3"/>
  <c r="EP57" i="3"/>
  <c r="EO57" i="3"/>
  <c r="EN57" i="3"/>
  <c r="EM57" i="3"/>
  <c r="EL57" i="3"/>
  <c r="EK57" i="3"/>
  <c r="EJ57" i="3"/>
  <c r="EI57" i="3"/>
  <c r="EH57" i="3"/>
  <c r="EG57" i="3"/>
  <c r="EF57" i="3"/>
  <c r="EE57" i="3"/>
  <c r="ED57" i="3"/>
  <c r="EC57" i="3"/>
  <c r="EB57" i="3"/>
  <c r="EA57" i="3"/>
  <c r="DZ57" i="3"/>
  <c r="DY57" i="3"/>
  <c r="DX57" i="3"/>
  <c r="DW57" i="3"/>
  <c r="DV57" i="3"/>
  <c r="DU57" i="3"/>
  <c r="DT57" i="3"/>
  <c r="DS57" i="3"/>
  <c r="DR57" i="3"/>
  <c r="DQ57" i="3"/>
  <c r="DP57" i="3"/>
  <c r="DO57" i="3"/>
  <c r="DN57" i="3"/>
  <c r="DM57" i="3"/>
  <c r="DL57" i="3"/>
  <c r="DK57" i="3"/>
  <c r="DJ57" i="3"/>
  <c r="DI57" i="3"/>
  <c r="DH57" i="3"/>
  <c r="DG57" i="3"/>
  <c r="DF57" i="3"/>
  <c r="DE57" i="3"/>
  <c r="DD57" i="3"/>
  <c r="DC57" i="3"/>
  <c r="DB57" i="3"/>
  <c r="DA57" i="3"/>
  <c r="CZ57" i="3"/>
  <c r="CY57" i="3"/>
  <c r="CX57" i="3"/>
  <c r="CW57" i="3"/>
  <c r="CV57" i="3"/>
  <c r="CU57" i="3"/>
  <c r="CT57" i="3"/>
  <c r="CS57" i="3"/>
  <c r="CR57" i="3"/>
  <c r="CQ57" i="3"/>
  <c r="CP57" i="3"/>
  <c r="CO57" i="3"/>
  <c r="CN57" i="3"/>
  <c r="FW56" i="3"/>
  <c r="FV56" i="3"/>
  <c r="FU56" i="3"/>
  <c r="FT56" i="3"/>
  <c r="FS56" i="3"/>
  <c r="FR56" i="3"/>
  <c r="FQ56" i="3"/>
  <c r="FP56" i="3"/>
  <c r="FO56" i="3"/>
  <c r="FN56" i="3"/>
  <c r="FM56" i="3"/>
  <c r="FL56" i="3"/>
  <c r="FK56" i="3"/>
  <c r="FJ56" i="3"/>
  <c r="FI56" i="3"/>
  <c r="FH56" i="3"/>
  <c r="FG56" i="3"/>
  <c r="FF56" i="3"/>
  <c r="FE56" i="3"/>
  <c r="FD56" i="3"/>
  <c r="FC56" i="3"/>
  <c r="FB56" i="3"/>
  <c r="FA56" i="3"/>
  <c r="EZ56" i="3"/>
  <c r="EY56" i="3"/>
  <c r="EX56" i="3"/>
  <c r="EW56" i="3"/>
  <c r="EV56" i="3"/>
  <c r="EU56" i="3"/>
  <c r="ET56" i="3"/>
  <c r="ES56" i="3"/>
  <c r="ER56" i="3"/>
  <c r="EQ56" i="3"/>
  <c r="EP56" i="3"/>
  <c r="EO56" i="3"/>
  <c r="EN56" i="3"/>
  <c r="EM56" i="3"/>
  <c r="EL56" i="3"/>
  <c r="EK56" i="3"/>
  <c r="EJ56" i="3"/>
  <c r="EI56" i="3"/>
  <c r="EH56" i="3"/>
  <c r="EG56" i="3"/>
  <c r="EF56" i="3"/>
  <c r="EE56" i="3"/>
  <c r="ED56" i="3"/>
  <c r="EC56" i="3"/>
  <c r="EB56" i="3"/>
  <c r="EA56" i="3"/>
  <c r="DZ56" i="3"/>
  <c r="DY56" i="3"/>
  <c r="DX56" i="3"/>
  <c r="DW56" i="3"/>
  <c r="DV56" i="3"/>
  <c r="DU56" i="3"/>
  <c r="DT56" i="3"/>
  <c r="DS56" i="3"/>
  <c r="DR56" i="3"/>
  <c r="DQ56" i="3"/>
  <c r="DP56" i="3"/>
  <c r="DO56" i="3"/>
  <c r="DN56" i="3"/>
  <c r="DM56" i="3"/>
  <c r="DL56" i="3"/>
  <c r="DK56" i="3"/>
  <c r="DJ56" i="3"/>
  <c r="DI56" i="3"/>
  <c r="DH56" i="3"/>
  <c r="DG56" i="3"/>
  <c r="DF56" i="3"/>
  <c r="DE56" i="3"/>
  <c r="DD56" i="3"/>
  <c r="DC56" i="3"/>
  <c r="DB56" i="3"/>
  <c r="DA56" i="3"/>
  <c r="CZ56" i="3"/>
  <c r="CY56" i="3"/>
  <c r="CX56" i="3"/>
  <c r="CW56" i="3"/>
  <c r="CV56" i="3"/>
  <c r="CU56" i="3"/>
  <c r="CT56" i="3"/>
  <c r="CS56" i="3"/>
  <c r="CR56" i="3"/>
  <c r="CQ56" i="3"/>
  <c r="CP56" i="3"/>
  <c r="CO56" i="3"/>
  <c r="CN56" i="3"/>
  <c r="FW55" i="3"/>
  <c r="FV55" i="3"/>
  <c r="FU55" i="3"/>
  <c r="FT55" i="3"/>
  <c r="FS55" i="3"/>
  <c r="FR55" i="3"/>
  <c r="FQ55" i="3"/>
  <c r="FP55" i="3"/>
  <c r="FO55" i="3"/>
  <c r="FN55" i="3"/>
  <c r="FM55" i="3"/>
  <c r="FL55" i="3"/>
  <c r="FK55" i="3"/>
  <c r="FJ55" i="3"/>
  <c r="FI55" i="3"/>
  <c r="FH55" i="3"/>
  <c r="FG55" i="3"/>
  <c r="FF55" i="3"/>
  <c r="FE55" i="3"/>
  <c r="FD55" i="3"/>
  <c r="FC55" i="3"/>
  <c r="FB55" i="3"/>
  <c r="FA55" i="3"/>
  <c r="EZ55" i="3"/>
  <c r="EY55" i="3"/>
  <c r="EX55" i="3"/>
  <c r="EW55" i="3"/>
  <c r="EV55" i="3"/>
  <c r="EU55" i="3"/>
  <c r="ET55" i="3"/>
  <c r="ES55" i="3"/>
  <c r="ER55" i="3"/>
  <c r="EQ55" i="3"/>
  <c r="EP55" i="3"/>
  <c r="EO55" i="3"/>
  <c r="EN55" i="3"/>
  <c r="EM55" i="3"/>
  <c r="EL55" i="3"/>
  <c r="EK55" i="3"/>
  <c r="EJ55" i="3"/>
  <c r="EI55" i="3"/>
  <c r="EH55" i="3"/>
  <c r="EG55" i="3"/>
  <c r="EF55" i="3"/>
  <c r="EE55" i="3"/>
  <c r="ED55" i="3"/>
  <c r="EC55" i="3"/>
  <c r="EB55" i="3"/>
  <c r="EA55" i="3"/>
  <c r="DZ55" i="3"/>
  <c r="DY55" i="3"/>
  <c r="DX55" i="3"/>
  <c r="DW55" i="3"/>
  <c r="DV55" i="3"/>
  <c r="DU55" i="3"/>
  <c r="DT55" i="3"/>
  <c r="DS55" i="3"/>
  <c r="DR55" i="3"/>
  <c r="DQ55" i="3"/>
  <c r="DP55" i="3"/>
  <c r="DO55" i="3"/>
  <c r="DN55" i="3"/>
  <c r="DM55" i="3"/>
  <c r="DL55" i="3"/>
  <c r="DK55" i="3"/>
  <c r="DJ55" i="3"/>
  <c r="DI55" i="3"/>
  <c r="DH55" i="3"/>
  <c r="DG55" i="3"/>
  <c r="DF55" i="3"/>
  <c r="DE55" i="3"/>
  <c r="DD55" i="3"/>
  <c r="DC55" i="3"/>
  <c r="DB55" i="3"/>
  <c r="DA55" i="3"/>
  <c r="CZ55" i="3"/>
  <c r="CY55" i="3"/>
  <c r="CX55" i="3"/>
  <c r="CW55" i="3"/>
  <c r="CV55" i="3"/>
  <c r="CU55" i="3"/>
  <c r="CT55" i="3"/>
  <c r="CS55" i="3"/>
  <c r="CR55" i="3"/>
  <c r="CQ55" i="3"/>
  <c r="CP55" i="3"/>
  <c r="CO55" i="3"/>
  <c r="CN55" i="3"/>
  <c r="FW54" i="3"/>
  <c r="FV54" i="3"/>
  <c r="FU54" i="3"/>
  <c r="FT54" i="3"/>
  <c r="FS54" i="3"/>
  <c r="FR54" i="3"/>
  <c r="FQ54" i="3"/>
  <c r="FP54" i="3"/>
  <c r="FO54" i="3"/>
  <c r="FN54" i="3"/>
  <c r="FM54" i="3"/>
  <c r="FL54" i="3"/>
  <c r="FK54" i="3"/>
  <c r="FJ54" i="3"/>
  <c r="FI54" i="3"/>
  <c r="FH54" i="3"/>
  <c r="FG54" i="3"/>
  <c r="FF54" i="3"/>
  <c r="FE54" i="3"/>
  <c r="FD54" i="3"/>
  <c r="FC54" i="3"/>
  <c r="FB54" i="3"/>
  <c r="FA54" i="3"/>
  <c r="EZ54" i="3"/>
  <c r="EY54" i="3"/>
  <c r="EX54" i="3"/>
  <c r="EW54" i="3"/>
  <c r="EV54" i="3"/>
  <c r="EU54" i="3"/>
  <c r="ET54" i="3"/>
  <c r="ES54" i="3"/>
  <c r="ER54" i="3"/>
  <c r="EQ54" i="3"/>
  <c r="EP54" i="3"/>
  <c r="EO54" i="3"/>
  <c r="EN54" i="3"/>
  <c r="EM54" i="3"/>
  <c r="EL54" i="3"/>
  <c r="EK54" i="3"/>
  <c r="EJ54" i="3"/>
  <c r="EI54" i="3"/>
  <c r="EH54" i="3"/>
  <c r="EG54" i="3"/>
  <c r="EF54" i="3"/>
  <c r="EE54" i="3"/>
  <c r="ED54" i="3"/>
  <c r="EC54" i="3"/>
  <c r="EB54" i="3"/>
  <c r="EA54" i="3"/>
  <c r="DZ54" i="3"/>
  <c r="DY54" i="3"/>
  <c r="DX54" i="3"/>
  <c r="DW54" i="3"/>
  <c r="DV54" i="3"/>
  <c r="DU54" i="3"/>
  <c r="DT54" i="3"/>
  <c r="DS54" i="3"/>
  <c r="DR54" i="3"/>
  <c r="DQ54" i="3"/>
  <c r="DP54" i="3"/>
  <c r="DO54" i="3"/>
  <c r="DN54" i="3"/>
  <c r="DM54" i="3"/>
  <c r="DL54" i="3"/>
  <c r="DK54" i="3"/>
  <c r="DJ54" i="3"/>
  <c r="DI54" i="3"/>
  <c r="DH54" i="3"/>
  <c r="DG54" i="3"/>
  <c r="DF54" i="3"/>
  <c r="DE54" i="3"/>
  <c r="DD54" i="3"/>
  <c r="DC54" i="3"/>
  <c r="DB54" i="3"/>
  <c r="DA54" i="3"/>
  <c r="CZ54" i="3"/>
  <c r="CY54" i="3"/>
  <c r="CX54" i="3"/>
  <c r="CW54" i="3"/>
  <c r="CV54" i="3"/>
  <c r="CU54" i="3"/>
  <c r="CT54" i="3"/>
  <c r="CS54" i="3"/>
  <c r="CR54" i="3"/>
  <c r="CQ54" i="3"/>
  <c r="CP54" i="3"/>
  <c r="CO54" i="3"/>
  <c r="CN54" i="3"/>
  <c r="FW53" i="3"/>
  <c r="FV53" i="3"/>
  <c r="FU53" i="3"/>
  <c r="FT53" i="3"/>
  <c r="FS53" i="3"/>
  <c r="FR53" i="3"/>
  <c r="FQ53" i="3"/>
  <c r="FP53" i="3"/>
  <c r="FO53" i="3"/>
  <c r="FN53" i="3"/>
  <c r="FM53" i="3"/>
  <c r="FL53" i="3"/>
  <c r="FK53" i="3"/>
  <c r="FJ53" i="3"/>
  <c r="FI53" i="3"/>
  <c r="FH53" i="3"/>
  <c r="FG53" i="3"/>
  <c r="FF53" i="3"/>
  <c r="FE53" i="3"/>
  <c r="FD53" i="3"/>
  <c r="FC53" i="3"/>
  <c r="FB53" i="3"/>
  <c r="FA53" i="3"/>
  <c r="EZ53" i="3"/>
  <c r="EY53" i="3"/>
  <c r="EX53" i="3"/>
  <c r="EW53" i="3"/>
  <c r="EV53" i="3"/>
  <c r="EU53" i="3"/>
  <c r="ET53" i="3"/>
  <c r="ES53" i="3"/>
  <c r="ER53" i="3"/>
  <c r="EQ53" i="3"/>
  <c r="EP53" i="3"/>
  <c r="EO53" i="3"/>
  <c r="EN53" i="3"/>
  <c r="EM53" i="3"/>
  <c r="EL53" i="3"/>
  <c r="EK53" i="3"/>
  <c r="EJ53" i="3"/>
  <c r="EI53" i="3"/>
  <c r="EH53" i="3"/>
  <c r="EG53" i="3"/>
  <c r="EF53" i="3"/>
  <c r="EE53" i="3"/>
  <c r="ED53" i="3"/>
  <c r="EC53" i="3"/>
  <c r="EB53" i="3"/>
  <c r="EA53" i="3"/>
  <c r="DZ53" i="3"/>
  <c r="DY53" i="3"/>
  <c r="DX53" i="3"/>
  <c r="DW53" i="3"/>
  <c r="DV53" i="3"/>
  <c r="DU53" i="3"/>
  <c r="DT53" i="3"/>
  <c r="DS53" i="3"/>
  <c r="DR53" i="3"/>
  <c r="DQ53" i="3"/>
  <c r="DP53" i="3"/>
  <c r="DO53" i="3"/>
  <c r="DN53" i="3"/>
  <c r="DM53" i="3"/>
  <c r="DL53" i="3"/>
  <c r="DK53" i="3"/>
  <c r="DJ53" i="3"/>
  <c r="DI53" i="3"/>
  <c r="DH53" i="3"/>
  <c r="DG53" i="3"/>
  <c r="DF53" i="3"/>
  <c r="DE53" i="3"/>
  <c r="DD53" i="3"/>
  <c r="DC53" i="3"/>
  <c r="DB53" i="3"/>
  <c r="DA53" i="3"/>
  <c r="CZ53" i="3"/>
  <c r="CY53" i="3"/>
  <c r="CX53" i="3"/>
  <c r="CW53" i="3"/>
  <c r="CV53" i="3"/>
  <c r="CU53" i="3"/>
  <c r="CT53" i="3"/>
  <c r="CS53" i="3"/>
  <c r="CR53" i="3"/>
  <c r="CQ53" i="3"/>
  <c r="CP53" i="3"/>
  <c r="CO53" i="3"/>
  <c r="CN53" i="3"/>
  <c r="FW52" i="3"/>
  <c r="FV52" i="3"/>
  <c r="FU52" i="3"/>
  <c r="FT52" i="3"/>
  <c r="FS52" i="3"/>
  <c r="FR52" i="3"/>
  <c r="FQ52" i="3"/>
  <c r="FP52" i="3"/>
  <c r="FO52" i="3"/>
  <c r="FN52" i="3"/>
  <c r="FM52" i="3"/>
  <c r="FL52" i="3"/>
  <c r="FK52" i="3"/>
  <c r="FJ52" i="3"/>
  <c r="FI52" i="3"/>
  <c r="FH52" i="3"/>
  <c r="FG52" i="3"/>
  <c r="FF52" i="3"/>
  <c r="FE52" i="3"/>
  <c r="FD52" i="3"/>
  <c r="FC52" i="3"/>
  <c r="FB52" i="3"/>
  <c r="FA52" i="3"/>
  <c r="EZ52" i="3"/>
  <c r="EY52" i="3"/>
  <c r="EX52" i="3"/>
  <c r="EW52" i="3"/>
  <c r="EV52" i="3"/>
  <c r="EU52" i="3"/>
  <c r="ET52" i="3"/>
  <c r="ES52" i="3"/>
  <c r="ER52" i="3"/>
  <c r="EQ52" i="3"/>
  <c r="EP52" i="3"/>
  <c r="EO52" i="3"/>
  <c r="EN52" i="3"/>
  <c r="EM52" i="3"/>
  <c r="EL52" i="3"/>
  <c r="EK52" i="3"/>
  <c r="EJ52" i="3"/>
  <c r="EI52" i="3"/>
  <c r="EH52" i="3"/>
  <c r="EG52" i="3"/>
  <c r="EF52" i="3"/>
  <c r="EE52" i="3"/>
  <c r="ED52" i="3"/>
  <c r="EC52" i="3"/>
  <c r="EB52" i="3"/>
  <c r="EA52" i="3"/>
  <c r="DZ52" i="3"/>
  <c r="DY52" i="3"/>
  <c r="DX52" i="3"/>
  <c r="DW52" i="3"/>
  <c r="DV52" i="3"/>
  <c r="DU52" i="3"/>
  <c r="DT52" i="3"/>
  <c r="DS52" i="3"/>
  <c r="DR52" i="3"/>
  <c r="DQ52" i="3"/>
  <c r="DP52" i="3"/>
  <c r="DO52" i="3"/>
  <c r="DN52" i="3"/>
  <c r="DM52" i="3"/>
  <c r="DL52" i="3"/>
  <c r="DK52" i="3"/>
  <c r="DJ52" i="3"/>
  <c r="DI52" i="3"/>
  <c r="DH52" i="3"/>
  <c r="DG52" i="3"/>
  <c r="DF52" i="3"/>
  <c r="DE52" i="3"/>
  <c r="DD52" i="3"/>
  <c r="DC52" i="3"/>
  <c r="DB52" i="3"/>
  <c r="DA52" i="3"/>
  <c r="CZ52" i="3"/>
  <c r="CY52" i="3"/>
  <c r="CX52" i="3"/>
  <c r="CW52" i="3"/>
  <c r="CV52" i="3"/>
  <c r="CU52" i="3"/>
  <c r="CT52" i="3"/>
  <c r="CS52" i="3"/>
  <c r="CR52" i="3"/>
  <c r="CQ52" i="3"/>
  <c r="CP52" i="3"/>
  <c r="CO52" i="3"/>
  <c r="CN52" i="3"/>
  <c r="FW51" i="3"/>
  <c r="FV51" i="3"/>
  <c r="FU51" i="3"/>
  <c r="FT51" i="3"/>
  <c r="FS51" i="3"/>
  <c r="FR51" i="3"/>
  <c r="FQ51" i="3"/>
  <c r="FP51" i="3"/>
  <c r="FO51" i="3"/>
  <c r="FN51" i="3"/>
  <c r="FM51" i="3"/>
  <c r="FL51" i="3"/>
  <c r="FK51" i="3"/>
  <c r="FJ51" i="3"/>
  <c r="FI51" i="3"/>
  <c r="FH51" i="3"/>
  <c r="FG51" i="3"/>
  <c r="FF51" i="3"/>
  <c r="FE51" i="3"/>
  <c r="FD51" i="3"/>
  <c r="FC51" i="3"/>
  <c r="FB51" i="3"/>
  <c r="FA51" i="3"/>
  <c r="EZ51" i="3"/>
  <c r="EY51" i="3"/>
  <c r="EX51" i="3"/>
  <c r="EW51" i="3"/>
  <c r="EV51" i="3"/>
  <c r="EU51" i="3"/>
  <c r="ET51" i="3"/>
  <c r="ES51" i="3"/>
  <c r="ER51" i="3"/>
  <c r="EQ51" i="3"/>
  <c r="EP51" i="3"/>
  <c r="EO51" i="3"/>
  <c r="EN51" i="3"/>
  <c r="EM51" i="3"/>
  <c r="EL51" i="3"/>
  <c r="EK51" i="3"/>
  <c r="EJ51" i="3"/>
  <c r="EI51" i="3"/>
  <c r="EH51" i="3"/>
  <c r="EG51" i="3"/>
  <c r="EF51" i="3"/>
  <c r="EE51" i="3"/>
  <c r="ED51" i="3"/>
  <c r="EC51" i="3"/>
  <c r="EB51" i="3"/>
  <c r="EA51" i="3"/>
  <c r="DZ51" i="3"/>
  <c r="DY51" i="3"/>
  <c r="DX51" i="3"/>
  <c r="DW51" i="3"/>
  <c r="DV51" i="3"/>
  <c r="DU51" i="3"/>
  <c r="DT51" i="3"/>
  <c r="DS51" i="3"/>
  <c r="DR51" i="3"/>
  <c r="DQ51" i="3"/>
  <c r="DP51" i="3"/>
  <c r="DO51" i="3"/>
  <c r="DN51" i="3"/>
  <c r="DM51" i="3"/>
  <c r="DL51" i="3"/>
  <c r="DK51" i="3"/>
  <c r="DJ51" i="3"/>
  <c r="DI51" i="3"/>
  <c r="DH51" i="3"/>
  <c r="DG51" i="3"/>
  <c r="DF51" i="3"/>
  <c r="DE51" i="3"/>
  <c r="DD51" i="3"/>
  <c r="DC51" i="3"/>
  <c r="DB51" i="3"/>
  <c r="DA51" i="3"/>
  <c r="CZ51" i="3"/>
  <c r="CY51" i="3"/>
  <c r="CX51" i="3"/>
  <c r="CW51" i="3"/>
  <c r="CV51" i="3"/>
  <c r="CU51" i="3"/>
  <c r="CT51" i="3"/>
  <c r="CS51" i="3"/>
  <c r="CR51" i="3"/>
  <c r="CQ51" i="3"/>
  <c r="CP51" i="3"/>
  <c r="CO51" i="3"/>
  <c r="CN51" i="3"/>
  <c r="C61" i="3"/>
  <c r="FW74" i="3"/>
  <c r="FV74" i="3"/>
  <c r="FU74" i="3"/>
  <c r="FT74" i="3"/>
  <c r="FS74" i="3"/>
  <c r="FR74" i="3"/>
  <c r="FQ74" i="3"/>
  <c r="FP74" i="3"/>
  <c r="FO74" i="3"/>
  <c r="FN74" i="3"/>
  <c r="FM74" i="3"/>
  <c r="FL74" i="3"/>
  <c r="FK74" i="3"/>
  <c r="FJ74" i="3"/>
  <c r="FI74" i="3"/>
  <c r="FH74" i="3"/>
  <c r="FG74" i="3"/>
  <c r="FF74" i="3"/>
  <c r="FE74" i="3"/>
  <c r="FD74" i="3"/>
  <c r="FC74" i="3"/>
  <c r="FB74" i="3"/>
  <c r="FA74" i="3"/>
  <c r="EZ74" i="3"/>
  <c r="EY74" i="3"/>
  <c r="EX74" i="3"/>
  <c r="EW74" i="3"/>
  <c r="EV74" i="3"/>
  <c r="EU74" i="3"/>
  <c r="ET74" i="3"/>
  <c r="ES74" i="3"/>
  <c r="ER74" i="3"/>
  <c r="EQ74" i="3"/>
  <c r="EP74" i="3"/>
  <c r="EO74" i="3"/>
  <c r="EN74" i="3"/>
  <c r="EM74" i="3"/>
  <c r="EL74" i="3"/>
  <c r="EK74" i="3"/>
  <c r="EJ74" i="3"/>
  <c r="EI74" i="3"/>
  <c r="EH74" i="3"/>
  <c r="EG74" i="3"/>
  <c r="EF74" i="3"/>
  <c r="EE74" i="3"/>
  <c r="ED74" i="3"/>
  <c r="EC74" i="3"/>
  <c r="EB74" i="3"/>
  <c r="EA74" i="3"/>
  <c r="DZ74" i="3"/>
  <c r="DY74" i="3"/>
  <c r="DX74" i="3"/>
  <c r="DW74" i="3"/>
  <c r="DV74" i="3"/>
  <c r="DU74" i="3"/>
  <c r="DT74" i="3"/>
  <c r="DS74" i="3"/>
  <c r="DR74" i="3"/>
  <c r="DQ74" i="3"/>
  <c r="DP74" i="3"/>
  <c r="DO74" i="3"/>
  <c r="DN74" i="3"/>
  <c r="DM74" i="3"/>
  <c r="DL74" i="3"/>
  <c r="DK74" i="3"/>
  <c r="DJ74" i="3"/>
  <c r="DI74" i="3"/>
  <c r="DH74" i="3"/>
  <c r="DG74" i="3"/>
  <c r="DF74" i="3"/>
  <c r="DE74" i="3"/>
  <c r="DD74" i="3"/>
  <c r="DC74" i="3"/>
  <c r="DB74" i="3"/>
  <c r="DA74" i="3"/>
  <c r="CZ74" i="3"/>
  <c r="CY74" i="3"/>
  <c r="CX74" i="3"/>
  <c r="CW74" i="3"/>
  <c r="CV74" i="3"/>
  <c r="CU74" i="3"/>
  <c r="CT74" i="3"/>
  <c r="CS74" i="3"/>
  <c r="CR74" i="3"/>
  <c r="CQ74" i="3"/>
  <c r="CP74" i="3"/>
  <c r="CO74" i="3"/>
  <c r="CN74" i="3"/>
  <c r="DE70" i="3" l="1"/>
  <c r="EE70" i="3"/>
  <c r="DS70" i="3"/>
  <c r="DC70" i="3"/>
  <c r="EK70" i="3"/>
  <c r="DH70" i="3"/>
  <c r="DW70" i="3"/>
  <c r="DN70" i="3"/>
  <c r="ET70" i="3"/>
  <c r="FB70" i="3"/>
  <c r="FQ70" i="3"/>
  <c r="FI81" i="3"/>
  <c r="CW81" i="3"/>
  <c r="FP81" i="3"/>
  <c r="EZ81" i="3"/>
  <c r="EJ81" i="3"/>
  <c r="DT81" i="3"/>
  <c r="DD81" i="3"/>
  <c r="FW81" i="3"/>
  <c r="FO81" i="3"/>
  <c r="FG81" i="3"/>
  <c r="EY81" i="3"/>
  <c r="EQ81" i="3"/>
  <c r="EI81" i="3"/>
  <c r="EA81" i="3"/>
  <c r="DS81" i="3"/>
  <c r="DK81" i="3"/>
  <c r="DC81" i="3"/>
  <c r="CU81" i="3"/>
  <c r="ES81" i="3"/>
  <c r="DE81" i="3"/>
  <c r="FH81" i="3"/>
  <c r="ER81" i="3"/>
  <c r="EB81" i="3"/>
  <c r="DL81" i="3"/>
  <c r="CV81" i="3"/>
  <c r="FV81" i="3"/>
  <c r="FN81" i="3"/>
  <c r="FF81" i="3"/>
  <c r="EX81" i="3"/>
  <c r="EP81" i="3"/>
  <c r="EH81" i="3"/>
  <c r="DZ81" i="3"/>
  <c r="DR81" i="3"/>
  <c r="DJ81" i="3"/>
  <c r="DB81" i="3"/>
  <c r="CT81" i="3"/>
  <c r="EC81" i="3"/>
  <c r="EK81" i="3"/>
  <c r="CO81" i="3"/>
  <c r="FU81" i="3"/>
  <c r="EW81" i="3"/>
  <c r="DY81" i="3"/>
  <c r="DA81" i="3"/>
  <c r="FT81" i="3"/>
  <c r="FL81" i="3"/>
  <c r="FD81" i="3"/>
  <c r="EV81" i="3"/>
  <c r="EN81" i="3"/>
  <c r="EF81" i="3"/>
  <c r="DX81" i="3"/>
  <c r="DP81" i="3"/>
  <c r="DH81" i="3"/>
  <c r="CZ81" i="3"/>
  <c r="CR81" i="3"/>
  <c r="FA81" i="3"/>
  <c r="DU81" i="3"/>
  <c r="FM81" i="3"/>
  <c r="EO81" i="3"/>
  <c r="DQ81" i="3"/>
  <c r="CS81" i="3"/>
  <c r="FS81" i="3"/>
  <c r="FK81" i="3"/>
  <c r="FC81" i="3"/>
  <c r="EU81" i="3"/>
  <c r="EM81" i="3"/>
  <c r="EE81" i="3"/>
  <c r="DW81" i="3"/>
  <c r="DO81" i="3"/>
  <c r="DG81" i="3"/>
  <c r="CY81" i="3"/>
  <c r="CQ81" i="3"/>
  <c r="FQ81" i="3"/>
  <c r="DM81" i="3"/>
  <c r="FE81" i="3"/>
  <c r="EG81" i="3"/>
  <c r="DI81" i="3"/>
  <c r="FR81" i="3"/>
  <c r="FJ81" i="3"/>
  <c r="FB81" i="3"/>
  <c r="ET81" i="3"/>
  <c r="EL81" i="3"/>
  <c r="ED81" i="3"/>
  <c r="DV81" i="3"/>
  <c r="DN81" i="3"/>
  <c r="DF81" i="3"/>
  <c r="CX81" i="3"/>
  <c r="CP81" i="3"/>
  <c r="CN81" i="3"/>
  <c r="FW59" i="3" l="1"/>
  <c r="FW61" i="3" s="1"/>
  <c r="FV59" i="3"/>
  <c r="FV61" i="3" s="1"/>
  <c r="FU59" i="3"/>
  <c r="FU61" i="3" s="1"/>
  <c r="FT59" i="3"/>
  <c r="FT61" i="3" s="1"/>
  <c r="FS59" i="3"/>
  <c r="FS61" i="3" s="1"/>
  <c r="FR59" i="3"/>
  <c r="FR61" i="3" s="1"/>
  <c r="FQ59" i="3"/>
  <c r="FQ61" i="3" s="1"/>
  <c r="FP59" i="3"/>
  <c r="FP61" i="3" s="1"/>
  <c r="FO59" i="3"/>
  <c r="FO61" i="3" s="1"/>
  <c r="FN59" i="3"/>
  <c r="FN61" i="3" s="1"/>
  <c r="FM59" i="3"/>
  <c r="FM61" i="3" s="1"/>
  <c r="FL59" i="3"/>
  <c r="FL61" i="3" s="1"/>
  <c r="FK59" i="3"/>
  <c r="FK61" i="3" s="1"/>
  <c r="FJ59" i="3"/>
  <c r="FJ61" i="3" s="1"/>
  <c r="FI59" i="3"/>
  <c r="FI61" i="3" s="1"/>
  <c r="FH59" i="3"/>
  <c r="FH61" i="3" s="1"/>
  <c r="FG59" i="3"/>
  <c r="FG61" i="3" s="1"/>
  <c r="FF59" i="3"/>
  <c r="FF61" i="3" s="1"/>
  <c r="FE59" i="3"/>
  <c r="FE61" i="3" s="1"/>
  <c r="FD59" i="3"/>
  <c r="FD61" i="3" s="1"/>
  <c r="FC59" i="3"/>
  <c r="FC61" i="3" s="1"/>
  <c r="FB59" i="3"/>
  <c r="FB61" i="3" s="1"/>
  <c r="FA59" i="3"/>
  <c r="FA61" i="3" s="1"/>
  <c r="EZ59" i="3"/>
  <c r="EZ61" i="3" s="1"/>
  <c r="EY59" i="3"/>
  <c r="EY61" i="3" s="1"/>
  <c r="EX59" i="3"/>
  <c r="EX61" i="3" s="1"/>
  <c r="EW59" i="3"/>
  <c r="EW61" i="3" s="1"/>
  <c r="EV59" i="3"/>
  <c r="EV61" i="3" s="1"/>
  <c r="EU59" i="3"/>
  <c r="EU61" i="3" s="1"/>
  <c r="ET59" i="3"/>
  <c r="ET61" i="3" s="1"/>
  <c r="ES59" i="3"/>
  <c r="ES61" i="3" s="1"/>
  <c r="ER59" i="3"/>
  <c r="ER61" i="3" s="1"/>
  <c r="EQ59" i="3"/>
  <c r="EQ61" i="3" s="1"/>
  <c r="EP59" i="3"/>
  <c r="EP61" i="3" s="1"/>
  <c r="EO59" i="3"/>
  <c r="EO61" i="3" s="1"/>
  <c r="EN59" i="3"/>
  <c r="EN61" i="3" s="1"/>
  <c r="EM59" i="3"/>
  <c r="EM61" i="3" s="1"/>
  <c r="EL59" i="3"/>
  <c r="EL61" i="3" s="1"/>
  <c r="EK59" i="3"/>
  <c r="EK61" i="3" s="1"/>
  <c r="EJ59" i="3"/>
  <c r="EJ61" i="3" s="1"/>
  <c r="EI59" i="3"/>
  <c r="EI61" i="3" s="1"/>
  <c r="EH59" i="3"/>
  <c r="EH61" i="3" s="1"/>
  <c r="EG59" i="3"/>
  <c r="EG61" i="3" s="1"/>
  <c r="EF59" i="3"/>
  <c r="EF61" i="3" s="1"/>
  <c r="EE59" i="3"/>
  <c r="EE61" i="3" s="1"/>
  <c r="ED59" i="3"/>
  <c r="ED61" i="3" s="1"/>
  <c r="EC59" i="3"/>
  <c r="EC61" i="3" s="1"/>
  <c r="EB59" i="3"/>
  <c r="EB61" i="3" s="1"/>
  <c r="EA59" i="3"/>
  <c r="EA61" i="3" s="1"/>
  <c r="DZ59" i="3"/>
  <c r="DZ61" i="3" s="1"/>
  <c r="DY59" i="3"/>
  <c r="DY61" i="3" s="1"/>
  <c r="DX59" i="3"/>
  <c r="DX61" i="3" s="1"/>
  <c r="DW59" i="3"/>
  <c r="DW61" i="3" s="1"/>
  <c r="DV59" i="3"/>
  <c r="DV61" i="3" s="1"/>
  <c r="DU59" i="3"/>
  <c r="DU61" i="3" s="1"/>
  <c r="DT59" i="3"/>
  <c r="DT61" i="3" s="1"/>
  <c r="DS59" i="3"/>
  <c r="DS61" i="3" s="1"/>
  <c r="DR59" i="3"/>
  <c r="DR61" i="3" s="1"/>
  <c r="DQ59" i="3"/>
  <c r="DQ61" i="3" s="1"/>
  <c r="DP59" i="3"/>
  <c r="DP61" i="3" s="1"/>
  <c r="DO59" i="3"/>
  <c r="DO61" i="3" s="1"/>
  <c r="DN59" i="3"/>
  <c r="DN61" i="3" s="1"/>
  <c r="DM59" i="3"/>
  <c r="DM61" i="3" s="1"/>
  <c r="DL59" i="3"/>
  <c r="DL61" i="3" s="1"/>
  <c r="DK59" i="3"/>
  <c r="DK61" i="3" s="1"/>
  <c r="DJ59" i="3"/>
  <c r="DJ61" i="3" s="1"/>
  <c r="DI59" i="3"/>
  <c r="DI61" i="3" s="1"/>
  <c r="DH59" i="3"/>
  <c r="DH61" i="3" s="1"/>
  <c r="DG59" i="3"/>
  <c r="DG61" i="3" s="1"/>
  <c r="DF59" i="3"/>
  <c r="DF61" i="3" s="1"/>
  <c r="DE59" i="3"/>
  <c r="DE61" i="3" s="1"/>
  <c r="DD59" i="3"/>
  <c r="DD61" i="3" s="1"/>
  <c r="DC59" i="3"/>
  <c r="DC61" i="3" s="1"/>
  <c r="DB59" i="3"/>
  <c r="DB61" i="3" s="1"/>
  <c r="DA59" i="3"/>
  <c r="DA61" i="3" s="1"/>
  <c r="CZ59" i="3"/>
  <c r="CZ61" i="3" s="1"/>
  <c r="CY59" i="3"/>
  <c r="CY61" i="3" s="1"/>
  <c r="CX59" i="3"/>
  <c r="CX61" i="3" s="1"/>
  <c r="CW59" i="3"/>
  <c r="CW61" i="3" s="1"/>
  <c r="CV59" i="3"/>
  <c r="CV61" i="3" s="1"/>
  <c r="CU59" i="3"/>
  <c r="CU61" i="3" s="1"/>
  <c r="CT59" i="3"/>
  <c r="CT61" i="3" s="1"/>
  <c r="CS59" i="3"/>
  <c r="CS61" i="3" s="1"/>
  <c r="CR59" i="3"/>
  <c r="CR61" i="3" s="1"/>
  <c r="CQ59" i="3"/>
  <c r="CQ61" i="3" s="1"/>
  <c r="CP59" i="3"/>
  <c r="CP61" i="3" s="1"/>
  <c r="CO59" i="3"/>
  <c r="CO61" i="3" s="1"/>
  <c r="CN59" i="3"/>
  <c r="CN61" i="3" s="1"/>
  <c r="FW184" i="3" l="1"/>
  <c r="FW186" i="3" s="1"/>
  <c r="FV184" i="3"/>
  <c r="FV186" i="3" s="1"/>
  <c r="FU184" i="3"/>
  <c r="FU186" i="3" s="1"/>
  <c r="FT184" i="3"/>
  <c r="FT186" i="3" s="1"/>
  <c r="FS184" i="3"/>
  <c r="FS186" i="3" s="1"/>
  <c r="FR184" i="3"/>
  <c r="FR186" i="3" s="1"/>
  <c r="FQ184" i="3"/>
  <c r="FQ186" i="3" s="1"/>
  <c r="FP184" i="3"/>
  <c r="FP186" i="3" s="1"/>
  <c r="FO184" i="3"/>
  <c r="FO186" i="3" s="1"/>
  <c r="FN184" i="3"/>
  <c r="FN186" i="3" s="1"/>
  <c r="FM184" i="3"/>
  <c r="FM186" i="3" s="1"/>
  <c r="FL184" i="3"/>
  <c r="FL186" i="3" s="1"/>
  <c r="FK184" i="3"/>
  <c r="FK186" i="3" s="1"/>
  <c r="FJ184" i="3"/>
  <c r="FJ186" i="3" s="1"/>
  <c r="FI184" i="3"/>
  <c r="FI186" i="3" s="1"/>
  <c r="FH184" i="3"/>
  <c r="FH186" i="3" s="1"/>
  <c r="FG184" i="3"/>
  <c r="FG186" i="3" s="1"/>
  <c r="FF184" i="3"/>
  <c r="FF186" i="3" s="1"/>
  <c r="FE184" i="3"/>
  <c r="FE186" i="3" s="1"/>
  <c r="FD184" i="3"/>
  <c r="FD186" i="3" s="1"/>
  <c r="FC184" i="3"/>
  <c r="FC186" i="3" s="1"/>
  <c r="FB184" i="3"/>
  <c r="FB186" i="3" s="1"/>
  <c r="FA184" i="3"/>
  <c r="FA186" i="3" s="1"/>
  <c r="EZ184" i="3"/>
  <c r="EZ186" i="3" s="1"/>
  <c r="EY184" i="3"/>
  <c r="EY186" i="3" s="1"/>
  <c r="EX184" i="3"/>
  <c r="EX186" i="3" s="1"/>
  <c r="EW184" i="3"/>
  <c r="EW186" i="3" s="1"/>
  <c r="EV184" i="3"/>
  <c r="EV186" i="3" s="1"/>
  <c r="EU184" i="3"/>
  <c r="EU186" i="3" s="1"/>
  <c r="ET184" i="3"/>
  <c r="ET186" i="3" s="1"/>
  <c r="ES184" i="3"/>
  <c r="ES186" i="3" s="1"/>
  <c r="ER184" i="3"/>
  <c r="ER186" i="3" s="1"/>
  <c r="EQ184" i="3"/>
  <c r="EQ186" i="3" s="1"/>
  <c r="EP184" i="3"/>
  <c r="EP186" i="3" s="1"/>
  <c r="EO184" i="3"/>
  <c r="EO186" i="3" s="1"/>
  <c r="EN184" i="3"/>
  <c r="EN186" i="3" s="1"/>
  <c r="EM184" i="3"/>
  <c r="EM186" i="3" s="1"/>
  <c r="EL184" i="3"/>
  <c r="EL186" i="3" s="1"/>
  <c r="EK184" i="3"/>
  <c r="EK186" i="3" s="1"/>
  <c r="EJ184" i="3"/>
  <c r="EJ186" i="3" s="1"/>
  <c r="EI184" i="3"/>
  <c r="EI186" i="3" s="1"/>
  <c r="EH184" i="3"/>
  <c r="EH186" i="3" s="1"/>
  <c r="EG184" i="3"/>
  <c r="EG186" i="3" s="1"/>
  <c r="EF184" i="3"/>
  <c r="EF186" i="3" s="1"/>
  <c r="EE184" i="3"/>
  <c r="EE186" i="3" s="1"/>
  <c r="ED184" i="3"/>
  <c r="ED186" i="3" s="1"/>
  <c r="EC184" i="3"/>
  <c r="EC186" i="3" s="1"/>
  <c r="EB184" i="3"/>
  <c r="EB186" i="3" s="1"/>
  <c r="EA184" i="3"/>
  <c r="EA186" i="3" s="1"/>
  <c r="DZ184" i="3"/>
  <c r="DZ186" i="3" s="1"/>
  <c r="DY184" i="3"/>
  <c r="DY186" i="3" s="1"/>
  <c r="DX184" i="3"/>
  <c r="DX186" i="3" s="1"/>
  <c r="DW184" i="3"/>
  <c r="DW186" i="3" s="1"/>
  <c r="DV184" i="3"/>
  <c r="DV186" i="3" s="1"/>
  <c r="DU184" i="3"/>
  <c r="DU186" i="3" s="1"/>
  <c r="DT184" i="3"/>
  <c r="DT186" i="3" s="1"/>
  <c r="DS184" i="3"/>
  <c r="DS186" i="3" s="1"/>
  <c r="DR184" i="3"/>
  <c r="DR186" i="3" s="1"/>
  <c r="DQ184" i="3"/>
  <c r="DQ186" i="3" s="1"/>
  <c r="DP184" i="3"/>
  <c r="DP186" i="3" s="1"/>
  <c r="DO184" i="3"/>
  <c r="DO186" i="3" s="1"/>
  <c r="DN184" i="3"/>
  <c r="DN186" i="3" s="1"/>
  <c r="DM184" i="3"/>
  <c r="DM186" i="3" s="1"/>
  <c r="DL184" i="3"/>
  <c r="DL186" i="3" s="1"/>
  <c r="DK184" i="3"/>
  <c r="DK186" i="3" s="1"/>
  <c r="DJ184" i="3"/>
  <c r="DJ186" i="3" s="1"/>
  <c r="DI184" i="3"/>
  <c r="DI186" i="3" s="1"/>
  <c r="DH184" i="3"/>
  <c r="DH186" i="3" s="1"/>
  <c r="DG184" i="3"/>
  <c r="DG186" i="3" s="1"/>
  <c r="DF184" i="3"/>
  <c r="DF186" i="3" s="1"/>
  <c r="DE184" i="3"/>
  <c r="DE186" i="3" s="1"/>
  <c r="DD184" i="3"/>
  <c r="DD186" i="3" s="1"/>
  <c r="DC184" i="3"/>
  <c r="DC186" i="3" s="1"/>
  <c r="DB184" i="3"/>
  <c r="DB186" i="3" s="1"/>
  <c r="DA184" i="3"/>
  <c r="DA186" i="3" s="1"/>
  <c r="CZ184" i="3"/>
  <c r="CZ186" i="3" s="1"/>
  <c r="CY184" i="3"/>
  <c r="CY186" i="3" s="1"/>
  <c r="CX184" i="3"/>
  <c r="CX186" i="3" s="1"/>
  <c r="CW184" i="3"/>
  <c r="CW186" i="3" s="1"/>
  <c r="CV184" i="3"/>
  <c r="CV186" i="3" s="1"/>
  <c r="CU184" i="3"/>
  <c r="CU186" i="3" s="1"/>
  <c r="CT184" i="3"/>
  <c r="CT186" i="3" s="1"/>
  <c r="CS184" i="3"/>
  <c r="CS186" i="3" s="1"/>
  <c r="CR184" i="3"/>
  <c r="CR186" i="3" s="1"/>
  <c r="CQ184" i="3"/>
  <c r="CQ186" i="3" s="1"/>
  <c r="CP184" i="3"/>
  <c r="CP186" i="3" s="1"/>
  <c r="CO184" i="3"/>
  <c r="CO186" i="3" s="1"/>
  <c r="CN184" i="3"/>
  <c r="CN186" i="3" s="1"/>
  <c r="FW179" i="3"/>
  <c r="FV179" i="3"/>
  <c r="FU179" i="3"/>
  <c r="FT179" i="3"/>
  <c r="FS179" i="3"/>
  <c r="FR179" i="3"/>
  <c r="FQ179" i="3"/>
  <c r="FP179" i="3"/>
  <c r="FO179" i="3"/>
  <c r="FN179" i="3"/>
  <c r="FM179" i="3"/>
  <c r="FL179" i="3"/>
  <c r="FK179" i="3"/>
  <c r="FJ179" i="3"/>
  <c r="FI179" i="3"/>
  <c r="FH179" i="3"/>
  <c r="FG179" i="3"/>
  <c r="FF179" i="3"/>
  <c r="FE179" i="3"/>
  <c r="FD179" i="3"/>
  <c r="FC179" i="3"/>
  <c r="FB179" i="3"/>
  <c r="FA179" i="3"/>
  <c r="EZ179" i="3"/>
  <c r="EY179" i="3"/>
  <c r="EX179" i="3"/>
  <c r="EW179" i="3"/>
  <c r="EV179" i="3"/>
  <c r="EU179" i="3"/>
  <c r="ET179" i="3"/>
  <c r="ES179" i="3"/>
  <c r="ER179" i="3"/>
  <c r="EQ179" i="3"/>
  <c r="EP179" i="3"/>
  <c r="EO179" i="3"/>
  <c r="EN179" i="3"/>
  <c r="EM179" i="3"/>
  <c r="EL179" i="3"/>
  <c r="EK179" i="3"/>
  <c r="EJ179" i="3"/>
  <c r="EI179" i="3"/>
  <c r="EH179" i="3"/>
  <c r="EG179" i="3"/>
  <c r="EF179" i="3"/>
  <c r="EE179" i="3"/>
  <c r="ED179" i="3"/>
  <c r="EC179" i="3"/>
  <c r="EB179" i="3"/>
  <c r="EA179" i="3"/>
  <c r="DZ179" i="3"/>
  <c r="DY179" i="3"/>
  <c r="DX179" i="3"/>
  <c r="DW179" i="3"/>
  <c r="DV179" i="3"/>
  <c r="DU179" i="3"/>
  <c r="DT179" i="3"/>
  <c r="DS179" i="3"/>
  <c r="DR179" i="3"/>
  <c r="DQ179" i="3"/>
  <c r="DP179" i="3"/>
  <c r="DO179" i="3"/>
  <c r="DN179" i="3"/>
  <c r="DM179" i="3"/>
  <c r="DL179" i="3"/>
  <c r="DK179" i="3"/>
  <c r="DJ179" i="3"/>
  <c r="DI179" i="3"/>
  <c r="DH179" i="3"/>
  <c r="DG179" i="3"/>
  <c r="DF179" i="3"/>
  <c r="DE179" i="3"/>
  <c r="DD179" i="3"/>
  <c r="DC179" i="3"/>
  <c r="DB179" i="3"/>
  <c r="DA179" i="3"/>
  <c r="CZ179" i="3"/>
  <c r="CY179" i="3"/>
  <c r="CX179" i="3"/>
  <c r="CW179" i="3"/>
  <c r="CV179" i="3"/>
  <c r="CU179" i="3"/>
  <c r="CT179" i="3"/>
  <c r="CS179" i="3"/>
  <c r="CR179" i="3"/>
  <c r="CQ179" i="3"/>
  <c r="CP179" i="3"/>
  <c r="CO179" i="3"/>
  <c r="CN179" i="3"/>
  <c r="FW178" i="3"/>
  <c r="FV178" i="3"/>
  <c r="FV180" i="3" s="1"/>
  <c r="FU178" i="3"/>
  <c r="FU180" i="3" s="1"/>
  <c r="FT178" i="3"/>
  <c r="FT180" i="3" s="1"/>
  <c r="FS178" i="3"/>
  <c r="FR178" i="3"/>
  <c r="FR180" i="3" s="1"/>
  <c r="FQ178" i="3"/>
  <c r="FQ180" i="3" s="1"/>
  <c r="FP178" i="3"/>
  <c r="FP180" i="3" s="1"/>
  <c r="FO178" i="3"/>
  <c r="FO180" i="3" s="1"/>
  <c r="FN178" i="3"/>
  <c r="FN180" i="3" s="1"/>
  <c r="FM178" i="3"/>
  <c r="FM180" i="3" s="1"/>
  <c r="FL178" i="3"/>
  <c r="FL180" i="3" s="1"/>
  <c r="FK178" i="3"/>
  <c r="FK180" i="3" s="1"/>
  <c r="FJ178" i="3"/>
  <c r="FJ180" i="3" s="1"/>
  <c r="FI178" i="3"/>
  <c r="FH178" i="3"/>
  <c r="FH180" i="3" s="1"/>
  <c r="FG178" i="3"/>
  <c r="FG180" i="3" s="1"/>
  <c r="FF178" i="3"/>
  <c r="FF180" i="3" s="1"/>
  <c r="FE178" i="3"/>
  <c r="FE180" i="3" s="1"/>
  <c r="FD178" i="3"/>
  <c r="FD180" i="3" s="1"/>
  <c r="FC178" i="3"/>
  <c r="FC180" i="3" s="1"/>
  <c r="FB178" i="3"/>
  <c r="FA178" i="3"/>
  <c r="FA180" i="3" s="1"/>
  <c r="EZ178" i="3"/>
  <c r="EZ180" i="3" s="1"/>
  <c r="EY178" i="3"/>
  <c r="EY180" i="3" s="1"/>
  <c r="EX178" i="3"/>
  <c r="EX180" i="3" s="1"/>
  <c r="EW178" i="3"/>
  <c r="EW180" i="3" s="1"/>
  <c r="EV178" i="3"/>
  <c r="EV180" i="3" s="1"/>
  <c r="EU178" i="3"/>
  <c r="EU180" i="3" s="1"/>
  <c r="ET178" i="3"/>
  <c r="ET180" i="3" s="1"/>
  <c r="ES178" i="3"/>
  <c r="ES180" i="3" s="1"/>
  <c r="ER178" i="3"/>
  <c r="ER180" i="3" s="1"/>
  <c r="EQ178" i="3"/>
  <c r="EQ180" i="3" s="1"/>
  <c r="EP178" i="3"/>
  <c r="EP180" i="3" s="1"/>
  <c r="EO178" i="3"/>
  <c r="EO180" i="3" s="1"/>
  <c r="EN178" i="3"/>
  <c r="EN180" i="3" s="1"/>
  <c r="EM178" i="3"/>
  <c r="EM180" i="3" s="1"/>
  <c r="EL178" i="3"/>
  <c r="EL180" i="3" s="1"/>
  <c r="EK178" i="3"/>
  <c r="EK180" i="3" s="1"/>
  <c r="EJ178" i="3"/>
  <c r="EJ180" i="3" s="1"/>
  <c r="EI178" i="3"/>
  <c r="EI180" i="3" s="1"/>
  <c r="EH178" i="3"/>
  <c r="EH180" i="3" s="1"/>
  <c r="EG178" i="3"/>
  <c r="EG180" i="3" s="1"/>
  <c r="EF178" i="3"/>
  <c r="EF180" i="3" s="1"/>
  <c r="EE178" i="3"/>
  <c r="EE180" i="3" s="1"/>
  <c r="ED178" i="3"/>
  <c r="ED180" i="3" s="1"/>
  <c r="EC178" i="3"/>
  <c r="EC180" i="3" s="1"/>
  <c r="EB178" i="3"/>
  <c r="EB180" i="3" s="1"/>
  <c r="EA178" i="3"/>
  <c r="EA180" i="3" s="1"/>
  <c r="DZ178" i="3"/>
  <c r="DZ180" i="3" s="1"/>
  <c r="DY178" i="3"/>
  <c r="DY180" i="3" s="1"/>
  <c r="DX178" i="3"/>
  <c r="DX180" i="3" s="1"/>
  <c r="DW178" i="3"/>
  <c r="DW180" i="3" s="1"/>
  <c r="DV178" i="3"/>
  <c r="DV180" i="3" s="1"/>
  <c r="DU178" i="3"/>
  <c r="DU180" i="3" s="1"/>
  <c r="DT178" i="3"/>
  <c r="DT180" i="3" s="1"/>
  <c r="DS178" i="3"/>
  <c r="DS180" i="3" s="1"/>
  <c r="DR178" i="3"/>
  <c r="DR180" i="3" s="1"/>
  <c r="DQ178" i="3"/>
  <c r="DQ180" i="3" s="1"/>
  <c r="DP178" i="3"/>
  <c r="DP180" i="3" s="1"/>
  <c r="DO178" i="3"/>
  <c r="DO180" i="3" s="1"/>
  <c r="DN178" i="3"/>
  <c r="DN180" i="3" s="1"/>
  <c r="DM178" i="3"/>
  <c r="DM180" i="3" s="1"/>
  <c r="DL178" i="3"/>
  <c r="DL180" i="3" s="1"/>
  <c r="DK178" i="3"/>
  <c r="DK180" i="3" s="1"/>
  <c r="DJ178" i="3"/>
  <c r="DJ180" i="3" s="1"/>
  <c r="DI178" i="3"/>
  <c r="DI180" i="3" s="1"/>
  <c r="DH178" i="3"/>
  <c r="DH180" i="3" s="1"/>
  <c r="DG178" i="3"/>
  <c r="DG180" i="3" s="1"/>
  <c r="DF178" i="3"/>
  <c r="DF180" i="3" s="1"/>
  <c r="DE178" i="3"/>
  <c r="DD178" i="3"/>
  <c r="DD180" i="3" s="1"/>
  <c r="DC178" i="3"/>
  <c r="DB178" i="3"/>
  <c r="DB180" i="3" s="1"/>
  <c r="DA178" i="3"/>
  <c r="DA180" i="3" s="1"/>
  <c r="CZ178" i="3"/>
  <c r="CZ180" i="3" s="1"/>
  <c r="CY178" i="3"/>
  <c r="CY180" i="3" s="1"/>
  <c r="CX178" i="3"/>
  <c r="CX180" i="3" s="1"/>
  <c r="CW178" i="3"/>
  <c r="CW180" i="3" s="1"/>
  <c r="CV178" i="3"/>
  <c r="CV180" i="3" s="1"/>
  <c r="CU178" i="3"/>
  <c r="CU180" i="3" s="1"/>
  <c r="CT178" i="3"/>
  <c r="CT180" i="3" s="1"/>
  <c r="CS178" i="3"/>
  <c r="CS180" i="3" s="1"/>
  <c r="CR178" i="3"/>
  <c r="CR180" i="3" s="1"/>
  <c r="CQ178" i="3"/>
  <c r="CQ180" i="3" s="1"/>
  <c r="CP178" i="3"/>
  <c r="CP180" i="3" s="1"/>
  <c r="CO178" i="3"/>
  <c r="CO180" i="3" s="1"/>
  <c r="CN178" i="3"/>
  <c r="CN180" i="3" s="1"/>
  <c r="FW174" i="3"/>
  <c r="FV174" i="3"/>
  <c r="FU174" i="3"/>
  <c r="FT174" i="3"/>
  <c r="FS174" i="3"/>
  <c r="FR174" i="3"/>
  <c r="FQ174" i="3"/>
  <c r="FP174" i="3"/>
  <c r="FO174" i="3"/>
  <c r="FN174" i="3"/>
  <c r="FM174" i="3"/>
  <c r="FL174" i="3"/>
  <c r="FK174" i="3"/>
  <c r="FJ174" i="3"/>
  <c r="FI174" i="3"/>
  <c r="FH174" i="3"/>
  <c r="FG174" i="3"/>
  <c r="FF174" i="3"/>
  <c r="FE174" i="3"/>
  <c r="FD174" i="3"/>
  <c r="FC174" i="3"/>
  <c r="FB174" i="3"/>
  <c r="FA174" i="3"/>
  <c r="EZ174" i="3"/>
  <c r="EY174" i="3"/>
  <c r="EX174" i="3"/>
  <c r="EW174" i="3"/>
  <c r="EV174" i="3"/>
  <c r="EU174" i="3"/>
  <c r="ET174" i="3"/>
  <c r="ES174" i="3"/>
  <c r="ER174" i="3"/>
  <c r="EQ174" i="3"/>
  <c r="EP174" i="3"/>
  <c r="EO174" i="3"/>
  <c r="EN174" i="3"/>
  <c r="EM174" i="3"/>
  <c r="EL174" i="3"/>
  <c r="EK174" i="3"/>
  <c r="EJ174" i="3"/>
  <c r="EI174" i="3"/>
  <c r="EH174" i="3"/>
  <c r="EG174" i="3"/>
  <c r="EF174" i="3"/>
  <c r="EE174" i="3"/>
  <c r="ED174" i="3"/>
  <c r="EC174" i="3"/>
  <c r="EB174" i="3"/>
  <c r="EA174" i="3"/>
  <c r="DZ174" i="3"/>
  <c r="DY174" i="3"/>
  <c r="DX174" i="3"/>
  <c r="DW174" i="3"/>
  <c r="DV174" i="3"/>
  <c r="DU174" i="3"/>
  <c r="DT174" i="3"/>
  <c r="DS174" i="3"/>
  <c r="DR174" i="3"/>
  <c r="DQ174" i="3"/>
  <c r="DP174" i="3"/>
  <c r="DO174" i="3"/>
  <c r="DN174" i="3"/>
  <c r="DM174" i="3"/>
  <c r="DL174" i="3"/>
  <c r="DK174" i="3"/>
  <c r="DJ174" i="3"/>
  <c r="DI174" i="3"/>
  <c r="DH174" i="3"/>
  <c r="DG174" i="3"/>
  <c r="DF174" i="3"/>
  <c r="DE174" i="3"/>
  <c r="DD174" i="3"/>
  <c r="DC174" i="3"/>
  <c r="DB174" i="3"/>
  <c r="DA174" i="3"/>
  <c r="CZ174" i="3"/>
  <c r="CY174" i="3"/>
  <c r="CX174" i="3"/>
  <c r="CW174" i="3"/>
  <c r="CV174" i="3"/>
  <c r="CU174" i="3"/>
  <c r="CT174" i="3"/>
  <c r="CS174" i="3"/>
  <c r="CR174" i="3"/>
  <c r="CQ174" i="3"/>
  <c r="CP174" i="3"/>
  <c r="CO174" i="3"/>
  <c r="CN174" i="3"/>
  <c r="C176" i="3"/>
  <c r="FW173" i="3"/>
  <c r="FV173" i="3"/>
  <c r="FU173" i="3"/>
  <c r="FT173" i="3"/>
  <c r="FS173" i="3"/>
  <c r="FR173" i="3"/>
  <c r="FQ173" i="3"/>
  <c r="FP173" i="3"/>
  <c r="FO173" i="3"/>
  <c r="FN173" i="3"/>
  <c r="FM173" i="3"/>
  <c r="FL173" i="3"/>
  <c r="FK173" i="3"/>
  <c r="FJ173" i="3"/>
  <c r="FI173" i="3"/>
  <c r="FH173" i="3"/>
  <c r="FG173" i="3"/>
  <c r="FF173" i="3"/>
  <c r="FE173" i="3"/>
  <c r="FD173" i="3"/>
  <c r="FC173" i="3"/>
  <c r="FB173" i="3"/>
  <c r="FA173" i="3"/>
  <c r="EZ173" i="3"/>
  <c r="EY173" i="3"/>
  <c r="EX173" i="3"/>
  <c r="EW173" i="3"/>
  <c r="EV173" i="3"/>
  <c r="EU173" i="3"/>
  <c r="ET173" i="3"/>
  <c r="ES173" i="3"/>
  <c r="ER173" i="3"/>
  <c r="EQ173" i="3"/>
  <c r="EP173" i="3"/>
  <c r="EO173" i="3"/>
  <c r="EN173" i="3"/>
  <c r="EM173" i="3"/>
  <c r="EL173" i="3"/>
  <c r="EK173" i="3"/>
  <c r="EJ173" i="3"/>
  <c r="EI173" i="3"/>
  <c r="EH173" i="3"/>
  <c r="EG173" i="3"/>
  <c r="EF173" i="3"/>
  <c r="EE173" i="3"/>
  <c r="ED173" i="3"/>
  <c r="EC173" i="3"/>
  <c r="EB173" i="3"/>
  <c r="EA173" i="3"/>
  <c r="DZ173" i="3"/>
  <c r="DY173" i="3"/>
  <c r="DX173" i="3"/>
  <c r="DW173" i="3"/>
  <c r="DV173" i="3"/>
  <c r="DU173" i="3"/>
  <c r="DT173" i="3"/>
  <c r="DS173" i="3"/>
  <c r="DR173" i="3"/>
  <c r="DQ173" i="3"/>
  <c r="DP173" i="3"/>
  <c r="DO173" i="3"/>
  <c r="DN173" i="3"/>
  <c r="DM173" i="3"/>
  <c r="DL173" i="3"/>
  <c r="DK173" i="3"/>
  <c r="DJ173" i="3"/>
  <c r="DI173" i="3"/>
  <c r="DH173" i="3"/>
  <c r="DG173" i="3"/>
  <c r="DF173" i="3"/>
  <c r="DE173" i="3"/>
  <c r="DD173" i="3"/>
  <c r="DC173" i="3"/>
  <c r="DB173" i="3"/>
  <c r="DA173" i="3"/>
  <c r="CZ173" i="3"/>
  <c r="CY173" i="3"/>
  <c r="CX173" i="3"/>
  <c r="CW173" i="3"/>
  <c r="CV173" i="3"/>
  <c r="CU173" i="3"/>
  <c r="CT173" i="3"/>
  <c r="CS173" i="3"/>
  <c r="CR173" i="3"/>
  <c r="CQ173" i="3"/>
  <c r="CP173" i="3"/>
  <c r="CO173" i="3"/>
  <c r="CN173" i="3"/>
  <c r="FW175" i="3"/>
  <c r="FV175" i="3"/>
  <c r="FU175" i="3"/>
  <c r="FT175" i="3"/>
  <c r="FS175" i="3"/>
  <c r="FR175" i="3"/>
  <c r="FQ175" i="3"/>
  <c r="FP175" i="3"/>
  <c r="FO175" i="3"/>
  <c r="FN175" i="3"/>
  <c r="FM175" i="3"/>
  <c r="FL175" i="3"/>
  <c r="FK175" i="3"/>
  <c r="FJ175" i="3"/>
  <c r="FI175" i="3"/>
  <c r="FH175" i="3"/>
  <c r="FG175" i="3"/>
  <c r="FF175" i="3"/>
  <c r="FE175" i="3"/>
  <c r="FD175" i="3"/>
  <c r="FC175" i="3"/>
  <c r="FB175" i="3"/>
  <c r="FA175" i="3"/>
  <c r="EZ175" i="3"/>
  <c r="EY175" i="3"/>
  <c r="EX175" i="3"/>
  <c r="EW175" i="3"/>
  <c r="EV175" i="3"/>
  <c r="EU175" i="3"/>
  <c r="ET175" i="3"/>
  <c r="ES175" i="3"/>
  <c r="ER175" i="3"/>
  <c r="EQ175" i="3"/>
  <c r="EP175" i="3"/>
  <c r="EO175" i="3"/>
  <c r="EN175" i="3"/>
  <c r="EM175" i="3"/>
  <c r="EL175" i="3"/>
  <c r="EK175" i="3"/>
  <c r="EJ175" i="3"/>
  <c r="EI175" i="3"/>
  <c r="EH175" i="3"/>
  <c r="EG175" i="3"/>
  <c r="EF175" i="3"/>
  <c r="EE175" i="3"/>
  <c r="ED175" i="3"/>
  <c r="EC175" i="3"/>
  <c r="EB175" i="3"/>
  <c r="EA175" i="3"/>
  <c r="DZ175" i="3"/>
  <c r="DY175" i="3"/>
  <c r="DX175" i="3"/>
  <c r="DW175" i="3"/>
  <c r="DV175" i="3"/>
  <c r="DU175" i="3"/>
  <c r="DT175" i="3"/>
  <c r="DS175" i="3"/>
  <c r="DR175" i="3"/>
  <c r="DQ175" i="3"/>
  <c r="DP175" i="3"/>
  <c r="DO175" i="3"/>
  <c r="DN175" i="3"/>
  <c r="DM175" i="3"/>
  <c r="DL175" i="3"/>
  <c r="DK175" i="3"/>
  <c r="DJ175" i="3"/>
  <c r="DI175" i="3"/>
  <c r="DH175" i="3"/>
  <c r="DG175" i="3"/>
  <c r="DF175" i="3"/>
  <c r="DE175" i="3"/>
  <c r="DD175" i="3"/>
  <c r="DC175" i="3"/>
  <c r="DB175" i="3"/>
  <c r="DA175" i="3"/>
  <c r="CZ175" i="3"/>
  <c r="CY175" i="3"/>
  <c r="CX175" i="3"/>
  <c r="CW175" i="3"/>
  <c r="CV175" i="3"/>
  <c r="CU175" i="3"/>
  <c r="CT175" i="3"/>
  <c r="CS175" i="3"/>
  <c r="CR175" i="3"/>
  <c r="CQ175" i="3"/>
  <c r="CP175" i="3"/>
  <c r="CO175" i="3"/>
  <c r="CN175" i="3"/>
  <c r="DE180" i="3" l="1"/>
  <c r="FI180" i="3"/>
  <c r="FS180" i="3"/>
  <c r="FW180" i="3"/>
  <c r="DC180" i="3"/>
  <c r="FB180" i="3"/>
  <c r="EJ176" i="3"/>
  <c r="FP176" i="3"/>
  <c r="CO176" i="3"/>
  <c r="CW176" i="3"/>
  <c r="DE176" i="3"/>
  <c r="DM176" i="3"/>
  <c r="DU176" i="3"/>
  <c r="EC176" i="3"/>
  <c r="EK176" i="3"/>
  <c r="ES176" i="3"/>
  <c r="FA176" i="3"/>
  <c r="FI176" i="3"/>
  <c r="FQ176" i="3"/>
  <c r="DL176" i="3"/>
  <c r="FH176" i="3"/>
  <c r="CP176" i="3"/>
  <c r="CX176" i="3"/>
  <c r="DF176" i="3"/>
  <c r="DN176" i="3"/>
  <c r="DV176" i="3"/>
  <c r="ED176" i="3"/>
  <c r="EL176" i="3"/>
  <c r="ET176" i="3"/>
  <c r="FB176" i="3"/>
  <c r="FJ176" i="3"/>
  <c r="FR176" i="3"/>
  <c r="CV176" i="3"/>
  <c r="ER176" i="3"/>
  <c r="DO176" i="3"/>
  <c r="EU176" i="3"/>
  <c r="DD176" i="3"/>
  <c r="EZ176" i="3"/>
  <c r="DG176" i="3"/>
  <c r="EM176" i="3"/>
  <c r="FS176" i="3"/>
  <c r="CS176" i="3"/>
  <c r="DA176" i="3"/>
  <c r="DI176" i="3"/>
  <c r="DQ176" i="3"/>
  <c r="DY176" i="3"/>
  <c r="EG176" i="3"/>
  <c r="EO176" i="3"/>
  <c r="EW176" i="3"/>
  <c r="FE176" i="3"/>
  <c r="FM176" i="3"/>
  <c r="FU176" i="3"/>
  <c r="CR176" i="3"/>
  <c r="CZ176" i="3"/>
  <c r="DH176" i="3"/>
  <c r="DP176" i="3"/>
  <c r="DX176" i="3"/>
  <c r="EF176" i="3"/>
  <c r="EN176" i="3"/>
  <c r="EV176" i="3"/>
  <c r="FD176" i="3"/>
  <c r="FL176" i="3"/>
  <c r="FT176" i="3"/>
  <c r="EB176" i="3"/>
  <c r="CY176" i="3"/>
  <c r="EE176" i="3"/>
  <c r="FC176" i="3"/>
  <c r="CN176" i="3"/>
  <c r="DT176" i="3"/>
  <c r="CQ176" i="3"/>
  <c r="DW176" i="3"/>
  <c r="FK176" i="3"/>
  <c r="CU176" i="3"/>
  <c r="DC176" i="3"/>
  <c r="DK176" i="3"/>
  <c r="DS176" i="3"/>
  <c r="EA176" i="3"/>
  <c r="EI176" i="3"/>
  <c r="EQ176" i="3"/>
  <c r="EY176" i="3"/>
  <c r="FG176" i="3"/>
  <c r="FO176" i="3"/>
  <c r="FW176" i="3"/>
  <c r="CT176" i="3"/>
  <c r="DB176" i="3"/>
  <c r="DJ176" i="3"/>
  <c r="DR176" i="3"/>
  <c r="DZ176" i="3"/>
  <c r="EH176" i="3"/>
  <c r="EP176" i="3"/>
  <c r="EX176" i="3"/>
  <c r="FF176" i="3"/>
  <c r="FN176" i="3"/>
  <c r="FV176" i="3"/>
  <c r="C171" i="3"/>
  <c r="FW170" i="3"/>
  <c r="FV170" i="3"/>
  <c r="FU170" i="3"/>
  <c r="FT170" i="3"/>
  <c r="FS170" i="3"/>
  <c r="FR170" i="3"/>
  <c r="FQ170" i="3"/>
  <c r="FP170" i="3"/>
  <c r="FO170" i="3"/>
  <c r="FN170" i="3"/>
  <c r="FM170" i="3"/>
  <c r="FL170" i="3"/>
  <c r="FK170" i="3"/>
  <c r="FJ170" i="3"/>
  <c r="FI170" i="3"/>
  <c r="FH170" i="3"/>
  <c r="FG170" i="3"/>
  <c r="FF170" i="3"/>
  <c r="FE170" i="3"/>
  <c r="FD170" i="3"/>
  <c r="FC170" i="3"/>
  <c r="FB170" i="3"/>
  <c r="FA170" i="3"/>
  <c r="EZ170" i="3"/>
  <c r="EY170" i="3"/>
  <c r="EX170" i="3"/>
  <c r="EW170" i="3"/>
  <c r="EV170" i="3"/>
  <c r="EU170" i="3"/>
  <c r="ET170" i="3"/>
  <c r="ES170" i="3"/>
  <c r="ER170" i="3"/>
  <c r="EQ170" i="3"/>
  <c r="EP170" i="3"/>
  <c r="EO170" i="3"/>
  <c r="EN170" i="3"/>
  <c r="EM170" i="3"/>
  <c r="EL170" i="3"/>
  <c r="EK170" i="3"/>
  <c r="EJ170" i="3"/>
  <c r="EI170" i="3"/>
  <c r="EH170" i="3"/>
  <c r="EG170" i="3"/>
  <c r="EF170" i="3"/>
  <c r="EE170" i="3"/>
  <c r="ED170" i="3"/>
  <c r="EC170" i="3"/>
  <c r="EB170" i="3"/>
  <c r="EA170" i="3"/>
  <c r="DZ170" i="3"/>
  <c r="DY170" i="3"/>
  <c r="DX170" i="3"/>
  <c r="DW170" i="3"/>
  <c r="DV170" i="3"/>
  <c r="DU170" i="3"/>
  <c r="DT170" i="3"/>
  <c r="DS170" i="3"/>
  <c r="DR170" i="3"/>
  <c r="DQ170" i="3"/>
  <c r="DP170" i="3"/>
  <c r="DO170" i="3"/>
  <c r="DN170" i="3"/>
  <c r="DM170" i="3"/>
  <c r="DL170" i="3"/>
  <c r="DK170" i="3"/>
  <c r="DJ170" i="3"/>
  <c r="DI170" i="3"/>
  <c r="DH170" i="3"/>
  <c r="DG170" i="3"/>
  <c r="DF170" i="3"/>
  <c r="DE170" i="3"/>
  <c r="DD170" i="3"/>
  <c r="DC170" i="3"/>
  <c r="DB170" i="3"/>
  <c r="DA170" i="3"/>
  <c r="CZ170" i="3"/>
  <c r="CY170" i="3"/>
  <c r="CX170" i="3"/>
  <c r="CW170" i="3"/>
  <c r="CV170" i="3"/>
  <c r="CU170" i="3"/>
  <c r="CT170" i="3"/>
  <c r="CS170" i="3"/>
  <c r="CR170" i="3"/>
  <c r="CQ170" i="3"/>
  <c r="CP170" i="3"/>
  <c r="CO170" i="3"/>
  <c r="CN170" i="3"/>
  <c r="FW169" i="3"/>
  <c r="FV169" i="3"/>
  <c r="FU169" i="3"/>
  <c r="FT169" i="3"/>
  <c r="FS169" i="3"/>
  <c r="FR169" i="3"/>
  <c r="FQ169" i="3"/>
  <c r="FP169" i="3"/>
  <c r="FO169" i="3"/>
  <c r="FN169" i="3"/>
  <c r="FM169" i="3"/>
  <c r="FL169" i="3"/>
  <c r="FK169" i="3"/>
  <c r="FJ169" i="3"/>
  <c r="FI169" i="3"/>
  <c r="FH169" i="3"/>
  <c r="FG169" i="3"/>
  <c r="FF169" i="3"/>
  <c r="FE169" i="3"/>
  <c r="FD169" i="3"/>
  <c r="FC169" i="3"/>
  <c r="FB169" i="3"/>
  <c r="FA169" i="3"/>
  <c r="EZ169" i="3"/>
  <c r="EY169" i="3"/>
  <c r="EX169" i="3"/>
  <c r="EW169" i="3"/>
  <c r="EV169" i="3"/>
  <c r="EU169" i="3"/>
  <c r="ET169" i="3"/>
  <c r="ES169" i="3"/>
  <c r="ER169" i="3"/>
  <c r="EQ169" i="3"/>
  <c r="EP169" i="3"/>
  <c r="EO169" i="3"/>
  <c r="EN169" i="3"/>
  <c r="EM169" i="3"/>
  <c r="EL169" i="3"/>
  <c r="EK169" i="3"/>
  <c r="EJ169" i="3"/>
  <c r="EI169" i="3"/>
  <c r="EH169" i="3"/>
  <c r="EG169" i="3"/>
  <c r="EF169" i="3"/>
  <c r="EE169" i="3"/>
  <c r="ED169" i="3"/>
  <c r="EC169" i="3"/>
  <c r="EB169" i="3"/>
  <c r="EA169" i="3"/>
  <c r="DZ169" i="3"/>
  <c r="DY169" i="3"/>
  <c r="DX169" i="3"/>
  <c r="DW169" i="3"/>
  <c r="DV169" i="3"/>
  <c r="DU169" i="3"/>
  <c r="DT169" i="3"/>
  <c r="DS169" i="3"/>
  <c r="DR169" i="3"/>
  <c r="DQ169" i="3"/>
  <c r="DP169" i="3"/>
  <c r="DO169" i="3"/>
  <c r="DN169" i="3"/>
  <c r="DM169" i="3"/>
  <c r="DL169" i="3"/>
  <c r="DK169" i="3"/>
  <c r="DJ169" i="3"/>
  <c r="DI169" i="3"/>
  <c r="DH169" i="3"/>
  <c r="DG169" i="3"/>
  <c r="DF169" i="3"/>
  <c r="DE169" i="3"/>
  <c r="DD169" i="3"/>
  <c r="DC169" i="3"/>
  <c r="DB169" i="3"/>
  <c r="DA169" i="3"/>
  <c r="CZ169" i="3"/>
  <c r="CY169" i="3"/>
  <c r="CX169" i="3"/>
  <c r="CW169" i="3"/>
  <c r="CV169" i="3"/>
  <c r="CU169" i="3"/>
  <c r="CT169" i="3"/>
  <c r="CS169" i="3"/>
  <c r="CR169" i="3"/>
  <c r="CQ169" i="3"/>
  <c r="CP169" i="3"/>
  <c r="CO169" i="3"/>
  <c r="CN169" i="3"/>
  <c r="FW168" i="3"/>
  <c r="FV168" i="3"/>
  <c r="FU168" i="3"/>
  <c r="FT168" i="3"/>
  <c r="FS168" i="3"/>
  <c r="FR168" i="3"/>
  <c r="FQ168" i="3"/>
  <c r="FP168" i="3"/>
  <c r="FO168" i="3"/>
  <c r="FN168" i="3"/>
  <c r="FM168" i="3"/>
  <c r="FL168" i="3"/>
  <c r="FK168" i="3"/>
  <c r="FJ168" i="3"/>
  <c r="FI168" i="3"/>
  <c r="FH168" i="3"/>
  <c r="FG168" i="3"/>
  <c r="FF168" i="3"/>
  <c r="FE168" i="3"/>
  <c r="FD168" i="3"/>
  <c r="FC168" i="3"/>
  <c r="FB168" i="3"/>
  <c r="FA168" i="3"/>
  <c r="EZ168" i="3"/>
  <c r="EY168" i="3"/>
  <c r="EX168" i="3"/>
  <c r="EW168" i="3"/>
  <c r="EV168" i="3"/>
  <c r="EU168" i="3"/>
  <c r="ET168" i="3"/>
  <c r="ES168" i="3"/>
  <c r="ER168" i="3"/>
  <c r="EQ168" i="3"/>
  <c r="EP168" i="3"/>
  <c r="EO168" i="3"/>
  <c r="EN168" i="3"/>
  <c r="EM168" i="3"/>
  <c r="EL168" i="3"/>
  <c r="EK168" i="3"/>
  <c r="EJ168" i="3"/>
  <c r="EI168" i="3"/>
  <c r="EH168" i="3"/>
  <c r="EG168" i="3"/>
  <c r="EF168" i="3"/>
  <c r="EE168" i="3"/>
  <c r="ED168" i="3"/>
  <c r="EC168" i="3"/>
  <c r="EB168" i="3"/>
  <c r="EA168" i="3"/>
  <c r="DZ168" i="3"/>
  <c r="DY168" i="3"/>
  <c r="DX168" i="3"/>
  <c r="DW168" i="3"/>
  <c r="DV168" i="3"/>
  <c r="DU168" i="3"/>
  <c r="DT168" i="3"/>
  <c r="DS168" i="3"/>
  <c r="DR168" i="3"/>
  <c r="DQ168" i="3"/>
  <c r="DP168" i="3"/>
  <c r="DO168" i="3"/>
  <c r="DN168" i="3"/>
  <c r="DM168" i="3"/>
  <c r="DL168" i="3"/>
  <c r="DK168" i="3"/>
  <c r="DJ168" i="3"/>
  <c r="DI168" i="3"/>
  <c r="DH168" i="3"/>
  <c r="DG168" i="3"/>
  <c r="DF168" i="3"/>
  <c r="DE168" i="3"/>
  <c r="DD168" i="3"/>
  <c r="DC168" i="3"/>
  <c r="DB168" i="3"/>
  <c r="DA168" i="3"/>
  <c r="CZ168" i="3"/>
  <c r="CY168" i="3"/>
  <c r="CX168" i="3"/>
  <c r="CW168" i="3"/>
  <c r="CV168" i="3"/>
  <c r="CU168" i="3"/>
  <c r="CT168" i="3"/>
  <c r="CS168" i="3"/>
  <c r="CR168" i="3"/>
  <c r="CQ168" i="3"/>
  <c r="CP168" i="3"/>
  <c r="CO168" i="3"/>
  <c r="CN168" i="3"/>
  <c r="FW167" i="3"/>
  <c r="FV167" i="3"/>
  <c r="FU167" i="3"/>
  <c r="FT167" i="3"/>
  <c r="FS167" i="3"/>
  <c r="FR167" i="3"/>
  <c r="FQ167" i="3"/>
  <c r="FP167" i="3"/>
  <c r="FO167" i="3"/>
  <c r="FN167" i="3"/>
  <c r="FM167" i="3"/>
  <c r="FL167" i="3"/>
  <c r="FK167" i="3"/>
  <c r="FJ167" i="3"/>
  <c r="FI167" i="3"/>
  <c r="FH167" i="3"/>
  <c r="FG167" i="3"/>
  <c r="FF167" i="3"/>
  <c r="FE167" i="3"/>
  <c r="FD167" i="3"/>
  <c r="FC167" i="3"/>
  <c r="FB167" i="3"/>
  <c r="FA167" i="3"/>
  <c r="EZ167" i="3"/>
  <c r="EY167" i="3"/>
  <c r="EX167" i="3"/>
  <c r="EW167" i="3"/>
  <c r="EV167" i="3"/>
  <c r="EU167" i="3"/>
  <c r="ET167" i="3"/>
  <c r="ES167" i="3"/>
  <c r="ER167" i="3"/>
  <c r="EQ167" i="3"/>
  <c r="EP167" i="3"/>
  <c r="EO167" i="3"/>
  <c r="EN167" i="3"/>
  <c r="EM167" i="3"/>
  <c r="EL167" i="3"/>
  <c r="EK167" i="3"/>
  <c r="EJ167" i="3"/>
  <c r="EI167" i="3"/>
  <c r="EH167" i="3"/>
  <c r="EG167" i="3"/>
  <c r="EF167" i="3"/>
  <c r="EE167" i="3"/>
  <c r="ED167" i="3"/>
  <c r="EC167" i="3"/>
  <c r="EB167" i="3"/>
  <c r="EA167" i="3"/>
  <c r="DZ167" i="3"/>
  <c r="DY167" i="3"/>
  <c r="DX167" i="3"/>
  <c r="DW167" i="3"/>
  <c r="DV167" i="3"/>
  <c r="DU167" i="3"/>
  <c r="DT167" i="3"/>
  <c r="DS167" i="3"/>
  <c r="DR167" i="3"/>
  <c r="DQ167" i="3"/>
  <c r="DP167" i="3"/>
  <c r="DO167" i="3"/>
  <c r="DN167" i="3"/>
  <c r="DM167" i="3"/>
  <c r="DL167" i="3"/>
  <c r="DK167" i="3"/>
  <c r="DJ167" i="3"/>
  <c r="DI167" i="3"/>
  <c r="DH167" i="3"/>
  <c r="DG167" i="3"/>
  <c r="DF167" i="3"/>
  <c r="DE167" i="3"/>
  <c r="DD167" i="3"/>
  <c r="DC167" i="3"/>
  <c r="DB167" i="3"/>
  <c r="DA167" i="3"/>
  <c r="CZ167" i="3"/>
  <c r="CY167" i="3"/>
  <c r="CX167" i="3"/>
  <c r="CW167" i="3"/>
  <c r="CV167" i="3"/>
  <c r="CU167" i="3"/>
  <c r="CT167" i="3"/>
  <c r="CS167" i="3"/>
  <c r="CR167" i="3"/>
  <c r="CQ167" i="3"/>
  <c r="CP167" i="3"/>
  <c r="CO167" i="3"/>
  <c r="CN167" i="3"/>
  <c r="FW166" i="3"/>
  <c r="FV166" i="3"/>
  <c r="FU166" i="3"/>
  <c r="FT166" i="3"/>
  <c r="FS166" i="3"/>
  <c r="FR166" i="3"/>
  <c r="FQ166" i="3"/>
  <c r="FP166" i="3"/>
  <c r="FO166" i="3"/>
  <c r="FN166" i="3"/>
  <c r="FM166" i="3"/>
  <c r="FL166" i="3"/>
  <c r="FK166" i="3"/>
  <c r="FJ166" i="3"/>
  <c r="FI166" i="3"/>
  <c r="FH166" i="3"/>
  <c r="FG166" i="3"/>
  <c r="FF166" i="3"/>
  <c r="FE166" i="3"/>
  <c r="FD166" i="3"/>
  <c r="FC166" i="3"/>
  <c r="FB166" i="3"/>
  <c r="FA166" i="3"/>
  <c r="EZ166" i="3"/>
  <c r="EY166" i="3"/>
  <c r="EX166" i="3"/>
  <c r="EW166" i="3"/>
  <c r="EV166" i="3"/>
  <c r="EU166" i="3"/>
  <c r="ET166" i="3"/>
  <c r="ES166" i="3"/>
  <c r="ER166" i="3"/>
  <c r="EQ166" i="3"/>
  <c r="EP166" i="3"/>
  <c r="EO166" i="3"/>
  <c r="EN166" i="3"/>
  <c r="EM166" i="3"/>
  <c r="EL166" i="3"/>
  <c r="EK166" i="3"/>
  <c r="EJ166" i="3"/>
  <c r="EI166" i="3"/>
  <c r="EH166" i="3"/>
  <c r="EG166" i="3"/>
  <c r="EF166" i="3"/>
  <c r="EE166" i="3"/>
  <c r="ED166" i="3"/>
  <c r="EC166" i="3"/>
  <c r="EB166" i="3"/>
  <c r="EA166" i="3"/>
  <c r="DZ166" i="3"/>
  <c r="DY166" i="3"/>
  <c r="DX166" i="3"/>
  <c r="DW166" i="3"/>
  <c r="DV166" i="3"/>
  <c r="DU166" i="3"/>
  <c r="DT166" i="3"/>
  <c r="DS166" i="3"/>
  <c r="DR166" i="3"/>
  <c r="DQ166" i="3"/>
  <c r="DP166" i="3"/>
  <c r="DO166" i="3"/>
  <c r="DN166" i="3"/>
  <c r="DM166" i="3"/>
  <c r="DL166" i="3"/>
  <c r="DK166" i="3"/>
  <c r="DJ166" i="3"/>
  <c r="DI166" i="3"/>
  <c r="DH166" i="3"/>
  <c r="DG166" i="3"/>
  <c r="DF166" i="3"/>
  <c r="DE166" i="3"/>
  <c r="DD166" i="3"/>
  <c r="DC166" i="3"/>
  <c r="DB166" i="3"/>
  <c r="DA166" i="3"/>
  <c r="CZ166" i="3"/>
  <c r="CY166" i="3"/>
  <c r="CX166" i="3"/>
  <c r="CW166" i="3"/>
  <c r="CV166" i="3"/>
  <c r="CU166" i="3"/>
  <c r="CT166" i="3"/>
  <c r="CS166" i="3"/>
  <c r="CR166" i="3"/>
  <c r="CQ166" i="3"/>
  <c r="CP166" i="3"/>
  <c r="CO166" i="3"/>
  <c r="CN166" i="3"/>
  <c r="FW165" i="3"/>
  <c r="FV165" i="3"/>
  <c r="FU165" i="3"/>
  <c r="FT165" i="3"/>
  <c r="FS165" i="3"/>
  <c r="FR165" i="3"/>
  <c r="FQ165" i="3"/>
  <c r="FP165" i="3"/>
  <c r="FO165" i="3"/>
  <c r="FN165" i="3"/>
  <c r="FM165" i="3"/>
  <c r="FL165" i="3"/>
  <c r="FK165" i="3"/>
  <c r="FJ165" i="3"/>
  <c r="FI165" i="3"/>
  <c r="FH165" i="3"/>
  <c r="FG165" i="3"/>
  <c r="FF165" i="3"/>
  <c r="FE165" i="3"/>
  <c r="FD165" i="3"/>
  <c r="FC165" i="3"/>
  <c r="FB165" i="3"/>
  <c r="FA165" i="3"/>
  <c r="EZ165" i="3"/>
  <c r="EY165" i="3"/>
  <c r="EX165" i="3"/>
  <c r="EW165" i="3"/>
  <c r="EV165" i="3"/>
  <c r="EU165" i="3"/>
  <c r="ET165" i="3"/>
  <c r="ES165" i="3"/>
  <c r="ER165" i="3"/>
  <c r="EQ165" i="3"/>
  <c r="EP165" i="3"/>
  <c r="EO165" i="3"/>
  <c r="EN165" i="3"/>
  <c r="EM165" i="3"/>
  <c r="EL165" i="3"/>
  <c r="EK165" i="3"/>
  <c r="EJ165" i="3"/>
  <c r="EI165" i="3"/>
  <c r="EH165" i="3"/>
  <c r="EG165" i="3"/>
  <c r="EF165" i="3"/>
  <c r="EE165" i="3"/>
  <c r="ED165" i="3"/>
  <c r="EC165" i="3"/>
  <c r="EB165" i="3"/>
  <c r="EA165" i="3"/>
  <c r="DZ165" i="3"/>
  <c r="DY165" i="3"/>
  <c r="DX165" i="3"/>
  <c r="DW165" i="3"/>
  <c r="DV165" i="3"/>
  <c r="DU165" i="3"/>
  <c r="DT165" i="3"/>
  <c r="DS165" i="3"/>
  <c r="DR165" i="3"/>
  <c r="DQ165" i="3"/>
  <c r="DP165" i="3"/>
  <c r="DO165" i="3"/>
  <c r="DN165" i="3"/>
  <c r="DM165" i="3"/>
  <c r="DL165" i="3"/>
  <c r="DK165" i="3"/>
  <c r="DJ165" i="3"/>
  <c r="DI165" i="3"/>
  <c r="DH165" i="3"/>
  <c r="DG165" i="3"/>
  <c r="DF165" i="3"/>
  <c r="DE165" i="3"/>
  <c r="DD165" i="3"/>
  <c r="DC165" i="3"/>
  <c r="DB165" i="3"/>
  <c r="DA165" i="3"/>
  <c r="CZ165" i="3"/>
  <c r="CY165" i="3"/>
  <c r="CX165" i="3"/>
  <c r="CW165" i="3"/>
  <c r="CV165" i="3"/>
  <c r="CU165" i="3"/>
  <c r="CT165" i="3"/>
  <c r="CS165" i="3"/>
  <c r="CR165" i="3"/>
  <c r="CQ165" i="3"/>
  <c r="CP165" i="3"/>
  <c r="CO165" i="3"/>
  <c r="CN165" i="3"/>
  <c r="FW164" i="3"/>
  <c r="FV164" i="3"/>
  <c r="FU164" i="3"/>
  <c r="FT164" i="3"/>
  <c r="FS164" i="3"/>
  <c r="FR164" i="3"/>
  <c r="FQ164" i="3"/>
  <c r="FP164" i="3"/>
  <c r="FO164" i="3"/>
  <c r="FN164" i="3"/>
  <c r="FM164" i="3"/>
  <c r="FL164" i="3"/>
  <c r="FK164" i="3"/>
  <c r="FJ164" i="3"/>
  <c r="FI164" i="3"/>
  <c r="FH164" i="3"/>
  <c r="FG164" i="3"/>
  <c r="FF164" i="3"/>
  <c r="FE164" i="3"/>
  <c r="FD164" i="3"/>
  <c r="FC164" i="3"/>
  <c r="FB164" i="3"/>
  <c r="FA164" i="3"/>
  <c r="EZ164" i="3"/>
  <c r="EY164" i="3"/>
  <c r="EX164" i="3"/>
  <c r="EW164" i="3"/>
  <c r="EV164" i="3"/>
  <c r="EU164" i="3"/>
  <c r="ET164" i="3"/>
  <c r="ES164" i="3"/>
  <c r="ER164" i="3"/>
  <c r="EQ164" i="3"/>
  <c r="EP164" i="3"/>
  <c r="EO164" i="3"/>
  <c r="EN164" i="3"/>
  <c r="EM164" i="3"/>
  <c r="EL164" i="3"/>
  <c r="EK164" i="3"/>
  <c r="EJ164" i="3"/>
  <c r="EI164" i="3"/>
  <c r="EH164" i="3"/>
  <c r="EG164" i="3"/>
  <c r="EF164" i="3"/>
  <c r="EE164" i="3"/>
  <c r="ED164" i="3"/>
  <c r="EC164" i="3"/>
  <c r="EB164" i="3"/>
  <c r="EA164" i="3"/>
  <c r="DZ164" i="3"/>
  <c r="DY164" i="3"/>
  <c r="DX164" i="3"/>
  <c r="DW164" i="3"/>
  <c r="DV164" i="3"/>
  <c r="DU164" i="3"/>
  <c r="DT164" i="3"/>
  <c r="DS164" i="3"/>
  <c r="DR164" i="3"/>
  <c r="DQ164" i="3"/>
  <c r="DP164" i="3"/>
  <c r="DO164" i="3"/>
  <c r="DN164" i="3"/>
  <c r="DM164" i="3"/>
  <c r="DL164" i="3"/>
  <c r="DK164" i="3"/>
  <c r="DJ164" i="3"/>
  <c r="DI164" i="3"/>
  <c r="DH164" i="3"/>
  <c r="DG164" i="3"/>
  <c r="DF164" i="3"/>
  <c r="DE164" i="3"/>
  <c r="DD164" i="3"/>
  <c r="DC164" i="3"/>
  <c r="DB164" i="3"/>
  <c r="DA164" i="3"/>
  <c r="CZ164" i="3"/>
  <c r="CY164" i="3"/>
  <c r="CX164" i="3"/>
  <c r="CW164" i="3"/>
  <c r="CV164" i="3"/>
  <c r="CU164" i="3"/>
  <c r="CT164" i="3"/>
  <c r="CS164" i="3"/>
  <c r="CR164" i="3"/>
  <c r="CQ164" i="3"/>
  <c r="CP164" i="3"/>
  <c r="CO164" i="3"/>
  <c r="CN164" i="3"/>
  <c r="FW163" i="3"/>
  <c r="FV163" i="3"/>
  <c r="FU163" i="3"/>
  <c r="FT163" i="3"/>
  <c r="FS163" i="3"/>
  <c r="FR163" i="3"/>
  <c r="FQ163" i="3"/>
  <c r="FP163" i="3"/>
  <c r="FO163" i="3"/>
  <c r="FN163" i="3"/>
  <c r="FM163" i="3"/>
  <c r="FL163" i="3"/>
  <c r="FK163" i="3"/>
  <c r="FJ163" i="3"/>
  <c r="FI163" i="3"/>
  <c r="FH163" i="3"/>
  <c r="FG163" i="3"/>
  <c r="FF163" i="3"/>
  <c r="FE163" i="3"/>
  <c r="FD163" i="3"/>
  <c r="FC163" i="3"/>
  <c r="FB163" i="3"/>
  <c r="FA163" i="3"/>
  <c r="EZ163" i="3"/>
  <c r="EY163" i="3"/>
  <c r="EX163" i="3"/>
  <c r="EW163" i="3"/>
  <c r="EV163" i="3"/>
  <c r="EU163" i="3"/>
  <c r="ET163" i="3"/>
  <c r="ES163" i="3"/>
  <c r="ER163" i="3"/>
  <c r="EQ163" i="3"/>
  <c r="EP163" i="3"/>
  <c r="EO163" i="3"/>
  <c r="EN163" i="3"/>
  <c r="EM163" i="3"/>
  <c r="EL163" i="3"/>
  <c r="EK163" i="3"/>
  <c r="EJ163" i="3"/>
  <c r="EI163" i="3"/>
  <c r="EH163" i="3"/>
  <c r="EG163" i="3"/>
  <c r="EF163" i="3"/>
  <c r="EE163" i="3"/>
  <c r="ED163" i="3"/>
  <c r="EC163" i="3"/>
  <c r="EB163" i="3"/>
  <c r="EA163" i="3"/>
  <c r="DZ163" i="3"/>
  <c r="DY163" i="3"/>
  <c r="DX163" i="3"/>
  <c r="DW163" i="3"/>
  <c r="DV163" i="3"/>
  <c r="DU163" i="3"/>
  <c r="DT163" i="3"/>
  <c r="DS163" i="3"/>
  <c r="DR163" i="3"/>
  <c r="DQ163" i="3"/>
  <c r="DP163" i="3"/>
  <c r="DO163" i="3"/>
  <c r="DN163" i="3"/>
  <c r="DM163" i="3"/>
  <c r="DL163" i="3"/>
  <c r="DK163" i="3"/>
  <c r="DJ163" i="3"/>
  <c r="DI163" i="3"/>
  <c r="DH163" i="3"/>
  <c r="DG163" i="3"/>
  <c r="DF163" i="3"/>
  <c r="DE163" i="3"/>
  <c r="DD163" i="3"/>
  <c r="DC163" i="3"/>
  <c r="DB163" i="3"/>
  <c r="DA163" i="3"/>
  <c r="CZ163" i="3"/>
  <c r="CY163" i="3"/>
  <c r="CX163" i="3"/>
  <c r="CW163" i="3"/>
  <c r="CV163" i="3"/>
  <c r="CU163" i="3"/>
  <c r="CT163" i="3"/>
  <c r="CS163" i="3"/>
  <c r="CR163" i="3"/>
  <c r="CQ163" i="3"/>
  <c r="CP163" i="3"/>
  <c r="CO163" i="3"/>
  <c r="CN163" i="3"/>
  <c r="FW162" i="3"/>
  <c r="FV162" i="3"/>
  <c r="FU162" i="3"/>
  <c r="FT162" i="3"/>
  <c r="FS162" i="3"/>
  <c r="FR162" i="3"/>
  <c r="FQ162" i="3"/>
  <c r="FP162" i="3"/>
  <c r="FO162" i="3"/>
  <c r="FN162" i="3"/>
  <c r="FM162" i="3"/>
  <c r="FL162" i="3"/>
  <c r="FK162" i="3"/>
  <c r="FJ162" i="3"/>
  <c r="FI162" i="3"/>
  <c r="FH162" i="3"/>
  <c r="FG162" i="3"/>
  <c r="FF162" i="3"/>
  <c r="FE162" i="3"/>
  <c r="FD162" i="3"/>
  <c r="FC162" i="3"/>
  <c r="FB162" i="3"/>
  <c r="FA162" i="3"/>
  <c r="EZ162" i="3"/>
  <c r="EY162" i="3"/>
  <c r="EX162" i="3"/>
  <c r="EW162" i="3"/>
  <c r="EV162" i="3"/>
  <c r="EU162" i="3"/>
  <c r="ET162" i="3"/>
  <c r="ES162" i="3"/>
  <c r="ER162" i="3"/>
  <c r="EQ162" i="3"/>
  <c r="EP162" i="3"/>
  <c r="EO162" i="3"/>
  <c r="EN162" i="3"/>
  <c r="EM162" i="3"/>
  <c r="EL162" i="3"/>
  <c r="EK162" i="3"/>
  <c r="EJ162" i="3"/>
  <c r="EI162" i="3"/>
  <c r="EH162" i="3"/>
  <c r="EG162" i="3"/>
  <c r="EF162" i="3"/>
  <c r="EE162" i="3"/>
  <c r="ED162" i="3"/>
  <c r="EC162" i="3"/>
  <c r="EB162" i="3"/>
  <c r="EA162" i="3"/>
  <c r="DZ162" i="3"/>
  <c r="DY162" i="3"/>
  <c r="DX162" i="3"/>
  <c r="DW162" i="3"/>
  <c r="DV162" i="3"/>
  <c r="DU162" i="3"/>
  <c r="DT162" i="3"/>
  <c r="DS162" i="3"/>
  <c r="DR162" i="3"/>
  <c r="DQ162" i="3"/>
  <c r="DP162" i="3"/>
  <c r="DO162" i="3"/>
  <c r="DN162" i="3"/>
  <c r="DM162" i="3"/>
  <c r="DL162" i="3"/>
  <c r="DK162" i="3"/>
  <c r="DJ162" i="3"/>
  <c r="DI162" i="3"/>
  <c r="DH162" i="3"/>
  <c r="DG162" i="3"/>
  <c r="DF162" i="3"/>
  <c r="DE162" i="3"/>
  <c r="DD162" i="3"/>
  <c r="DC162" i="3"/>
  <c r="DB162" i="3"/>
  <c r="DA162" i="3"/>
  <c r="CZ162" i="3"/>
  <c r="CY162" i="3"/>
  <c r="CX162" i="3"/>
  <c r="CW162" i="3"/>
  <c r="CV162" i="3"/>
  <c r="CU162" i="3"/>
  <c r="CT162" i="3"/>
  <c r="CS162" i="3"/>
  <c r="CR162" i="3"/>
  <c r="CQ162" i="3"/>
  <c r="CP162" i="3"/>
  <c r="CO162" i="3"/>
  <c r="CN162" i="3"/>
  <c r="FW161" i="3"/>
  <c r="FV161" i="3"/>
  <c r="FU161" i="3"/>
  <c r="FT161" i="3"/>
  <c r="FS161" i="3"/>
  <c r="FR161" i="3"/>
  <c r="FQ161" i="3"/>
  <c r="FP161" i="3"/>
  <c r="FO161" i="3"/>
  <c r="FN161" i="3"/>
  <c r="FM161" i="3"/>
  <c r="FL161" i="3"/>
  <c r="FK161" i="3"/>
  <c r="FJ161" i="3"/>
  <c r="FI161" i="3"/>
  <c r="FH161" i="3"/>
  <c r="FG161" i="3"/>
  <c r="FF161" i="3"/>
  <c r="FE161" i="3"/>
  <c r="FD161" i="3"/>
  <c r="FC161" i="3"/>
  <c r="FB161" i="3"/>
  <c r="FA161" i="3"/>
  <c r="EZ161" i="3"/>
  <c r="EY161" i="3"/>
  <c r="EX161" i="3"/>
  <c r="EW161" i="3"/>
  <c r="EV161" i="3"/>
  <c r="EU161" i="3"/>
  <c r="ET161" i="3"/>
  <c r="ES161" i="3"/>
  <c r="ER161" i="3"/>
  <c r="EQ161" i="3"/>
  <c r="EP161" i="3"/>
  <c r="EO161" i="3"/>
  <c r="EN161" i="3"/>
  <c r="EM161" i="3"/>
  <c r="EL161" i="3"/>
  <c r="EK161" i="3"/>
  <c r="EJ161" i="3"/>
  <c r="EI161" i="3"/>
  <c r="EH161" i="3"/>
  <c r="EG161" i="3"/>
  <c r="EF161" i="3"/>
  <c r="EE161" i="3"/>
  <c r="ED161" i="3"/>
  <c r="EC161" i="3"/>
  <c r="EB161" i="3"/>
  <c r="EA161" i="3"/>
  <c r="DZ161" i="3"/>
  <c r="DY161" i="3"/>
  <c r="DX161" i="3"/>
  <c r="DW161" i="3"/>
  <c r="DV161" i="3"/>
  <c r="DU161" i="3"/>
  <c r="DT161" i="3"/>
  <c r="DS161" i="3"/>
  <c r="DR161" i="3"/>
  <c r="DQ161" i="3"/>
  <c r="DP161" i="3"/>
  <c r="DO161" i="3"/>
  <c r="DN161" i="3"/>
  <c r="DM161" i="3"/>
  <c r="DL161" i="3"/>
  <c r="DK161" i="3"/>
  <c r="DJ161" i="3"/>
  <c r="DI161" i="3"/>
  <c r="DH161" i="3"/>
  <c r="DG161" i="3"/>
  <c r="DF161" i="3"/>
  <c r="DE161" i="3"/>
  <c r="DD161" i="3"/>
  <c r="DC161" i="3"/>
  <c r="DB161" i="3"/>
  <c r="DA161" i="3"/>
  <c r="CZ161" i="3"/>
  <c r="CY161" i="3"/>
  <c r="CX161" i="3"/>
  <c r="CW161" i="3"/>
  <c r="CV161" i="3"/>
  <c r="CU161" i="3"/>
  <c r="CT161" i="3"/>
  <c r="CS161" i="3"/>
  <c r="CR161" i="3"/>
  <c r="CQ161" i="3"/>
  <c r="CP161" i="3"/>
  <c r="CO161" i="3"/>
  <c r="CN161" i="3"/>
  <c r="FW160" i="3"/>
  <c r="FW171" i="3" s="1"/>
  <c r="FV160" i="3"/>
  <c r="FV171" i="3" s="1"/>
  <c r="FU160" i="3"/>
  <c r="FT160" i="3"/>
  <c r="FT171" i="3" s="1"/>
  <c r="FS160" i="3"/>
  <c r="FS171" i="3" s="1"/>
  <c r="FR160" i="3"/>
  <c r="FR171" i="3" s="1"/>
  <c r="FQ160" i="3"/>
  <c r="FP160" i="3"/>
  <c r="FO160" i="3"/>
  <c r="FO171" i="3" s="1"/>
  <c r="FN160" i="3"/>
  <c r="FN171" i="3" s="1"/>
  <c r="FM160" i="3"/>
  <c r="FL160" i="3"/>
  <c r="FL171" i="3" s="1"/>
  <c r="FK160" i="3"/>
  <c r="FJ160" i="3"/>
  <c r="FJ171" i="3" s="1"/>
  <c r="FI160" i="3"/>
  <c r="FH160" i="3"/>
  <c r="FH171" i="3" s="1"/>
  <c r="FG160" i="3"/>
  <c r="FG171" i="3" s="1"/>
  <c r="FF160" i="3"/>
  <c r="FF171" i="3" s="1"/>
  <c r="FE160" i="3"/>
  <c r="FD160" i="3"/>
  <c r="FD171" i="3" s="1"/>
  <c r="FC160" i="3"/>
  <c r="FC171" i="3" s="1"/>
  <c r="FB160" i="3"/>
  <c r="FB171" i="3" s="1"/>
  <c r="FA160" i="3"/>
  <c r="EZ160" i="3"/>
  <c r="EZ171" i="3" s="1"/>
  <c r="EY160" i="3"/>
  <c r="EY171" i="3" s="1"/>
  <c r="EX160" i="3"/>
  <c r="EX171" i="3" s="1"/>
  <c r="EW160" i="3"/>
  <c r="EV160" i="3"/>
  <c r="EV171" i="3" s="1"/>
  <c r="EU160" i="3"/>
  <c r="EU171" i="3" s="1"/>
  <c r="ET160" i="3"/>
  <c r="ET171" i="3" s="1"/>
  <c r="ES160" i="3"/>
  <c r="ER160" i="3"/>
  <c r="ER171" i="3" s="1"/>
  <c r="EQ160" i="3"/>
  <c r="EP160" i="3"/>
  <c r="EP171" i="3" s="1"/>
  <c r="EO160" i="3"/>
  <c r="EN160" i="3"/>
  <c r="EN171" i="3" s="1"/>
  <c r="EM160" i="3"/>
  <c r="EM171" i="3" s="1"/>
  <c r="EL160" i="3"/>
  <c r="EL171" i="3" s="1"/>
  <c r="EK160" i="3"/>
  <c r="EJ160" i="3"/>
  <c r="EI160" i="3"/>
  <c r="EI171" i="3" s="1"/>
  <c r="EH160" i="3"/>
  <c r="EH171" i="3" s="1"/>
  <c r="EG160" i="3"/>
  <c r="EF160" i="3"/>
  <c r="EF171" i="3" s="1"/>
  <c r="EE160" i="3"/>
  <c r="EE171" i="3" s="1"/>
  <c r="ED160" i="3"/>
  <c r="ED171" i="3" s="1"/>
  <c r="EC160" i="3"/>
  <c r="EB160" i="3"/>
  <c r="EA160" i="3"/>
  <c r="EA171" i="3" s="1"/>
  <c r="DZ160" i="3"/>
  <c r="DZ171" i="3" s="1"/>
  <c r="DY160" i="3"/>
  <c r="DX160" i="3"/>
  <c r="DX171" i="3" s="1"/>
  <c r="DW160" i="3"/>
  <c r="DW171" i="3" s="1"/>
  <c r="DV160" i="3"/>
  <c r="DV171" i="3" s="1"/>
  <c r="DU160" i="3"/>
  <c r="DT160" i="3"/>
  <c r="DT171" i="3" s="1"/>
  <c r="DS160" i="3"/>
  <c r="DS171" i="3" s="1"/>
  <c r="DR160" i="3"/>
  <c r="DR171" i="3" s="1"/>
  <c r="DQ160" i="3"/>
  <c r="DP160" i="3"/>
  <c r="DP171" i="3" s="1"/>
  <c r="DO160" i="3"/>
  <c r="DO171" i="3" s="1"/>
  <c r="DN160" i="3"/>
  <c r="DN171" i="3" s="1"/>
  <c r="DM160" i="3"/>
  <c r="DL160" i="3"/>
  <c r="DL171" i="3" s="1"/>
  <c r="DK160" i="3"/>
  <c r="DK171" i="3" s="1"/>
  <c r="DJ160" i="3"/>
  <c r="DI160" i="3"/>
  <c r="DH160" i="3"/>
  <c r="DH171" i="3" s="1"/>
  <c r="DG160" i="3"/>
  <c r="DG171" i="3" s="1"/>
  <c r="DF160" i="3"/>
  <c r="DE160" i="3"/>
  <c r="DD160" i="3"/>
  <c r="DD171" i="3" s="1"/>
  <c r="DC160" i="3"/>
  <c r="DC171" i="3" s="1"/>
  <c r="DB160" i="3"/>
  <c r="DB171" i="3" s="1"/>
  <c r="DA160" i="3"/>
  <c r="CZ160" i="3"/>
  <c r="CZ171" i="3" s="1"/>
  <c r="CY160" i="3"/>
  <c r="CX160" i="3"/>
  <c r="CX171" i="3" s="1"/>
  <c r="CW160" i="3"/>
  <c r="CV160" i="3"/>
  <c r="CU160" i="3"/>
  <c r="CU171" i="3" s="1"/>
  <c r="CT160" i="3"/>
  <c r="CT171" i="3" s="1"/>
  <c r="CS160" i="3"/>
  <c r="CR160" i="3"/>
  <c r="CR171" i="3" s="1"/>
  <c r="CQ160" i="3"/>
  <c r="CQ171" i="3" s="1"/>
  <c r="CP160" i="3"/>
  <c r="CP171" i="3" s="1"/>
  <c r="CO160" i="3"/>
  <c r="CN160" i="3"/>
  <c r="FW157" i="3"/>
  <c r="FV157" i="3"/>
  <c r="FU157" i="3"/>
  <c r="FT157" i="3"/>
  <c r="FS157" i="3"/>
  <c r="FR157" i="3"/>
  <c r="FQ157" i="3"/>
  <c r="FP157" i="3"/>
  <c r="FO157" i="3"/>
  <c r="FN157" i="3"/>
  <c r="FM157" i="3"/>
  <c r="FL157" i="3"/>
  <c r="FK157" i="3"/>
  <c r="FJ157" i="3"/>
  <c r="FI157" i="3"/>
  <c r="FH157" i="3"/>
  <c r="FG157" i="3"/>
  <c r="FF157" i="3"/>
  <c r="FE157" i="3"/>
  <c r="FD157" i="3"/>
  <c r="FC157" i="3"/>
  <c r="FB157" i="3"/>
  <c r="FA157" i="3"/>
  <c r="EZ157" i="3"/>
  <c r="EY157" i="3"/>
  <c r="EX157" i="3"/>
  <c r="EW157" i="3"/>
  <c r="EV157" i="3"/>
  <c r="EU157" i="3"/>
  <c r="ET157" i="3"/>
  <c r="ES157" i="3"/>
  <c r="ER157" i="3"/>
  <c r="EQ157" i="3"/>
  <c r="EP157" i="3"/>
  <c r="EO157" i="3"/>
  <c r="EN157" i="3"/>
  <c r="EM157" i="3"/>
  <c r="EL157" i="3"/>
  <c r="EK157" i="3"/>
  <c r="EJ157" i="3"/>
  <c r="EI157" i="3"/>
  <c r="EH157" i="3"/>
  <c r="EG157" i="3"/>
  <c r="EF157" i="3"/>
  <c r="EE157" i="3"/>
  <c r="ED157" i="3"/>
  <c r="EC157" i="3"/>
  <c r="EB157" i="3"/>
  <c r="EA157" i="3"/>
  <c r="DZ157" i="3"/>
  <c r="DY157" i="3"/>
  <c r="DX157" i="3"/>
  <c r="DW157" i="3"/>
  <c r="DV157" i="3"/>
  <c r="DU157" i="3"/>
  <c r="DT157" i="3"/>
  <c r="DS157" i="3"/>
  <c r="DR157" i="3"/>
  <c r="DQ157" i="3"/>
  <c r="DP157" i="3"/>
  <c r="DO157" i="3"/>
  <c r="DN157" i="3"/>
  <c r="DM157" i="3"/>
  <c r="DL157" i="3"/>
  <c r="DK157" i="3"/>
  <c r="DJ157" i="3"/>
  <c r="DI157" i="3"/>
  <c r="DH157" i="3"/>
  <c r="DG157" i="3"/>
  <c r="DF157" i="3"/>
  <c r="DE157" i="3"/>
  <c r="DD157" i="3"/>
  <c r="DC157" i="3"/>
  <c r="DB157" i="3"/>
  <c r="DA157" i="3"/>
  <c r="CZ157" i="3"/>
  <c r="CY157" i="3"/>
  <c r="CX157" i="3"/>
  <c r="CW157" i="3"/>
  <c r="CV157" i="3"/>
  <c r="CU157" i="3"/>
  <c r="CT157" i="3"/>
  <c r="CS157" i="3"/>
  <c r="CR157" i="3"/>
  <c r="CQ157" i="3"/>
  <c r="CP157" i="3"/>
  <c r="CO157" i="3"/>
  <c r="CN157" i="3"/>
  <c r="FW156" i="3"/>
  <c r="FV156" i="3"/>
  <c r="FU156" i="3"/>
  <c r="FT156" i="3"/>
  <c r="FS156" i="3"/>
  <c r="FR156" i="3"/>
  <c r="FQ156" i="3"/>
  <c r="FP156" i="3"/>
  <c r="FO156" i="3"/>
  <c r="FN156" i="3"/>
  <c r="FM156" i="3"/>
  <c r="FL156" i="3"/>
  <c r="FK156" i="3"/>
  <c r="FJ156" i="3"/>
  <c r="FI156" i="3"/>
  <c r="FH156" i="3"/>
  <c r="FG156" i="3"/>
  <c r="FF156" i="3"/>
  <c r="FE156" i="3"/>
  <c r="FD156" i="3"/>
  <c r="FC156" i="3"/>
  <c r="FB156" i="3"/>
  <c r="FA156" i="3"/>
  <c r="EZ156" i="3"/>
  <c r="EY156" i="3"/>
  <c r="EX156" i="3"/>
  <c r="EW156" i="3"/>
  <c r="EV156" i="3"/>
  <c r="EU156" i="3"/>
  <c r="ET156" i="3"/>
  <c r="ES156" i="3"/>
  <c r="ER156" i="3"/>
  <c r="EQ156" i="3"/>
  <c r="EP156" i="3"/>
  <c r="EO156" i="3"/>
  <c r="EN156" i="3"/>
  <c r="EM156" i="3"/>
  <c r="EL156" i="3"/>
  <c r="EK156" i="3"/>
  <c r="EJ156" i="3"/>
  <c r="EI156" i="3"/>
  <c r="EH156" i="3"/>
  <c r="EG156" i="3"/>
  <c r="EF156" i="3"/>
  <c r="EE156" i="3"/>
  <c r="ED156" i="3"/>
  <c r="EC156" i="3"/>
  <c r="EB156" i="3"/>
  <c r="EA156" i="3"/>
  <c r="DZ156" i="3"/>
  <c r="DY156" i="3"/>
  <c r="DX156" i="3"/>
  <c r="DW156" i="3"/>
  <c r="DV156" i="3"/>
  <c r="DU156" i="3"/>
  <c r="DT156" i="3"/>
  <c r="DS156" i="3"/>
  <c r="DR156" i="3"/>
  <c r="DQ156" i="3"/>
  <c r="DP156" i="3"/>
  <c r="DO156" i="3"/>
  <c r="DN156" i="3"/>
  <c r="DM156" i="3"/>
  <c r="DL156" i="3"/>
  <c r="DK156" i="3"/>
  <c r="DJ156" i="3"/>
  <c r="DI156" i="3"/>
  <c r="DH156" i="3"/>
  <c r="DG156" i="3"/>
  <c r="DF156" i="3"/>
  <c r="DE156" i="3"/>
  <c r="DD156" i="3"/>
  <c r="DC156" i="3"/>
  <c r="DB156" i="3"/>
  <c r="DA156" i="3"/>
  <c r="CZ156" i="3"/>
  <c r="CY156" i="3"/>
  <c r="CX156" i="3"/>
  <c r="CW156" i="3"/>
  <c r="CV156" i="3"/>
  <c r="CU156" i="3"/>
  <c r="CT156" i="3"/>
  <c r="CS156" i="3"/>
  <c r="CR156" i="3"/>
  <c r="CQ156" i="3"/>
  <c r="CP156" i="3"/>
  <c r="CO156" i="3"/>
  <c r="CN156" i="3"/>
  <c r="FW155" i="3"/>
  <c r="FV155" i="3"/>
  <c r="FU155" i="3"/>
  <c r="FT155" i="3"/>
  <c r="FS155" i="3"/>
  <c r="FR155" i="3"/>
  <c r="FQ155" i="3"/>
  <c r="FP155" i="3"/>
  <c r="FO155" i="3"/>
  <c r="FN155" i="3"/>
  <c r="FM155" i="3"/>
  <c r="FL155" i="3"/>
  <c r="FK155" i="3"/>
  <c r="FJ155" i="3"/>
  <c r="FI155" i="3"/>
  <c r="FH155" i="3"/>
  <c r="FG155" i="3"/>
  <c r="FF155" i="3"/>
  <c r="FE155" i="3"/>
  <c r="FD155" i="3"/>
  <c r="FC155" i="3"/>
  <c r="FB155" i="3"/>
  <c r="FA155" i="3"/>
  <c r="EZ155" i="3"/>
  <c r="EY155" i="3"/>
  <c r="EX155" i="3"/>
  <c r="EW155" i="3"/>
  <c r="EV155" i="3"/>
  <c r="EU155" i="3"/>
  <c r="ET155" i="3"/>
  <c r="ES155" i="3"/>
  <c r="ER155" i="3"/>
  <c r="EQ155" i="3"/>
  <c r="EP155" i="3"/>
  <c r="EO155" i="3"/>
  <c r="EN155" i="3"/>
  <c r="EM155" i="3"/>
  <c r="EL155" i="3"/>
  <c r="EK155" i="3"/>
  <c r="EJ155" i="3"/>
  <c r="EI155" i="3"/>
  <c r="EH155" i="3"/>
  <c r="EG155" i="3"/>
  <c r="EF155" i="3"/>
  <c r="EE155" i="3"/>
  <c r="ED155" i="3"/>
  <c r="EC155" i="3"/>
  <c r="EB155" i="3"/>
  <c r="EA155" i="3"/>
  <c r="DZ155" i="3"/>
  <c r="DY155" i="3"/>
  <c r="DX155" i="3"/>
  <c r="DW155" i="3"/>
  <c r="DV155" i="3"/>
  <c r="DU155" i="3"/>
  <c r="DT155" i="3"/>
  <c r="DS155" i="3"/>
  <c r="DR155" i="3"/>
  <c r="DQ155" i="3"/>
  <c r="DP155" i="3"/>
  <c r="DO155" i="3"/>
  <c r="DN155" i="3"/>
  <c r="DM155" i="3"/>
  <c r="DL155" i="3"/>
  <c r="DK155" i="3"/>
  <c r="DJ155" i="3"/>
  <c r="DI155" i="3"/>
  <c r="DH155" i="3"/>
  <c r="DG155" i="3"/>
  <c r="DF155" i="3"/>
  <c r="DE155" i="3"/>
  <c r="DD155" i="3"/>
  <c r="DC155" i="3"/>
  <c r="DB155" i="3"/>
  <c r="DA155" i="3"/>
  <c r="CZ155" i="3"/>
  <c r="CY155" i="3"/>
  <c r="CX155" i="3"/>
  <c r="CW155" i="3"/>
  <c r="CV155" i="3"/>
  <c r="CU155" i="3"/>
  <c r="CT155" i="3"/>
  <c r="CS155" i="3"/>
  <c r="CR155" i="3"/>
  <c r="CQ155" i="3"/>
  <c r="CP155" i="3"/>
  <c r="CO155" i="3"/>
  <c r="CN155" i="3"/>
  <c r="FW154" i="3"/>
  <c r="FV154" i="3"/>
  <c r="FU154" i="3"/>
  <c r="FT154" i="3"/>
  <c r="FS154" i="3"/>
  <c r="FR154" i="3"/>
  <c r="FQ154" i="3"/>
  <c r="FP154" i="3"/>
  <c r="FO154" i="3"/>
  <c r="FN154" i="3"/>
  <c r="FM154" i="3"/>
  <c r="FL154" i="3"/>
  <c r="FK154" i="3"/>
  <c r="FJ154" i="3"/>
  <c r="FI154" i="3"/>
  <c r="FH154" i="3"/>
  <c r="FG154" i="3"/>
  <c r="FF154" i="3"/>
  <c r="FE154" i="3"/>
  <c r="FD154" i="3"/>
  <c r="FC154" i="3"/>
  <c r="FB154" i="3"/>
  <c r="FA154" i="3"/>
  <c r="EZ154" i="3"/>
  <c r="EY154" i="3"/>
  <c r="EX154" i="3"/>
  <c r="EW154" i="3"/>
  <c r="EV154" i="3"/>
  <c r="EU154" i="3"/>
  <c r="ET154" i="3"/>
  <c r="ES154" i="3"/>
  <c r="ER154" i="3"/>
  <c r="EQ154" i="3"/>
  <c r="EP154" i="3"/>
  <c r="EO154" i="3"/>
  <c r="EN154" i="3"/>
  <c r="EM154" i="3"/>
  <c r="EL154" i="3"/>
  <c r="EK154" i="3"/>
  <c r="EJ154" i="3"/>
  <c r="EI154" i="3"/>
  <c r="EH154" i="3"/>
  <c r="EG154" i="3"/>
  <c r="EF154" i="3"/>
  <c r="EE154" i="3"/>
  <c r="ED154" i="3"/>
  <c r="EC154" i="3"/>
  <c r="EB154" i="3"/>
  <c r="EA154" i="3"/>
  <c r="DZ154" i="3"/>
  <c r="DY154" i="3"/>
  <c r="DX154" i="3"/>
  <c r="DW154" i="3"/>
  <c r="DV154" i="3"/>
  <c r="DU154" i="3"/>
  <c r="DT154" i="3"/>
  <c r="DS154" i="3"/>
  <c r="DR154" i="3"/>
  <c r="DQ154" i="3"/>
  <c r="DP154" i="3"/>
  <c r="DO154" i="3"/>
  <c r="DN154" i="3"/>
  <c r="DM154" i="3"/>
  <c r="DL154" i="3"/>
  <c r="DK154" i="3"/>
  <c r="DJ154" i="3"/>
  <c r="DI154" i="3"/>
  <c r="DH154" i="3"/>
  <c r="DG154" i="3"/>
  <c r="DF154" i="3"/>
  <c r="DE154" i="3"/>
  <c r="DD154" i="3"/>
  <c r="DC154" i="3"/>
  <c r="DB154" i="3"/>
  <c r="DA154" i="3"/>
  <c r="CZ154" i="3"/>
  <c r="CY154" i="3"/>
  <c r="CX154" i="3"/>
  <c r="CW154" i="3"/>
  <c r="CV154" i="3"/>
  <c r="CU154" i="3"/>
  <c r="CT154" i="3"/>
  <c r="CS154" i="3"/>
  <c r="CR154" i="3"/>
  <c r="CQ154" i="3"/>
  <c r="CP154" i="3"/>
  <c r="CO154" i="3"/>
  <c r="CN154" i="3"/>
  <c r="FW153" i="3"/>
  <c r="FW158" i="3" s="1"/>
  <c r="FV153" i="3"/>
  <c r="FV158" i="3" s="1"/>
  <c r="FU153" i="3"/>
  <c r="FU158" i="3" s="1"/>
  <c r="FT153" i="3"/>
  <c r="FT158" i="3" s="1"/>
  <c r="FS153" i="3"/>
  <c r="FS158" i="3" s="1"/>
  <c r="FR153" i="3"/>
  <c r="FR158" i="3" s="1"/>
  <c r="FQ153" i="3"/>
  <c r="FQ158" i="3" s="1"/>
  <c r="FP153" i="3"/>
  <c r="FP158" i="3" s="1"/>
  <c r="FO153" i="3"/>
  <c r="FO158" i="3" s="1"/>
  <c r="FN153" i="3"/>
  <c r="FN158" i="3" s="1"/>
  <c r="FM153" i="3"/>
  <c r="FM158" i="3" s="1"/>
  <c r="FL153" i="3"/>
  <c r="FL158" i="3" s="1"/>
  <c r="FK153" i="3"/>
  <c r="FK158" i="3" s="1"/>
  <c r="FJ153" i="3"/>
  <c r="FI153" i="3"/>
  <c r="FI158" i="3" s="1"/>
  <c r="FH153" i="3"/>
  <c r="FH158" i="3" s="1"/>
  <c r="FG153" i="3"/>
  <c r="FG158" i="3" s="1"/>
  <c r="FF153" i="3"/>
  <c r="FF158" i="3" s="1"/>
  <c r="FE153" i="3"/>
  <c r="FE158" i="3" s="1"/>
  <c r="FD153" i="3"/>
  <c r="FD158" i="3" s="1"/>
  <c r="FC153" i="3"/>
  <c r="FC158" i="3" s="1"/>
  <c r="FB153" i="3"/>
  <c r="FB158" i="3" s="1"/>
  <c r="FA153" i="3"/>
  <c r="FA158" i="3" s="1"/>
  <c r="EZ153" i="3"/>
  <c r="EZ158" i="3" s="1"/>
  <c r="EY153" i="3"/>
  <c r="EY158" i="3" s="1"/>
  <c r="EX153" i="3"/>
  <c r="EW153" i="3"/>
  <c r="EW158" i="3" s="1"/>
  <c r="EV153" i="3"/>
  <c r="EV158" i="3" s="1"/>
  <c r="EU153" i="3"/>
  <c r="EU158" i="3" s="1"/>
  <c r="ET153" i="3"/>
  <c r="ET158" i="3" s="1"/>
  <c r="ES153" i="3"/>
  <c r="ES158" i="3" s="1"/>
  <c r="ER153" i="3"/>
  <c r="ER158" i="3" s="1"/>
  <c r="EQ153" i="3"/>
  <c r="EQ158" i="3" s="1"/>
  <c r="EP153" i="3"/>
  <c r="EP158" i="3" s="1"/>
  <c r="EO153" i="3"/>
  <c r="EN153" i="3"/>
  <c r="EN158" i="3" s="1"/>
  <c r="EM153" i="3"/>
  <c r="EM158" i="3" s="1"/>
  <c r="EL153" i="3"/>
  <c r="EL158" i="3" s="1"/>
  <c r="EK153" i="3"/>
  <c r="EK158" i="3" s="1"/>
  <c r="EJ153" i="3"/>
  <c r="EJ158" i="3" s="1"/>
  <c r="EI153" i="3"/>
  <c r="EI158" i="3" s="1"/>
  <c r="EH153" i="3"/>
  <c r="EH158" i="3" s="1"/>
  <c r="EG153" i="3"/>
  <c r="EG158" i="3" s="1"/>
  <c r="EF153" i="3"/>
  <c r="EF158" i="3" s="1"/>
  <c r="EE153" i="3"/>
  <c r="EE158" i="3" s="1"/>
  <c r="ED153" i="3"/>
  <c r="ED158" i="3" s="1"/>
  <c r="EC153" i="3"/>
  <c r="EC158" i="3" s="1"/>
  <c r="EB153" i="3"/>
  <c r="EB158" i="3" s="1"/>
  <c r="EA153" i="3"/>
  <c r="EA158" i="3" s="1"/>
  <c r="DZ153" i="3"/>
  <c r="DZ158" i="3" s="1"/>
  <c r="DY153" i="3"/>
  <c r="DY158" i="3" s="1"/>
  <c r="DX153" i="3"/>
  <c r="DX158" i="3" s="1"/>
  <c r="DW153" i="3"/>
  <c r="DW158" i="3" s="1"/>
  <c r="DV153" i="3"/>
  <c r="DV158" i="3" s="1"/>
  <c r="DU153" i="3"/>
  <c r="DU158" i="3" s="1"/>
  <c r="DT153" i="3"/>
  <c r="DS153" i="3"/>
  <c r="DS158" i="3" s="1"/>
  <c r="DR153" i="3"/>
  <c r="DR158" i="3" s="1"/>
  <c r="DQ153" i="3"/>
  <c r="DQ158" i="3" s="1"/>
  <c r="DP153" i="3"/>
  <c r="DP158" i="3" s="1"/>
  <c r="DO153" i="3"/>
  <c r="DO158" i="3" s="1"/>
  <c r="DN153" i="3"/>
  <c r="DN158" i="3" s="1"/>
  <c r="DM153" i="3"/>
  <c r="DM158" i="3" s="1"/>
  <c r="DL153" i="3"/>
  <c r="DL158" i="3" s="1"/>
  <c r="DK153" i="3"/>
  <c r="DK158" i="3" s="1"/>
  <c r="DJ153" i="3"/>
  <c r="DJ158" i="3" s="1"/>
  <c r="DI153" i="3"/>
  <c r="DI158" i="3" s="1"/>
  <c r="DH153" i="3"/>
  <c r="DH158" i="3" s="1"/>
  <c r="DG153" i="3"/>
  <c r="DG158" i="3" s="1"/>
  <c r="DF153" i="3"/>
  <c r="DF158" i="3" s="1"/>
  <c r="DE153" i="3"/>
  <c r="DE158" i="3" s="1"/>
  <c r="DD153" i="3"/>
  <c r="DD158" i="3" s="1"/>
  <c r="DC153" i="3"/>
  <c r="DC158" i="3" s="1"/>
  <c r="DB153" i="3"/>
  <c r="DB158" i="3" s="1"/>
  <c r="DA153" i="3"/>
  <c r="DA158" i="3" s="1"/>
  <c r="CZ153" i="3"/>
  <c r="CZ158" i="3" s="1"/>
  <c r="CY153" i="3"/>
  <c r="CY158" i="3" s="1"/>
  <c r="CX153" i="3"/>
  <c r="CX158" i="3" s="1"/>
  <c r="CW153" i="3"/>
  <c r="CW158" i="3" s="1"/>
  <c r="CV153" i="3"/>
  <c r="CV158" i="3" s="1"/>
  <c r="CU153" i="3"/>
  <c r="CU158" i="3" s="1"/>
  <c r="CT153" i="3"/>
  <c r="CT158" i="3" s="1"/>
  <c r="CS153" i="3"/>
  <c r="CS158" i="3" s="1"/>
  <c r="CR153" i="3"/>
  <c r="CR158" i="3" s="1"/>
  <c r="CQ153" i="3"/>
  <c r="CQ158" i="3" s="1"/>
  <c r="CP153" i="3"/>
  <c r="CP158" i="3" s="1"/>
  <c r="CO153" i="3"/>
  <c r="CO158" i="3" s="1"/>
  <c r="CN153" i="3"/>
  <c r="CN158" i="3" s="1"/>
  <c r="C158" i="3"/>
  <c r="DF171" i="3" l="1"/>
  <c r="FK171" i="3"/>
  <c r="DT158" i="3"/>
  <c r="EO158" i="3"/>
  <c r="CY171" i="3"/>
  <c r="FP171" i="3"/>
  <c r="DJ171" i="3"/>
  <c r="EQ171" i="3"/>
  <c r="FJ158" i="3"/>
  <c r="CV171" i="3"/>
  <c r="EJ171" i="3"/>
  <c r="EX158" i="3"/>
  <c r="CO171" i="3"/>
  <c r="CW171" i="3"/>
  <c r="DE171" i="3"/>
  <c r="DM171" i="3"/>
  <c r="DU171" i="3"/>
  <c r="EC171" i="3"/>
  <c r="EK171" i="3"/>
  <c r="ES171" i="3"/>
  <c r="FA171" i="3"/>
  <c r="FI171" i="3"/>
  <c r="FQ171" i="3"/>
  <c r="CS171" i="3"/>
  <c r="DA171" i="3"/>
  <c r="DQ171" i="3"/>
  <c r="DY171" i="3"/>
  <c r="EG171" i="3"/>
  <c r="EW171" i="3"/>
  <c r="FE171" i="3"/>
  <c r="FM171" i="3"/>
  <c r="DI171" i="3"/>
  <c r="EO171" i="3"/>
  <c r="FU171" i="3"/>
  <c r="EB171" i="3"/>
  <c r="FW150" i="3"/>
  <c r="FV150" i="3"/>
  <c r="FU150" i="3"/>
  <c r="FT150" i="3"/>
  <c r="FS150" i="3"/>
  <c r="FR150" i="3"/>
  <c r="FQ150" i="3"/>
  <c r="FP150" i="3"/>
  <c r="FO150" i="3"/>
  <c r="FN150" i="3"/>
  <c r="FM150" i="3"/>
  <c r="FL150" i="3"/>
  <c r="FK150" i="3"/>
  <c r="FJ150" i="3"/>
  <c r="FI150" i="3"/>
  <c r="FH150" i="3"/>
  <c r="FG150" i="3"/>
  <c r="FF150" i="3"/>
  <c r="FE150" i="3"/>
  <c r="FD150" i="3"/>
  <c r="FC150" i="3"/>
  <c r="FB150" i="3"/>
  <c r="FA150" i="3"/>
  <c r="EZ150" i="3"/>
  <c r="EY150" i="3"/>
  <c r="EX150" i="3"/>
  <c r="EW150" i="3"/>
  <c r="EV150" i="3"/>
  <c r="EU150" i="3"/>
  <c r="ET150" i="3"/>
  <c r="ES150" i="3"/>
  <c r="ER150" i="3"/>
  <c r="EQ150" i="3"/>
  <c r="EP150" i="3"/>
  <c r="EO150" i="3"/>
  <c r="EN150" i="3"/>
  <c r="EM150" i="3"/>
  <c r="EL150" i="3"/>
  <c r="EK150" i="3"/>
  <c r="EJ150" i="3"/>
  <c r="EI150" i="3"/>
  <c r="EH150" i="3"/>
  <c r="EG150" i="3"/>
  <c r="EF150" i="3"/>
  <c r="EE150" i="3"/>
  <c r="ED150" i="3"/>
  <c r="EC150" i="3"/>
  <c r="EB150" i="3"/>
  <c r="EA150" i="3"/>
  <c r="DZ150" i="3"/>
  <c r="DY150" i="3"/>
  <c r="DX150" i="3"/>
  <c r="DW150" i="3"/>
  <c r="DV150" i="3"/>
  <c r="DU150" i="3"/>
  <c r="DT150" i="3"/>
  <c r="DS150" i="3"/>
  <c r="DR150" i="3"/>
  <c r="DQ150" i="3"/>
  <c r="DP150" i="3"/>
  <c r="DO150" i="3"/>
  <c r="DN150" i="3"/>
  <c r="DM150" i="3"/>
  <c r="DL150" i="3"/>
  <c r="DK150" i="3"/>
  <c r="DJ150" i="3"/>
  <c r="DI150" i="3"/>
  <c r="DH150" i="3"/>
  <c r="DG150" i="3"/>
  <c r="DF150" i="3"/>
  <c r="DE150" i="3"/>
  <c r="DD150" i="3"/>
  <c r="DC150" i="3"/>
  <c r="DB150" i="3"/>
  <c r="DA150" i="3"/>
  <c r="CZ150" i="3"/>
  <c r="CY150" i="3"/>
  <c r="CX150" i="3"/>
  <c r="CW150" i="3"/>
  <c r="CV150" i="3"/>
  <c r="CU150" i="3"/>
  <c r="CT150" i="3"/>
  <c r="CS150" i="3"/>
  <c r="CR150" i="3"/>
  <c r="CQ150" i="3"/>
  <c r="CP150" i="3"/>
  <c r="CO150" i="3"/>
  <c r="CN150" i="3"/>
  <c r="FW149" i="3"/>
  <c r="FV149" i="3"/>
  <c r="FU149" i="3"/>
  <c r="FT149" i="3"/>
  <c r="FS149" i="3"/>
  <c r="FR149" i="3"/>
  <c r="FQ149" i="3"/>
  <c r="FP149" i="3"/>
  <c r="FP151" i="3" s="1"/>
  <c r="FO149" i="3"/>
  <c r="FN149" i="3"/>
  <c r="FM149" i="3"/>
  <c r="FL149" i="3"/>
  <c r="FL151" i="3" s="1"/>
  <c r="FK149" i="3"/>
  <c r="FJ149" i="3"/>
  <c r="FI149" i="3"/>
  <c r="FH149" i="3"/>
  <c r="FH151" i="3" s="1"/>
  <c r="FG149" i="3"/>
  <c r="FF149" i="3"/>
  <c r="FE149" i="3"/>
  <c r="FD149" i="3"/>
  <c r="FC149" i="3"/>
  <c r="FC151" i="3" s="1"/>
  <c r="FB149" i="3"/>
  <c r="FA149" i="3"/>
  <c r="EZ149" i="3"/>
  <c r="EZ151" i="3" s="1"/>
  <c r="EY149" i="3"/>
  <c r="EX149" i="3"/>
  <c r="EW149" i="3"/>
  <c r="EW151" i="3" s="1"/>
  <c r="EV149" i="3"/>
  <c r="EU149" i="3"/>
  <c r="EU151" i="3" s="1"/>
  <c r="ET149" i="3"/>
  <c r="ES149" i="3"/>
  <c r="ES151" i="3" s="1"/>
  <c r="ER149" i="3"/>
  <c r="ER151" i="3" s="1"/>
  <c r="EQ149" i="3"/>
  <c r="EQ151" i="3" s="1"/>
  <c r="EP149" i="3"/>
  <c r="EP151" i="3" s="1"/>
  <c r="EO149" i="3"/>
  <c r="EO151" i="3" s="1"/>
  <c r="EN149" i="3"/>
  <c r="EN151" i="3" s="1"/>
  <c r="EM149" i="3"/>
  <c r="EM151" i="3" s="1"/>
  <c r="EL149" i="3"/>
  <c r="EL151" i="3" s="1"/>
  <c r="EK149" i="3"/>
  <c r="EK151" i="3" s="1"/>
  <c r="EJ149" i="3"/>
  <c r="EJ151" i="3" s="1"/>
  <c r="EI149" i="3"/>
  <c r="EI151" i="3" s="1"/>
  <c r="EH149" i="3"/>
  <c r="EH151" i="3" s="1"/>
  <c r="EG149" i="3"/>
  <c r="EG151" i="3" s="1"/>
  <c r="EF149" i="3"/>
  <c r="EF151" i="3" s="1"/>
  <c r="EE149" i="3"/>
  <c r="EE151" i="3" s="1"/>
  <c r="ED149" i="3"/>
  <c r="ED151" i="3" s="1"/>
  <c r="EC149" i="3"/>
  <c r="EC151" i="3" s="1"/>
  <c r="EB149" i="3"/>
  <c r="EB151" i="3" s="1"/>
  <c r="EA149" i="3"/>
  <c r="EA151" i="3" s="1"/>
  <c r="DZ149" i="3"/>
  <c r="DY149" i="3"/>
  <c r="DY151" i="3" s="1"/>
  <c r="DX149" i="3"/>
  <c r="DX151" i="3" s="1"/>
  <c r="DW149" i="3"/>
  <c r="DW151" i="3" s="1"/>
  <c r="DV149" i="3"/>
  <c r="DV151" i="3" s="1"/>
  <c r="DU149" i="3"/>
  <c r="DU151" i="3" s="1"/>
  <c r="DT149" i="3"/>
  <c r="DT151" i="3" s="1"/>
  <c r="DS149" i="3"/>
  <c r="DS151" i="3" s="1"/>
  <c r="DR149" i="3"/>
  <c r="DQ149" i="3"/>
  <c r="DQ151" i="3" s="1"/>
  <c r="DP149" i="3"/>
  <c r="DP151" i="3" s="1"/>
  <c r="DO149" i="3"/>
  <c r="DO151" i="3" s="1"/>
  <c r="DN149" i="3"/>
  <c r="DN151" i="3" s="1"/>
  <c r="DM149" i="3"/>
  <c r="DM151" i="3" s="1"/>
  <c r="DL149" i="3"/>
  <c r="DL151" i="3" s="1"/>
  <c r="DK149" i="3"/>
  <c r="DK151" i="3" s="1"/>
  <c r="DJ149" i="3"/>
  <c r="DJ151" i="3" s="1"/>
  <c r="DI149" i="3"/>
  <c r="DI151" i="3" s="1"/>
  <c r="DH149" i="3"/>
  <c r="DH151" i="3" s="1"/>
  <c r="DG149" i="3"/>
  <c r="DG151" i="3" s="1"/>
  <c r="DF149" i="3"/>
  <c r="DF151" i="3" s="1"/>
  <c r="DE149" i="3"/>
  <c r="DE151" i="3" s="1"/>
  <c r="DD149" i="3"/>
  <c r="DC149" i="3"/>
  <c r="DC151" i="3" s="1"/>
  <c r="DB149" i="3"/>
  <c r="DB151" i="3" s="1"/>
  <c r="DA149" i="3"/>
  <c r="DA151" i="3" s="1"/>
  <c r="CZ149" i="3"/>
  <c r="CZ151" i="3" s="1"/>
  <c r="CY149" i="3"/>
  <c r="CY151" i="3" s="1"/>
  <c r="CX149" i="3"/>
  <c r="CX151" i="3" s="1"/>
  <c r="CW149" i="3"/>
  <c r="CW151" i="3" s="1"/>
  <c r="CV149" i="3"/>
  <c r="CV151" i="3" s="1"/>
  <c r="CU149" i="3"/>
  <c r="CU151" i="3" s="1"/>
  <c r="CT149" i="3"/>
  <c r="CT151" i="3" s="1"/>
  <c r="CS149" i="3"/>
  <c r="CS151" i="3" s="1"/>
  <c r="CR149" i="3"/>
  <c r="CR151" i="3" s="1"/>
  <c r="CQ149" i="3"/>
  <c r="CQ151" i="3" s="1"/>
  <c r="CP149" i="3"/>
  <c r="CP151" i="3" s="1"/>
  <c r="CO149" i="3"/>
  <c r="CO151" i="3" s="1"/>
  <c r="CN149" i="3"/>
  <c r="CN151" i="3" s="1"/>
  <c r="FW146" i="3"/>
  <c r="FV146" i="3"/>
  <c r="FU146" i="3"/>
  <c r="FT146" i="3"/>
  <c r="FS146" i="3"/>
  <c r="FR146" i="3"/>
  <c r="FQ146" i="3"/>
  <c r="FP146" i="3"/>
  <c r="FO146" i="3"/>
  <c r="FN146" i="3"/>
  <c r="FM146" i="3"/>
  <c r="FL146" i="3"/>
  <c r="FK146" i="3"/>
  <c r="FJ146" i="3"/>
  <c r="FI146" i="3"/>
  <c r="FH146" i="3"/>
  <c r="FG146" i="3"/>
  <c r="FF146" i="3"/>
  <c r="FE146" i="3"/>
  <c r="FD146" i="3"/>
  <c r="FC146" i="3"/>
  <c r="FB146" i="3"/>
  <c r="FA146" i="3"/>
  <c r="EZ146" i="3"/>
  <c r="EY146" i="3"/>
  <c r="EX146" i="3"/>
  <c r="EW146" i="3"/>
  <c r="EV146" i="3"/>
  <c r="EU146" i="3"/>
  <c r="ET146" i="3"/>
  <c r="ES146" i="3"/>
  <c r="ER146" i="3"/>
  <c r="EQ146" i="3"/>
  <c r="EP146" i="3"/>
  <c r="EO146" i="3"/>
  <c r="EN146" i="3"/>
  <c r="EM146" i="3"/>
  <c r="EL146" i="3"/>
  <c r="EK146" i="3"/>
  <c r="EJ146" i="3"/>
  <c r="EI146" i="3"/>
  <c r="EH146" i="3"/>
  <c r="EG146" i="3"/>
  <c r="EF146" i="3"/>
  <c r="EE146" i="3"/>
  <c r="ED146" i="3"/>
  <c r="EC146" i="3"/>
  <c r="EB146" i="3"/>
  <c r="EA146" i="3"/>
  <c r="DZ146" i="3"/>
  <c r="DY146" i="3"/>
  <c r="DX146" i="3"/>
  <c r="DW146" i="3"/>
  <c r="DV146" i="3"/>
  <c r="DU146" i="3"/>
  <c r="DT146" i="3"/>
  <c r="DS146" i="3"/>
  <c r="DR146" i="3"/>
  <c r="DQ146" i="3"/>
  <c r="DP146" i="3"/>
  <c r="DO146" i="3"/>
  <c r="DN146" i="3"/>
  <c r="DM146" i="3"/>
  <c r="DL146" i="3"/>
  <c r="DK146" i="3"/>
  <c r="DJ146" i="3"/>
  <c r="DI146" i="3"/>
  <c r="DH146" i="3"/>
  <c r="DG146" i="3"/>
  <c r="DF146" i="3"/>
  <c r="DE146" i="3"/>
  <c r="DD146" i="3"/>
  <c r="DC146" i="3"/>
  <c r="DB146" i="3"/>
  <c r="DA146" i="3"/>
  <c r="CZ146" i="3"/>
  <c r="CY146" i="3"/>
  <c r="CX146" i="3"/>
  <c r="CW146" i="3"/>
  <c r="CV146" i="3"/>
  <c r="CU146" i="3"/>
  <c r="CT146" i="3"/>
  <c r="CS146" i="3"/>
  <c r="CR146" i="3"/>
  <c r="CQ146" i="3"/>
  <c r="CP146" i="3"/>
  <c r="CO146" i="3"/>
  <c r="CN146" i="3"/>
  <c r="FW145" i="3"/>
  <c r="FV145" i="3"/>
  <c r="FU145" i="3"/>
  <c r="FT145" i="3"/>
  <c r="FS145" i="3"/>
  <c r="FR145" i="3"/>
  <c r="FQ145" i="3"/>
  <c r="FP145" i="3"/>
  <c r="FO145" i="3"/>
  <c r="FN145" i="3"/>
  <c r="FM145" i="3"/>
  <c r="FL145" i="3"/>
  <c r="FK145" i="3"/>
  <c r="FJ145" i="3"/>
  <c r="FI145" i="3"/>
  <c r="FH145" i="3"/>
  <c r="FG145" i="3"/>
  <c r="FF145" i="3"/>
  <c r="FE145" i="3"/>
  <c r="FD145" i="3"/>
  <c r="FC145" i="3"/>
  <c r="FB145" i="3"/>
  <c r="FA145" i="3"/>
  <c r="EZ145" i="3"/>
  <c r="EY145" i="3"/>
  <c r="EX145" i="3"/>
  <c r="EW145" i="3"/>
  <c r="EV145" i="3"/>
  <c r="EU145" i="3"/>
  <c r="ET145" i="3"/>
  <c r="ES145" i="3"/>
  <c r="ER145" i="3"/>
  <c r="EQ145" i="3"/>
  <c r="EP145" i="3"/>
  <c r="EO145" i="3"/>
  <c r="EN145" i="3"/>
  <c r="EM145" i="3"/>
  <c r="EL145" i="3"/>
  <c r="EK145" i="3"/>
  <c r="EJ145" i="3"/>
  <c r="EI145" i="3"/>
  <c r="EH145" i="3"/>
  <c r="EG145" i="3"/>
  <c r="EF145" i="3"/>
  <c r="EE145" i="3"/>
  <c r="ED145" i="3"/>
  <c r="EC145" i="3"/>
  <c r="EB145" i="3"/>
  <c r="EA145" i="3"/>
  <c r="DZ145" i="3"/>
  <c r="DY145" i="3"/>
  <c r="DX145" i="3"/>
  <c r="DW145" i="3"/>
  <c r="DV145" i="3"/>
  <c r="DU145" i="3"/>
  <c r="DT145" i="3"/>
  <c r="DS145" i="3"/>
  <c r="DR145" i="3"/>
  <c r="DQ145" i="3"/>
  <c r="DP145" i="3"/>
  <c r="DO145" i="3"/>
  <c r="DN145" i="3"/>
  <c r="DM145" i="3"/>
  <c r="DL145" i="3"/>
  <c r="DK145" i="3"/>
  <c r="DJ145" i="3"/>
  <c r="DI145" i="3"/>
  <c r="DH145" i="3"/>
  <c r="DG145" i="3"/>
  <c r="DF145" i="3"/>
  <c r="DE145" i="3"/>
  <c r="DD145" i="3"/>
  <c r="DC145" i="3"/>
  <c r="DB145" i="3"/>
  <c r="DA145" i="3"/>
  <c r="CZ145" i="3"/>
  <c r="CY145" i="3"/>
  <c r="CX145" i="3"/>
  <c r="CW145" i="3"/>
  <c r="CV145" i="3"/>
  <c r="CU145" i="3"/>
  <c r="CT145" i="3"/>
  <c r="CS145" i="3"/>
  <c r="CR145" i="3"/>
  <c r="CQ145" i="3"/>
  <c r="CP145" i="3"/>
  <c r="CO145" i="3"/>
  <c r="CN145" i="3"/>
  <c r="FW144" i="3"/>
  <c r="FV144" i="3"/>
  <c r="FU144" i="3"/>
  <c r="FT144" i="3"/>
  <c r="FS144" i="3"/>
  <c r="FR144" i="3"/>
  <c r="FQ144" i="3"/>
  <c r="FP144" i="3"/>
  <c r="FO144" i="3"/>
  <c r="FN144" i="3"/>
  <c r="FM144" i="3"/>
  <c r="FL144" i="3"/>
  <c r="FK144" i="3"/>
  <c r="FJ144" i="3"/>
  <c r="FI144" i="3"/>
  <c r="FH144" i="3"/>
  <c r="FG144" i="3"/>
  <c r="FF144" i="3"/>
  <c r="FE144" i="3"/>
  <c r="FD144" i="3"/>
  <c r="FC144" i="3"/>
  <c r="FB144" i="3"/>
  <c r="FA144" i="3"/>
  <c r="EZ144" i="3"/>
  <c r="EY144" i="3"/>
  <c r="EX144" i="3"/>
  <c r="EW144" i="3"/>
  <c r="EV144" i="3"/>
  <c r="EU144" i="3"/>
  <c r="ET144" i="3"/>
  <c r="ES144" i="3"/>
  <c r="ER144" i="3"/>
  <c r="EQ144" i="3"/>
  <c r="EP144" i="3"/>
  <c r="EO144" i="3"/>
  <c r="EN144" i="3"/>
  <c r="EM144" i="3"/>
  <c r="EL144" i="3"/>
  <c r="EK144" i="3"/>
  <c r="EJ144" i="3"/>
  <c r="EI144" i="3"/>
  <c r="EH144" i="3"/>
  <c r="EG144" i="3"/>
  <c r="EF144" i="3"/>
  <c r="EE144" i="3"/>
  <c r="ED144" i="3"/>
  <c r="EC144" i="3"/>
  <c r="EB144" i="3"/>
  <c r="EA144" i="3"/>
  <c r="DZ144" i="3"/>
  <c r="DY144" i="3"/>
  <c r="DX144" i="3"/>
  <c r="DW144" i="3"/>
  <c r="DV144" i="3"/>
  <c r="DU144" i="3"/>
  <c r="DT144" i="3"/>
  <c r="DS144" i="3"/>
  <c r="DR144" i="3"/>
  <c r="DQ144" i="3"/>
  <c r="DP144" i="3"/>
  <c r="DO144" i="3"/>
  <c r="DN144" i="3"/>
  <c r="DM144" i="3"/>
  <c r="DL144" i="3"/>
  <c r="DK144" i="3"/>
  <c r="DJ144" i="3"/>
  <c r="DI144" i="3"/>
  <c r="DH144" i="3"/>
  <c r="DG144" i="3"/>
  <c r="DF144" i="3"/>
  <c r="DE144" i="3"/>
  <c r="DD144" i="3"/>
  <c r="DC144" i="3"/>
  <c r="DB144" i="3"/>
  <c r="DA144" i="3"/>
  <c r="CZ144" i="3"/>
  <c r="CY144" i="3"/>
  <c r="CX144" i="3"/>
  <c r="CW144" i="3"/>
  <c r="CV144" i="3"/>
  <c r="CU144" i="3"/>
  <c r="CT144" i="3"/>
  <c r="CS144" i="3"/>
  <c r="CR144" i="3"/>
  <c r="CQ144" i="3"/>
  <c r="CP144" i="3"/>
  <c r="CO144" i="3"/>
  <c r="CN144" i="3"/>
  <c r="FW143" i="3"/>
  <c r="FV143" i="3"/>
  <c r="FV147" i="3" s="1"/>
  <c r="FU143" i="3"/>
  <c r="FT143" i="3"/>
  <c r="FT147" i="3" s="1"/>
  <c r="FS143" i="3"/>
  <c r="FS147" i="3" s="1"/>
  <c r="FR143" i="3"/>
  <c r="FR147" i="3" s="1"/>
  <c r="FQ143" i="3"/>
  <c r="FQ147" i="3" s="1"/>
  <c r="FP143" i="3"/>
  <c r="FP147" i="3" s="1"/>
  <c r="FO143" i="3"/>
  <c r="FO147" i="3" s="1"/>
  <c r="FN143" i="3"/>
  <c r="FN147" i="3" s="1"/>
  <c r="FM143" i="3"/>
  <c r="FM147" i="3" s="1"/>
  <c r="FL143" i="3"/>
  <c r="FL147" i="3" s="1"/>
  <c r="FK143" i="3"/>
  <c r="FK147" i="3" s="1"/>
  <c r="FJ143" i="3"/>
  <c r="FJ147" i="3" s="1"/>
  <c r="FI143" i="3"/>
  <c r="FI147" i="3" s="1"/>
  <c r="FH143" i="3"/>
  <c r="FH147" i="3" s="1"/>
  <c r="FG143" i="3"/>
  <c r="FG147" i="3" s="1"/>
  <c r="FF143" i="3"/>
  <c r="FF147" i="3" s="1"/>
  <c r="FE143" i="3"/>
  <c r="FE147" i="3" s="1"/>
  <c r="FD143" i="3"/>
  <c r="FD147" i="3" s="1"/>
  <c r="FC143" i="3"/>
  <c r="FC147" i="3" s="1"/>
  <c r="FB143" i="3"/>
  <c r="FA143" i="3"/>
  <c r="FA147" i="3" s="1"/>
  <c r="EZ143" i="3"/>
  <c r="EZ147" i="3" s="1"/>
  <c r="EY143" i="3"/>
  <c r="EY147" i="3" s="1"/>
  <c r="EX143" i="3"/>
  <c r="EX147" i="3" s="1"/>
  <c r="EW143" i="3"/>
  <c r="EW147" i="3" s="1"/>
  <c r="EV143" i="3"/>
  <c r="EV147" i="3" s="1"/>
  <c r="EU143" i="3"/>
  <c r="EU147" i="3" s="1"/>
  <c r="ET143" i="3"/>
  <c r="ET147" i="3" s="1"/>
  <c r="ES143" i="3"/>
  <c r="ES147" i="3" s="1"/>
  <c r="ER143" i="3"/>
  <c r="ER147" i="3" s="1"/>
  <c r="EQ143" i="3"/>
  <c r="EQ147" i="3" s="1"/>
  <c r="EP143" i="3"/>
  <c r="EP147" i="3" s="1"/>
  <c r="EO143" i="3"/>
  <c r="EO147" i="3" s="1"/>
  <c r="EN143" i="3"/>
  <c r="EN147" i="3" s="1"/>
  <c r="EM143" i="3"/>
  <c r="EM147" i="3" s="1"/>
  <c r="EL143" i="3"/>
  <c r="EL147" i="3" s="1"/>
  <c r="EK143" i="3"/>
  <c r="EK147" i="3" s="1"/>
  <c r="EJ143" i="3"/>
  <c r="EJ147" i="3" s="1"/>
  <c r="EI143" i="3"/>
  <c r="EI147" i="3" s="1"/>
  <c r="EH143" i="3"/>
  <c r="EH147" i="3" s="1"/>
  <c r="EG143" i="3"/>
  <c r="EG147" i="3" s="1"/>
  <c r="EF143" i="3"/>
  <c r="EF147" i="3" s="1"/>
  <c r="EE143" i="3"/>
  <c r="EE147" i="3" s="1"/>
  <c r="ED143" i="3"/>
  <c r="ED147" i="3" s="1"/>
  <c r="EC143" i="3"/>
  <c r="EC147" i="3" s="1"/>
  <c r="EB143" i="3"/>
  <c r="EB147" i="3" s="1"/>
  <c r="EA143" i="3"/>
  <c r="EA147" i="3" s="1"/>
  <c r="DZ143" i="3"/>
  <c r="DZ147" i="3" s="1"/>
  <c r="DY143" i="3"/>
  <c r="DX143" i="3"/>
  <c r="DX147" i="3" s="1"/>
  <c r="DW143" i="3"/>
  <c r="DW147" i="3" s="1"/>
  <c r="DV143" i="3"/>
  <c r="DV147" i="3" s="1"/>
  <c r="DU143" i="3"/>
  <c r="DU147" i="3" s="1"/>
  <c r="DT143" i="3"/>
  <c r="DT147" i="3" s="1"/>
  <c r="DS143" i="3"/>
  <c r="DS147" i="3" s="1"/>
  <c r="DR143" i="3"/>
  <c r="DR147" i="3" s="1"/>
  <c r="DQ143" i="3"/>
  <c r="DQ147" i="3" s="1"/>
  <c r="DP143" i="3"/>
  <c r="DP147" i="3" s="1"/>
  <c r="DO143" i="3"/>
  <c r="DO147" i="3" s="1"/>
  <c r="DN143" i="3"/>
  <c r="DN147" i="3" s="1"/>
  <c r="DM143" i="3"/>
  <c r="DM147" i="3" s="1"/>
  <c r="DL143" i="3"/>
  <c r="DL147" i="3" s="1"/>
  <c r="DK143" i="3"/>
  <c r="DK147" i="3" s="1"/>
  <c r="DJ143" i="3"/>
  <c r="DJ147" i="3" s="1"/>
  <c r="DI143" i="3"/>
  <c r="DI147" i="3" s="1"/>
  <c r="DH143" i="3"/>
  <c r="DH147" i="3" s="1"/>
  <c r="DG143" i="3"/>
  <c r="DG147" i="3" s="1"/>
  <c r="DF143" i="3"/>
  <c r="DF147" i="3" s="1"/>
  <c r="DE143" i="3"/>
  <c r="DE147" i="3" s="1"/>
  <c r="DD143" i="3"/>
  <c r="DD147" i="3" s="1"/>
  <c r="DC143" i="3"/>
  <c r="DC147" i="3" s="1"/>
  <c r="DB143" i="3"/>
  <c r="DB147" i="3" s="1"/>
  <c r="DA143" i="3"/>
  <c r="DA147" i="3" s="1"/>
  <c r="CZ143" i="3"/>
  <c r="CZ147" i="3" s="1"/>
  <c r="CY143" i="3"/>
  <c r="CY147" i="3" s="1"/>
  <c r="CX143" i="3"/>
  <c r="CX147" i="3" s="1"/>
  <c r="CW143" i="3"/>
  <c r="CW147" i="3" s="1"/>
  <c r="CV143" i="3"/>
  <c r="CV147" i="3" s="1"/>
  <c r="CU143" i="3"/>
  <c r="CU147" i="3" s="1"/>
  <c r="CT143" i="3"/>
  <c r="CT147" i="3" s="1"/>
  <c r="CS143" i="3"/>
  <c r="CS147" i="3" s="1"/>
  <c r="CR143" i="3"/>
  <c r="CR147" i="3" s="1"/>
  <c r="CQ143" i="3"/>
  <c r="CQ147" i="3" s="1"/>
  <c r="CP143" i="3"/>
  <c r="CP147" i="3" s="1"/>
  <c r="CO143" i="3"/>
  <c r="CO147" i="3" s="1"/>
  <c r="CN143" i="3"/>
  <c r="C147" i="3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Z107" i="4"/>
  <c r="BA107" i="4"/>
  <c r="BB107" i="4"/>
  <c r="BC107" i="4"/>
  <c r="BD107" i="4"/>
  <c r="BE107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BY107" i="4"/>
  <c r="BZ107" i="4"/>
  <c r="CA107" i="4"/>
  <c r="CB107" i="4"/>
  <c r="CC107" i="4"/>
  <c r="CD107" i="4"/>
  <c r="CE107" i="4"/>
  <c r="CF107" i="4"/>
  <c r="CG107" i="4"/>
  <c r="CH107" i="4"/>
  <c r="CI107" i="4"/>
  <c r="CJ107" i="4"/>
  <c r="CK107" i="4"/>
  <c r="CL107" i="4"/>
  <c r="C107" i="4"/>
  <c r="FW139" i="3"/>
  <c r="FV139" i="3"/>
  <c r="FU139" i="3"/>
  <c r="FT139" i="3"/>
  <c r="FS139" i="3"/>
  <c r="FR139" i="3"/>
  <c r="FQ139" i="3"/>
  <c r="FP139" i="3"/>
  <c r="FO139" i="3"/>
  <c r="FN139" i="3"/>
  <c r="FM139" i="3"/>
  <c r="FL139" i="3"/>
  <c r="FK139" i="3"/>
  <c r="FJ139" i="3"/>
  <c r="FI139" i="3"/>
  <c r="FH139" i="3"/>
  <c r="FG139" i="3"/>
  <c r="FF139" i="3"/>
  <c r="FE139" i="3"/>
  <c r="FD139" i="3"/>
  <c r="FC139" i="3"/>
  <c r="FB139" i="3"/>
  <c r="FA139" i="3"/>
  <c r="EZ139" i="3"/>
  <c r="EY139" i="3"/>
  <c r="EX139" i="3"/>
  <c r="EW139" i="3"/>
  <c r="EV139" i="3"/>
  <c r="EU139" i="3"/>
  <c r="ET139" i="3"/>
  <c r="ES139" i="3"/>
  <c r="ER139" i="3"/>
  <c r="EQ139" i="3"/>
  <c r="EP139" i="3"/>
  <c r="EO139" i="3"/>
  <c r="EN139" i="3"/>
  <c r="EM139" i="3"/>
  <c r="EL139" i="3"/>
  <c r="EK139" i="3"/>
  <c r="EJ139" i="3"/>
  <c r="EI139" i="3"/>
  <c r="EH139" i="3"/>
  <c r="EG139" i="3"/>
  <c r="EF139" i="3"/>
  <c r="EE139" i="3"/>
  <c r="ED139" i="3"/>
  <c r="EC139" i="3"/>
  <c r="EB139" i="3"/>
  <c r="EA139" i="3"/>
  <c r="DZ139" i="3"/>
  <c r="DY139" i="3"/>
  <c r="DX139" i="3"/>
  <c r="DW139" i="3"/>
  <c r="DV139" i="3"/>
  <c r="DU139" i="3"/>
  <c r="DT139" i="3"/>
  <c r="DS139" i="3"/>
  <c r="DR139" i="3"/>
  <c r="DQ139" i="3"/>
  <c r="DP139" i="3"/>
  <c r="DO139" i="3"/>
  <c r="DN139" i="3"/>
  <c r="DM139" i="3"/>
  <c r="DL139" i="3"/>
  <c r="DK139" i="3"/>
  <c r="DJ139" i="3"/>
  <c r="DI139" i="3"/>
  <c r="DH139" i="3"/>
  <c r="DG139" i="3"/>
  <c r="DF139" i="3"/>
  <c r="DE139" i="3"/>
  <c r="DD139" i="3"/>
  <c r="DC139" i="3"/>
  <c r="DB139" i="3"/>
  <c r="DA139" i="3"/>
  <c r="CZ139" i="3"/>
  <c r="CY139" i="3"/>
  <c r="CX139" i="3"/>
  <c r="CW139" i="3"/>
  <c r="CV139" i="3"/>
  <c r="CU139" i="3"/>
  <c r="CT139" i="3"/>
  <c r="CS139" i="3"/>
  <c r="CR139" i="3"/>
  <c r="CQ139" i="3"/>
  <c r="CP139" i="3"/>
  <c r="CO139" i="3"/>
  <c r="CN139" i="3"/>
  <c r="FW138" i="3"/>
  <c r="FV138" i="3"/>
  <c r="FU138" i="3"/>
  <c r="FT138" i="3"/>
  <c r="FS138" i="3"/>
  <c r="FR138" i="3"/>
  <c r="FQ138" i="3"/>
  <c r="FP138" i="3"/>
  <c r="FO138" i="3"/>
  <c r="FN138" i="3"/>
  <c r="FM138" i="3"/>
  <c r="FL138" i="3"/>
  <c r="FK138" i="3"/>
  <c r="FJ138" i="3"/>
  <c r="FI138" i="3"/>
  <c r="FH138" i="3"/>
  <c r="FG138" i="3"/>
  <c r="FF138" i="3"/>
  <c r="FE138" i="3"/>
  <c r="FD138" i="3"/>
  <c r="FC138" i="3"/>
  <c r="FB138" i="3"/>
  <c r="FA138" i="3"/>
  <c r="EZ138" i="3"/>
  <c r="EY138" i="3"/>
  <c r="EX138" i="3"/>
  <c r="EW138" i="3"/>
  <c r="EV138" i="3"/>
  <c r="EU138" i="3"/>
  <c r="ET138" i="3"/>
  <c r="ES138" i="3"/>
  <c r="ER138" i="3"/>
  <c r="EQ138" i="3"/>
  <c r="EP138" i="3"/>
  <c r="EO138" i="3"/>
  <c r="EN138" i="3"/>
  <c r="EM138" i="3"/>
  <c r="EL138" i="3"/>
  <c r="EK138" i="3"/>
  <c r="EJ138" i="3"/>
  <c r="EI138" i="3"/>
  <c r="EH138" i="3"/>
  <c r="EG138" i="3"/>
  <c r="EF138" i="3"/>
  <c r="EE138" i="3"/>
  <c r="ED138" i="3"/>
  <c r="EC138" i="3"/>
  <c r="EB138" i="3"/>
  <c r="EA138" i="3"/>
  <c r="DZ138" i="3"/>
  <c r="DY138" i="3"/>
  <c r="DX138" i="3"/>
  <c r="DW138" i="3"/>
  <c r="DV138" i="3"/>
  <c r="DU138" i="3"/>
  <c r="DT138" i="3"/>
  <c r="DS138" i="3"/>
  <c r="DR138" i="3"/>
  <c r="DQ138" i="3"/>
  <c r="DP138" i="3"/>
  <c r="DO138" i="3"/>
  <c r="DN138" i="3"/>
  <c r="DM138" i="3"/>
  <c r="DL138" i="3"/>
  <c r="DK138" i="3"/>
  <c r="DJ138" i="3"/>
  <c r="DI138" i="3"/>
  <c r="DH138" i="3"/>
  <c r="DG138" i="3"/>
  <c r="DF138" i="3"/>
  <c r="DE138" i="3"/>
  <c r="DD138" i="3"/>
  <c r="DC138" i="3"/>
  <c r="DB138" i="3"/>
  <c r="DA138" i="3"/>
  <c r="CZ138" i="3"/>
  <c r="CY138" i="3"/>
  <c r="CX138" i="3"/>
  <c r="CW138" i="3"/>
  <c r="CV138" i="3"/>
  <c r="CU138" i="3"/>
  <c r="CT138" i="3"/>
  <c r="CS138" i="3"/>
  <c r="CR138" i="3"/>
  <c r="CQ138" i="3"/>
  <c r="CP138" i="3"/>
  <c r="CO138" i="3"/>
  <c r="CN138" i="3"/>
  <c r="FW137" i="3"/>
  <c r="FW140" i="3" s="1"/>
  <c r="FV137" i="3"/>
  <c r="FV140" i="3" s="1"/>
  <c r="FU137" i="3"/>
  <c r="FU140" i="3" s="1"/>
  <c r="FT137" i="3"/>
  <c r="FT140" i="3" s="1"/>
  <c r="FS137" i="3"/>
  <c r="FS140" i="3" s="1"/>
  <c r="FR137" i="3"/>
  <c r="FR140" i="3" s="1"/>
  <c r="FQ137" i="3"/>
  <c r="FQ140" i="3" s="1"/>
  <c r="FP137" i="3"/>
  <c r="FP140" i="3" s="1"/>
  <c r="FO137" i="3"/>
  <c r="FO140" i="3" s="1"/>
  <c r="FN137" i="3"/>
  <c r="FN140" i="3" s="1"/>
  <c r="FM137" i="3"/>
  <c r="FM140" i="3" s="1"/>
  <c r="FL137" i="3"/>
  <c r="FL140" i="3" s="1"/>
  <c r="FK137" i="3"/>
  <c r="FK140" i="3" s="1"/>
  <c r="FJ137" i="3"/>
  <c r="FJ140" i="3" s="1"/>
  <c r="FI137" i="3"/>
  <c r="FI140" i="3" s="1"/>
  <c r="FH137" i="3"/>
  <c r="FH140" i="3" s="1"/>
  <c r="FG137" i="3"/>
  <c r="FG140" i="3" s="1"/>
  <c r="FF137" i="3"/>
  <c r="FF140" i="3" s="1"/>
  <c r="FE137" i="3"/>
  <c r="FE140" i="3" s="1"/>
  <c r="FD137" i="3"/>
  <c r="FD140" i="3" s="1"/>
  <c r="FC137" i="3"/>
  <c r="FC140" i="3" s="1"/>
  <c r="FB137" i="3"/>
  <c r="FB140" i="3" s="1"/>
  <c r="FA137" i="3"/>
  <c r="FA140" i="3" s="1"/>
  <c r="EZ137" i="3"/>
  <c r="EZ140" i="3" s="1"/>
  <c r="EY137" i="3"/>
  <c r="EY140" i="3" s="1"/>
  <c r="EX137" i="3"/>
  <c r="EX140" i="3" s="1"/>
  <c r="EW137" i="3"/>
  <c r="EW140" i="3" s="1"/>
  <c r="EV137" i="3"/>
  <c r="EV140" i="3" s="1"/>
  <c r="EU137" i="3"/>
  <c r="ET137" i="3"/>
  <c r="ET140" i="3" s="1"/>
  <c r="ES137" i="3"/>
  <c r="ES140" i="3" s="1"/>
  <c r="ER137" i="3"/>
  <c r="ER140" i="3" s="1"/>
  <c r="EQ137" i="3"/>
  <c r="EQ140" i="3" s="1"/>
  <c r="EP137" i="3"/>
  <c r="EP140" i="3" s="1"/>
  <c r="EO137" i="3"/>
  <c r="EO140" i="3" s="1"/>
  <c r="EN137" i="3"/>
  <c r="EN140" i="3" s="1"/>
  <c r="EM137" i="3"/>
  <c r="EM140" i="3" s="1"/>
  <c r="EL137" i="3"/>
  <c r="EL140" i="3" s="1"/>
  <c r="EK137" i="3"/>
  <c r="EK140" i="3" s="1"/>
  <c r="EJ137" i="3"/>
  <c r="EJ140" i="3" s="1"/>
  <c r="EI137" i="3"/>
  <c r="EI140" i="3" s="1"/>
  <c r="EH137" i="3"/>
  <c r="EH140" i="3" s="1"/>
  <c r="EG137" i="3"/>
  <c r="EG140" i="3" s="1"/>
  <c r="EF137" i="3"/>
  <c r="EF140" i="3" s="1"/>
  <c r="EE137" i="3"/>
  <c r="EE140" i="3" s="1"/>
  <c r="ED137" i="3"/>
  <c r="ED140" i="3" s="1"/>
  <c r="EC137" i="3"/>
  <c r="EC140" i="3" s="1"/>
  <c r="EB137" i="3"/>
  <c r="EB140" i="3" s="1"/>
  <c r="EA137" i="3"/>
  <c r="EA140" i="3" s="1"/>
  <c r="DZ137" i="3"/>
  <c r="DZ140" i="3" s="1"/>
  <c r="DY137" i="3"/>
  <c r="DY140" i="3" s="1"/>
  <c r="DX137" i="3"/>
  <c r="DX140" i="3" s="1"/>
  <c r="DW137" i="3"/>
  <c r="DW140" i="3" s="1"/>
  <c r="DV137" i="3"/>
  <c r="DV140" i="3" s="1"/>
  <c r="DU137" i="3"/>
  <c r="DU140" i="3" s="1"/>
  <c r="DT137" i="3"/>
  <c r="DT140" i="3" s="1"/>
  <c r="DS137" i="3"/>
  <c r="DS140" i="3" s="1"/>
  <c r="DR137" i="3"/>
  <c r="DR140" i="3" s="1"/>
  <c r="DQ137" i="3"/>
  <c r="DQ140" i="3" s="1"/>
  <c r="DP137" i="3"/>
  <c r="DP140" i="3" s="1"/>
  <c r="DO137" i="3"/>
  <c r="DO140" i="3" s="1"/>
  <c r="DN137" i="3"/>
  <c r="DN140" i="3" s="1"/>
  <c r="DM137" i="3"/>
  <c r="DM140" i="3" s="1"/>
  <c r="DL137" i="3"/>
  <c r="DL140" i="3" s="1"/>
  <c r="DK137" i="3"/>
  <c r="DK140" i="3" s="1"/>
  <c r="DJ137" i="3"/>
  <c r="DJ140" i="3" s="1"/>
  <c r="DI137" i="3"/>
  <c r="DI140" i="3" s="1"/>
  <c r="DH137" i="3"/>
  <c r="DH140" i="3" s="1"/>
  <c r="DG137" i="3"/>
  <c r="DG140" i="3" s="1"/>
  <c r="DF137" i="3"/>
  <c r="DF140" i="3" s="1"/>
  <c r="DE137" i="3"/>
  <c r="DE140" i="3" s="1"/>
  <c r="DD137" i="3"/>
  <c r="DD140" i="3" s="1"/>
  <c r="DC137" i="3"/>
  <c r="DC140" i="3" s="1"/>
  <c r="DB137" i="3"/>
  <c r="DB140" i="3" s="1"/>
  <c r="DA137" i="3"/>
  <c r="DA140" i="3" s="1"/>
  <c r="CZ137" i="3"/>
  <c r="CZ140" i="3" s="1"/>
  <c r="CY137" i="3"/>
  <c r="CX137" i="3"/>
  <c r="CX140" i="3" s="1"/>
  <c r="CW137" i="3"/>
  <c r="CW140" i="3" s="1"/>
  <c r="CV137" i="3"/>
  <c r="CV140" i="3" s="1"/>
  <c r="CU137" i="3"/>
  <c r="CU140" i="3" s="1"/>
  <c r="CT137" i="3"/>
  <c r="CT140" i="3" s="1"/>
  <c r="CS137" i="3"/>
  <c r="CS140" i="3" s="1"/>
  <c r="CR137" i="3"/>
  <c r="CR140" i="3" s="1"/>
  <c r="CQ137" i="3"/>
  <c r="CQ140" i="3" s="1"/>
  <c r="CP137" i="3"/>
  <c r="CP140" i="3" s="1"/>
  <c r="CO137" i="3"/>
  <c r="CO140" i="3" s="1"/>
  <c r="CN137" i="3"/>
  <c r="CN140" i="3" s="1"/>
  <c r="C140" i="3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Z91" i="4"/>
  <c r="BA91" i="4"/>
  <c r="BB91" i="4"/>
  <c r="BC91" i="4"/>
  <c r="BD91" i="4"/>
  <c r="BE91" i="4"/>
  <c r="BF91" i="4"/>
  <c r="BG91" i="4"/>
  <c r="BH91" i="4"/>
  <c r="BI91" i="4"/>
  <c r="BJ91" i="4"/>
  <c r="BK91" i="4"/>
  <c r="BL91" i="4"/>
  <c r="BM91" i="4"/>
  <c r="BN91" i="4"/>
  <c r="BO91" i="4"/>
  <c r="BP91" i="4"/>
  <c r="BQ91" i="4"/>
  <c r="BR91" i="4"/>
  <c r="BS91" i="4"/>
  <c r="BT91" i="4"/>
  <c r="BU91" i="4"/>
  <c r="BV91" i="4"/>
  <c r="BW91" i="4"/>
  <c r="BX91" i="4"/>
  <c r="BY91" i="4"/>
  <c r="BZ91" i="4"/>
  <c r="CA91" i="4"/>
  <c r="CB91" i="4"/>
  <c r="CC91" i="4"/>
  <c r="CD91" i="4"/>
  <c r="CE91" i="4"/>
  <c r="CF91" i="4"/>
  <c r="CG91" i="4"/>
  <c r="CH91" i="4"/>
  <c r="CI91" i="4"/>
  <c r="CJ91" i="4"/>
  <c r="CK91" i="4"/>
  <c r="CL91" i="4"/>
  <c r="C91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19" i="4"/>
  <c r="CH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I9" i="4"/>
  <c r="CJ9" i="4"/>
  <c r="CK9" i="4"/>
  <c r="CL9" i="4"/>
  <c r="C9" i="4"/>
  <c r="FT151" i="3" l="1"/>
  <c r="FJ151" i="3"/>
  <c r="FB151" i="3"/>
  <c r="FR151" i="3"/>
  <c r="FK151" i="3"/>
  <c r="FS151" i="3"/>
  <c r="FA151" i="3"/>
  <c r="FI151" i="3"/>
  <c r="FQ151" i="3"/>
  <c r="EY151" i="3"/>
  <c r="FU147" i="3"/>
  <c r="DY147" i="3"/>
  <c r="DD151" i="3"/>
  <c r="FG151" i="3"/>
  <c r="FO151" i="3"/>
  <c r="FW151" i="3"/>
  <c r="EX151" i="3"/>
  <c r="FF151" i="3"/>
  <c r="FV151" i="3"/>
  <c r="FU151" i="3"/>
  <c r="FE151" i="3"/>
  <c r="DR151" i="3"/>
  <c r="DZ151" i="3"/>
  <c r="FN151" i="3"/>
  <c r="CY140" i="3"/>
  <c r="EU140" i="3"/>
  <c r="FB147" i="3"/>
  <c r="FM151" i="3"/>
  <c r="FD151" i="3"/>
  <c r="EV151" i="3"/>
  <c r="ET151" i="3"/>
  <c r="FW147" i="3"/>
  <c r="CN147" i="3"/>
  <c r="FW134" i="3"/>
  <c r="FV134" i="3"/>
  <c r="FU134" i="3"/>
  <c r="FT134" i="3"/>
  <c r="FS134" i="3"/>
  <c r="FR134" i="3"/>
  <c r="FQ134" i="3"/>
  <c r="FP134" i="3"/>
  <c r="FO134" i="3"/>
  <c r="FN134" i="3"/>
  <c r="FM134" i="3"/>
  <c r="FL134" i="3"/>
  <c r="FK134" i="3"/>
  <c r="FJ134" i="3"/>
  <c r="FI134" i="3"/>
  <c r="FH134" i="3"/>
  <c r="FG134" i="3"/>
  <c r="FF134" i="3"/>
  <c r="FE134" i="3"/>
  <c r="FD134" i="3"/>
  <c r="FC134" i="3"/>
  <c r="FB134" i="3"/>
  <c r="FA134" i="3"/>
  <c r="EZ134" i="3"/>
  <c r="EY134" i="3"/>
  <c r="EX134" i="3"/>
  <c r="EW134" i="3"/>
  <c r="EV134" i="3"/>
  <c r="EU134" i="3"/>
  <c r="ET134" i="3"/>
  <c r="ES134" i="3"/>
  <c r="ER134" i="3"/>
  <c r="EQ134" i="3"/>
  <c r="EP134" i="3"/>
  <c r="EO134" i="3"/>
  <c r="EN134" i="3"/>
  <c r="EM134" i="3"/>
  <c r="EL134" i="3"/>
  <c r="EK134" i="3"/>
  <c r="EJ134" i="3"/>
  <c r="EI134" i="3"/>
  <c r="EH134" i="3"/>
  <c r="EG134" i="3"/>
  <c r="EF134" i="3"/>
  <c r="EE134" i="3"/>
  <c r="ED134" i="3"/>
  <c r="EC134" i="3"/>
  <c r="EB134" i="3"/>
  <c r="EA134" i="3"/>
  <c r="DZ134" i="3"/>
  <c r="DY134" i="3"/>
  <c r="DX134" i="3"/>
  <c r="DW134" i="3"/>
  <c r="DV134" i="3"/>
  <c r="DU134" i="3"/>
  <c r="DT134" i="3"/>
  <c r="DS134" i="3"/>
  <c r="DR134" i="3"/>
  <c r="DQ134" i="3"/>
  <c r="DP134" i="3"/>
  <c r="DO134" i="3"/>
  <c r="DN134" i="3"/>
  <c r="DM134" i="3"/>
  <c r="DL134" i="3"/>
  <c r="DK134" i="3"/>
  <c r="DJ134" i="3"/>
  <c r="DI134" i="3"/>
  <c r="DH134" i="3"/>
  <c r="DG134" i="3"/>
  <c r="DF134" i="3"/>
  <c r="DE134" i="3"/>
  <c r="DD134" i="3"/>
  <c r="DC134" i="3"/>
  <c r="DB134" i="3"/>
  <c r="DA134" i="3"/>
  <c r="CZ134" i="3"/>
  <c r="CY134" i="3"/>
  <c r="CX134" i="3"/>
  <c r="CW134" i="3"/>
  <c r="CV134" i="3"/>
  <c r="CU134" i="3"/>
  <c r="CT134" i="3"/>
  <c r="CS134" i="3"/>
  <c r="CR134" i="3"/>
  <c r="CQ134" i="3"/>
  <c r="CP134" i="3"/>
  <c r="CO134" i="3"/>
  <c r="CN134" i="3"/>
  <c r="FW133" i="3"/>
  <c r="FV133" i="3"/>
  <c r="FU133" i="3"/>
  <c r="FU135" i="3" s="1"/>
  <c r="FT133" i="3"/>
  <c r="FS133" i="3"/>
  <c r="FR133" i="3"/>
  <c r="FQ133" i="3"/>
  <c r="FP133" i="3"/>
  <c r="FO133" i="3"/>
  <c r="FN133" i="3"/>
  <c r="FM133" i="3"/>
  <c r="FL133" i="3"/>
  <c r="FK133" i="3"/>
  <c r="FJ133" i="3"/>
  <c r="FI133" i="3"/>
  <c r="FH133" i="3"/>
  <c r="FG133" i="3"/>
  <c r="FF133" i="3"/>
  <c r="FE133" i="3"/>
  <c r="FD133" i="3"/>
  <c r="FC133" i="3"/>
  <c r="FB133" i="3"/>
  <c r="FA133" i="3"/>
  <c r="EZ133" i="3"/>
  <c r="EY133" i="3"/>
  <c r="EX133" i="3"/>
  <c r="EW133" i="3"/>
  <c r="EV133" i="3"/>
  <c r="EU133" i="3"/>
  <c r="ET133" i="3"/>
  <c r="ES133" i="3"/>
  <c r="ER133" i="3"/>
  <c r="EQ133" i="3"/>
  <c r="EP133" i="3"/>
  <c r="EO133" i="3"/>
  <c r="EN133" i="3"/>
  <c r="EM133" i="3"/>
  <c r="EL133" i="3"/>
  <c r="EK133" i="3"/>
  <c r="EJ133" i="3"/>
  <c r="EI133" i="3"/>
  <c r="EH133" i="3"/>
  <c r="EG133" i="3"/>
  <c r="EF133" i="3"/>
  <c r="EE133" i="3"/>
  <c r="ED133" i="3"/>
  <c r="EC133" i="3"/>
  <c r="EB133" i="3"/>
  <c r="EB135" i="3" s="1"/>
  <c r="EA133" i="3"/>
  <c r="DZ133" i="3"/>
  <c r="DZ135" i="3" s="1"/>
  <c r="DY133" i="3"/>
  <c r="DY135" i="3" s="1"/>
  <c r="DX133" i="3"/>
  <c r="DX135" i="3" s="1"/>
  <c r="DW133" i="3"/>
  <c r="DW135" i="3" s="1"/>
  <c r="DV133" i="3"/>
  <c r="DV135" i="3" s="1"/>
  <c r="DU133" i="3"/>
  <c r="DT133" i="3"/>
  <c r="DT135" i="3" s="1"/>
  <c r="DS133" i="3"/>
  <c r="DS135" i="3" s="1"/>
  <c r="DR133" i="3"/>
  <c r="DR135" i="3" s="1"/>
  <c r="DQ133" i="3"/>
  <c r="DQ135" i="3" s="1"/>
  <c r="DP133" i="3"/>
  <c r="DP135" i="3" s="1"/>
  <c r="DO133" i="3"/>
  <c r="DN133" i="3"/>
  <c r="DN135" i="3" s="1"/>
  <c r="DM133" i="3"/>
  <c r="DM135" i="3" s="1"/>
  <c r="DL133" i="3"/>
  <c r="DK133" i="3"/>
  <c r="DJ133" i="3"/>
  <c r="DJ135" i="3" s="1"/>
  <c r="DI133" i="3"/>
  <c r="DI135" i="3" s="1"/>
  <c r="DH133" i="3"/>
  <c r="DH135" i="3" s="1"/>
  <c r="DG133" i="3"/>
  <c r="DF133" i="3"/>
  <c r="DF135" i="3" s="1"/>
  <c r="DE133" i="3"/>
  <c r="DE135" i="3" s="1"/>
  <c r="DD133" i="3"/>
  <c r="DD135" i="3" s="1"/>
  <c r="DC133" i="3"/>
  <c r="DC135" i="3" s="1"/>
  <c r="DB133" i="3"/>
  <c r="DB135" i="3" s="1"/>
  <c r="DA133" i="3"/>
  <c r="DA135" i="3" s="1"/>
  <c r="CZ133" i="3"/>
  <c r="CZ135" i="3" s="1"/>
  <c r="CY133" i="3"/>
  <c r="CY135" i="3" s="1"/>
  <c r="CX133" i="3"/>
  <c r="CX135" i="3" s="1"/>
  <c r="CW133" i="3"/>
  <c r="CV133" i="3"/>
  <c r="CU133" i="3"/>
  <c r="CU135" i="3" s="1"/>
  <c r="CT133" i="3"/>
  <c r="CT135" i="3" s="1"/>
  <c r="CS133" i="3"/>
  <c r="CS135" i="3" s="1"/>
  <c r="CR133" i="3"/>
  <c r="CR135" i="3" s="1"/>
  <c r="CQ133" i="3"/>
  <c r="CQ135" i="3" s="1"/>
  <c r="CP133" i="3"/>
  <c r="CP135" i="3" s="1"/>
  <c r="CO133" i="3"/>
  <c r="CO135" i="3" s="1"/>
  <c r="CN133" i="3"/>
  <c r="C135" i="3"/>
  <c r="FW130" i="3"/>
  <c r="FV130" i="3"/>
  <c r="FU130" i="3"/>
  <c r="FT130" i="3"/>
  <c r="FS130" i="3"/>
  <c r="FR130" i="3"/>
  <c r="FQ130" i="3"/>
  <c r="FP130" i="3"/>
  <c r="FO130" i="3"/>
  <c r="FN130" i="3"/>
  <c r="FM130" i="3"/>
  <c r="FL130" i="3"/>
  <c r="FK130" i="3"/>
  <c r="FJ130" i="3"/>
  <c r="FI130" i="3"/>
  <c r="FH130" i="3"/>
  <c r="FG130" i="3"/>
  <c r="FF130" i="3"/>
  <c r="FE130" i="3"/>
  <c r="FD130" i="3"/>
  <c r="FC130" i="3"/>
  <c r="FB130" i="3"/>
  <c r="FA130" i="3"/>
  <c r="EZ130" i="3"/>
  <c r="EY130" i="3"/>
  <c r="EX130" i="3"/>
  <c r="EW130" i="3"/>
  <c r="EV130" i="3"/>
  <c r="EU130" i="3"/>
  <c r="ET130" i="3"/>
  <c r="ES130" i="3"/>
  <c r="ER130" i="3"/>
  <c r="EQ130" i="3"/>
  <c r="EP130" i="3"/>
  <c r="EO130" i="3"/>
  <c r="EN130" i="3"/>
  <c r="EM130" i="3"/>
  <c r="EL130" i="3"/>
  <c r="EK130" i="3"/>
  <c r="EJ130" i="3"/>
  <c r="EI130" i="3"/>
  <c r="EH130" i="3"/>
  <c r="EG130" i="3"/>
  <c r="EF130" i="3"/>
  <c r="EE130" i="3"/>
  <c r="ED130" i="3"/>
  <c r="EC130" i="3"/>
  <c r="EB130" i="3"/>
  <c r="EA130" i="3"/>
  <c r="DZ130" i="3"/>
  <c r="DY130" i="3"/>
  <c r="DX130" i="3"/>
  <c r="DW130" i="3"/>
  <c r="DV130" i="3"/>
  <c r="DU130" i="3"/>
  <c r="DT130" i="3"/>
  <c r="DS130" i="3"/>
  <c r="DR130" i="3"/>
  <c r="DQ130" i="3"/>
  <c r="DP130" i="3"/>
  <c r="DO130" i="3"/>
  <c r="DN130" i="3"/>
  <c r="DM130" i="3"/>
  <c r="DL130" i="3"/>
  <c r="DK130" i="3"/>
  <c r="DJ130" i="3"/>
  <c r="DI130" i="3"/>
  <c r="DH130" i="3"/>
  <c r="DG130" i="3"/>
  <c r="DF130" i="3"/>
  <c r="DE130" i="3"/>
  <c r="DD130" i="3"/>
  <c r="DC130" i="3"/>
  <c r="DB130" i="3"/>
  <c r="DA130" i="3"/>
  <c r="CZ130" i="3"/>
  <c r="CY130" i="3"/>
  <c r="CX130" i="3"/>
  <c r="CW130" i="3"/>
  <c r="CV130" i="3"/>
  <c r="CU130" i="3"/>
  <c r="CT130" i="3"/>
  <c r="CS130" i="3"/>
  <c r="CR130" i="3"/>
  <c r="CQ130" i="3"/>
  <c r="CP130" i="3"/>
  <c r="CO130" i="3"/>
  <c r="CN130" i="3"/>
  <c r="FW129" i="3"/>
  <c r="FV129" i="3"/>
  <c r="FU129" i="3"/>
  <c r="FT129" i="3"/>
  <c r="FS129" i="3"/>
  <c r="FR129" i="3"/>
  <c r="FQ129" i="3"/>
  <c r="FP129" i="3"/>
  <c r="FO129" i="3"/>
  <c r="FN129" i="3"/>
  <c r="FM129" i="3"/>
  <c r="FL129" i="3"/>
  <c r="FK129" i="3"/>
  <c r="FJ129" i="3"/>
  <c r="FI129" i="3"/>
  <c r="FH129" i="3"/>
  <c r="FG129" i="3"/>
  <c r="FF129" i="3"/>
  <c r="FE129" i="3"/>
  <c r="FD129" i="3"/>
  <c r="FC129" i="3"/>
  <c r="FB129" i="3"/>
  <c r="FA129" i="3"/>
  <c r="EZ129" i="3"/>
  <c r="EY129" i="3"/>
  <c r="EX129" i="3"/>
  <c r="EW129" i="3"/>
  <c r="EV129" i="3"/>
  <c r="EU129" i="3"/>
  <c r="ET129" i="3"/>
  <c r="ES129" i="3"/>
  <c r="ER129" i="3"/>
  <c r="EQ129" i="3"/>
  <c r="EP129" i="3"/>
  <c r="EO129" i="3"/>
  <c r="EN129" i="3"/>
  <c r="EM129" i="3"/>
  <c r="EL129" i="3"/>
  <c r="EK129" i="3"/>
  <c r="EJ129" i="3"/>
  <c r="EI129" i="3"/>
  <c r="EH129" i="3"/>
  <c r="EG129" i="3"/>
  <c r="EF129" i="3"/>
  <c r="EE129" i="3"/>
  <c r="ED129" i="3"/>
  <c r="EC129" i="3"/>
  <c r="EB129" i="3"/>
  <c r="EA129" i="3"/>
  <c r="DZ129" i="3"/>
  <c r="DY129" i="3"/>
  <c r="DX129" i="3"/>
  <c r="DW129" i="3"/>
  <c r="DV129" i="3"/>
  <c r="DU129" i="3"/>
  <c r="DT129" i="3"/>
  <c r="DS129" i="3"/>
  <c r="DR129" i="3"/>
  <c r="DQ129" i="3"/>
  <c r="DP129" i="3"/>
  <c r="DO129" i="3"/>
  <c r="DN129" i="3"/>
  <c r="DM129" i="3"/>
  <c r="DL129" i="3"/>
  <c r="DK129" i="3"/>
  <c r="DJ129" i="3"/>
  <c r="DI129" i="3"/>
  <c r="DH129" i="3"/>
  <c r="DG129" i="3"/>
  <c r="DF129" i="3"/>
  <c r="DE129" i="3"/>
  <c r="DD129" i="3"/>
  <c r="DC129" i="3"/>
  <c r="DB129" i="3"/>
  <c r="DA129" i="3"/>
  <c r="CZ129" i="3"/>
  <c r="CY129" i="3"/>
  <c r="CX129" i="3"/>
  <c r="CW129" i="3"/>
  <c r="CV129" i="3"/>
  <c r="CU129" i="3"/>
  <c r="CT129" i="3"/>
  <c r="CS129" i="3"/>
  <c r="CR129" i="3"/>
  <c r="CQ129" i="3"/>
  <c r="CP129" i="3"/>
  <c r="CO129" i="3"/>
  <c r="CN129" i="3"/>
  <c r="FW128" i="3"/>
  <c r="FW131" i="3" s="1"/>
  <c r="FV128" i="3"/>
  <c r="FU128" i="3"/>
  <c r="FT128" i="3"/>
  <c r="FT131" i="3" s="1"/>
  <c r="FS128" i="3"/>
  <c r="FS131" i="3" s="1"/>
  <c r="FR128" i="3"/>
  <c r="FR131" i="3" s="1"/>
  <c r="FQ128" i="3"/>
  <c r="FQ131" i="3" s="1"/>
  <c r="FP128" i="3"/>
  <c r="FP131" i="3" s="1"/>
  <c r="FO128" i="3"/>
  <c r="FO131" i="3" s="1"/>
  <c r="FN128" i="3"/>
  <c r="FM128" i="3"/>
  <c r="FM131" i="3" s="1"/>
  <c r="FL128" i="3"/>
  <c r="FL131" i="3" s="1"/>
  <c r="FK128" i="3"/>
  <c r="FK131" i="3" s="1"/>
  <c r="FJ128" i="3"/>
  <c r="FJ131" i="3" s="1"/>
  <c r="FI128" i="3"/>
  <c r="FI131" i="3" s="1"/>
  <c r="FH128" i="3"/>
  <c r="FH131" i="3" s="1"/>
  <c r="FG128" i="3"/>
  <c r="FG131" i="3" s="1"/>
  <c r="FF128" i="3"/>
  <c r="FE128" i="3"/>
  <c r="FE131" i="3" s="1"/>
  <c r="FD128" i="3"/>
  <c r="FD131" i="3" s="1"/>
  <c r="FC128" i="3"/>
  <c r="FC131" i="3" s="1"/>
  <c r="FB128" i="3"/>
  <c r="FB131" i="3" s="1"/>
  <c r="FA128" i="3"/>
  <c r="FA131" i="3" s="1"/>
  <c r="EZ128" i="3"/>
  <c r="EZ131" i="3" s="1"/>
  <c r="EY128" i="3"/>
  <c r="EY131" i="3" s="1"/>
  <c r="EX128" i="3"/>
  <c r="EX131" i="3" s="1"/>
  <c r="EW128" i="3"/>
  <c r="EW131" i="3" s="1"/>
  <c r="EV128" i="3"/>
  <c r="EV131" i="3" s="1"/>
  <c r="EU128" i="3"/>
  <c r="EU131" i="3" s="1"/>
  <c r="ET128" i="3"/>
  <c r="ET131" i="3" s="1"/>
  <c r="ES128" i="3"/>
  <c r="ES131" i="3" s="1"/>
  <c r="ER128" i="3"/>
  <c r="ER131" i="3" s="1"/>
  <c r="EQ128" i="3"/>
  <c r="EQ131" i="3" s="1"/>
  <c r="EP128" i="3"/>
  <c r="EO128" i="3"/>
  <c r="EO131" i="3" s="1"/>
  <c r="EN128" i="3"/>
  <c r="EN131" i="3" s="1"/>
  <c r="EM128" i="3"/>
  <c r="EM131" i="3" s="1"/>
  <c r="EL128" i="3"/>
  <c r="EL131" i="3" s="1"/>
  <c r="EK128" i="3"/>
  <c r="EK131" i="3" s="1"/>
  <c r="EJ128" i="3"/>
  <c r="EJ131" i="3" s="1"/>
  <c r="EI128" i="3"/>
  <c r="EI131" i="3" s="1"/>
  <c r="EH128" i="3"/>
  <c r="EG128" i="3"/>
  <c r="EG131" i="3" s="1"/>
  <c r="EF128" i="3"/>
  <c r="EF131" i="3" s="1"/>
  <c r="EE128" i="3"/>
  <c r="EE131" i="3" s="1"/>
  <c r="ED128" i="3"/>
  <c r="ED131" i="3" s="1"/>
  <c r="EC128" i="3"/>
  <c r="EC131" i="3" s="1"/>
  <c r="EB128" i="3"/>
  <c r="EA128" i="3"/>
  <c r="DZ128" i="3"/>
  <c r="DY128" i="3"/>
  <c r="DY131" i="3" s="1"/>
  <c r="DX128" i="3"/>
  <c r="DX131" i="3" s="1"/>
  <c r="DW128" i="3"/>
  <c r="DW131" i="3" s="1"/>
  <c r="DV128" i="3"/>
  <c r="DV131" i="3" s="1"/>
  <c r="DU128" i="3"/>
  <c r="DU131" i="3" s="1"/>
  <c r="DT128" i="3"/>
  <c r="DT131" i="3" s="1"/>
  <c r="DS128" i="3"/>
  <c r="DS131" i="3" s="1"/>
  <c r="DR128" i="3"/>
  <c r="DR131" i="3" s="1"/>
  <c r="DQ128" i="3"/>
  <c r="DQ131" i="3" s="1"/>
  <c r="DP128" i="3"/>
  <c r="DO128" i="3"/>
  <c r="DO131" i="3" s="1"/>
  <c r="DN128" i="3"/>
  <c r="DN131" i="3" s="1"/>
  <c r="DM128" i="3"/>
  <c r="DM131" i="3" s="1"/>
  <c r="DL128" i="3"/>
  <c r="DL131" i="3" s="1"/>
  <c r="DK128" i="3"/>
  <c r="DK131" i="3" s="1"/>
  <c r="DJ128" i="3"/>
  <c r="DJ131" i="3" s="1"/>
  <c r="DI128" i="3"/>
  <c r="DI131" i="3" s="1"/>
  <c r="DH128" i="3"/>
  <c r="DH131" i="3" s="1"/>
  <c r="DG128" i="3"/>
  <c r="DG131" i="3" s="1"/>
  <c r="DF128" i="3"/>
  <c r="DF131" i="3" s="1"/>
  <c r="DE128" i="3"/>
  <c r="DD128" i="3"/>
  <c r="DD131" i="3" s="1"/>
  <c r="DC128" i="3"/>
  <c r="DB128" i="3"/>
  <c r="DB131" i="3" s="1"/>
  <c r="DA128" i="3"/>
  <c r="DA131" i="3" s="1"/>
  <c r="CZ128" i="3"/>
  <c r="CZ131" i="3" s="1"/>
  <c r="CY128" i="3"/>
  <c r="CY131" i="3" s="1"/>
  <c r="CX128" i="3"/>
  <c r="CX131" i="3" s="1"/>
  <c r="CW128" i="3"/>
  <c r="CW131" i="3" s="1"/>
  <c r="CV128" i="3"/>
  <c r="CV131" i="3" s="1"/>
  <c r="CU128" i="3"/>
  <c r="CU131" i="3" s="1"/>
  <c r="CT128" i="3"/>
  <c r="CT131" i="3" s="1"/>
  <c r="CS128" i="3"/>
  <c r="CS131" i="3" s="1"/>
  <c r="CR128" i="3"/>
  <c r="CR131" i="3" s="1"/>
  <c r="CQ128" i="3"/>
  <c r="CQ131" i="3" s="1"/>
  <c r="CP128" i="3"/>
  <c r="CO128" i="3"/>
  <c r="CN128" i="3"/>
  <c r="CN131" i="3" s="1"/>
  <c r="C131" i="3"/>
  <c r="FW124" i="3"/>
  <c r="FV124" i="3"/>
  <c r="FU124" i="3"/>
  <c r="FT124" i="3"/>
  <c r="FS124" i="3"/>
  <c r="FR124" i="3"/>
  <c r="FQ124" i="3"/>
  <c r="FP124" i="3"/>
  <c r="FO124" i="3"/>
  <c r="FN124" i="3"/>
  <c r="FM124" i="3"/>
  <c r="FL124" i="3"/>
  <c r="FK124" i="3"/>
  <c r="FJ124" i="3"/>
  <c r="FI124" i="3"/>
  <c r="FH124" i="3"/>
  <c r="FG124" i="3"/>
  <c r="FF124" i="3"/>
  <c r="FE124" i="3"/>
  <c r="FD124" i="3"/>
  <c r="FC124" i="3"/>
  <c r="FB124" i="3"/>
  <c r="FA124" i="3"/>
  <c r="EZ124" i="3"/>
  <c r="EY124" i="3"/>
  <c r="EX124" i="3"/>
  <c r="EW124" i="3"/>
  <c r="EV124" i="3"/>
  <c r="EU124" i="3"/>
  <c r="ET124" i="3"/>
  <c r="ES124" i="3"/>
  <c r="ER124" i="3"/>
  <c r="EQ124" i="3"/>
  <c r="EP124" i="3"/>
  <c r="EO124" i="3"/>
  <c r="EN124" i="3"/>
  <c r="EM124" i="3"/>
  <c r="EL124" i="3"/>
  <c r="EK124" i="3"/>
  <c r="EJ124" i="3"/>
  <c r="EI124" i="3"/>
  <c r="EH124" i="3"/>
  <c r="EG124" i="3"/>
  <c r="EF124" i="3"/>
  <c r="EE124" i="3"/>
  <c r="ED124" i="3"/>
  <c r="EC124" i="3"/>
  <c r="EB124" i="3"/>
  <c r="EA124" i="3"/>
  <c r="DZ124" i="3"/>
  <c r="DY124" i="3"/>
  <c r="DX124" i="3"/>
  <c r="DW124" i="3"/>
  <c r="DV124" i="3"/>
  <c r="DU124" i="3"/>
  <c r="DT124" i="3"/>
  <c r="DS124" i="3"/>
  <c r="DR124" i="3"/>
  <c r="DQ124" i="3"/>
  <c r="DP124" i="3"/>
  <c r="DO124" i="3"/>
  <c r="DN124" i="3"/>
  <c r="DM124" i="3"/>
  <c r="DL124" i="3"/>
  <c r="DK124" i="3"/>
  <c r="DJ124" i="3"/>
  <c r="DI124" i="3"/>
  <c r="DH124" i="3"/>
  <c r="DG124" i="3"/>
  <c r="DF124" i="3"/>
  <c r="DE124" i="3"/>
  <c r="DD124" i="3"/>
  <c r="DC124" i="3"/>
  <c r="DB124" i="3"/>
  <c r="DA124" i="3"/>
  <c r="CZ124" i="3"/>
  <c r="CY124" i="3"/>
  <c r="CX124" i="3"/>
  <c r="CW124" i="3"/>
  <c r="CV124" i="3"/>
  <c r="CU124" i="3"/>
  <c r="CT124" i="3"/>
  <c r="CS124" i="3"/>
  <c r="CR124" i="3"/>
  <c r="CQ124" i="3"/>
  <c r="CP124" i="3"/>
  <c r="CO124" i="3"/>
  <c r="CN124" i="3"/>
  <c r="FW123" i="3"/>
  <c r="FV123" i="3"/>
  <c r="FU123" i="3"/>
  <c r="FT123" i="3"/>
  <c r="FS123" i="3"/>
  <c r="FR123" i="3"/>
  <c r="FQ123" i="3"/>
  <c r="FP123" i="3"/>
  <c r="FO123" i="3"/>
  <c r="FN123" i="3"/>
  <c r="FM123" i="3"/>
  <c r="FL123" i="3"/>
  <c r="FK123" i="3"/>
  <c r="FJ123" i="3"/>
  <c r="FI123" i="3"/>
  <c r="FH123" i="3"/>
  <c r="FG123" i="3"/>
  <c r="FF123" i="3"/>
  <c r="FE123" i="3"/>
  <c r="FD123" i="3"/>
  <c r="FC123" i="3"/>
  <c r="FB123" i="3"/>
  <c r="FA123" i="3"/>
  <c r="EZ123" i="3"/>
  <c r="EY123" i="3"/>
  <c r="EX123" i="3"/>
  <c r="EW123" i="3"/>
  <c r="EV123" i="3"/>
  <c r="EU123" i="3"/>
  <c r="ET123" i="3"/>
  <c r="ES123" i="3"/>
  <c r="ER123" i="3"/>
  <c r="EQ123" i="3"/>
  <c r="EP123" i="3"/>
  <c r="EO123" i="3"/>
  <c r="EN123" i="3"/>
  <c r="EM123" i="3"/>
  <c r="EL123" i="3"/>
  <c r="EK123" i="3"/>
  <c r="EJ123" i="3"/>
  <c r="EI123" i="3"/>
  <c r="EH123" i="3"/>
  <c r="EG123" i="3"/>
  <c r="EF123" i="3"/>
  <c r="EE123" i="3"/>
  <c r="ED123" i="3"/>
  <c r="EC123" i="3"/>
  <c r="EB123" i="3"/>
  <c r="EA123" i="3"/>
  <c r="DZ123" i="3"/>
  <c r="DY123" i="3"/>
  <c r="DX123" i="3"/>
  <c r="DW123" i="3"/>
  <c r="DV123" i="3"/>
  <c r="DU123" i="3"/>
  <c r="DT123" i="3"/>
  <c r="DS123" i="3"/>
  <c r="DR123" i="3"/>
  <c r="DQ123" i="3"/>
  <c r="DP123" i="3"/>
  <c r="DO123" i="3"/>
  <c r="DN123" i="3"/>
  <c r="DM123" i="3"/>
  <c r="DL123" i="3"/>
  <c r="DK123" i="3"/>
  <c r="DJ123" i="3"/>
  <c r="DI123" i="3"/>
  <c r="DH123" i="3"/>
  <c r="DG123" i="3"/>
  <c r="DF123" i="3"/>
  <c r="DE123" i="3"/>
  <c r="DD123" i="3"/>
  <c r="DC123" i="3"/>
  <c r="DB123" i="3"/>
  <c r="DA123" i="3"/>
  <c r="CZ123" i="3"/>
  <c r="CY123" i="3"/>
  <c r="CX123" i="3"/>
  <c r="CW123" i="3"/>
  <c r="CV123" i="3"/>
  <c r="CU123" i="3"/>
  <c r="CT123" i="3"/>
  <c r="CS123" i="3"/>
  <c r="CR123" i="3"/>
  <c r="CQ123" i="3"/>
  <c r="CP123" i="3"/>
  <c r="CO123" i="3"/>
  <c r="CN123" i="3"/>
  <c r="FW122" i="3"/>
  <c r="FV122" i="3"/>
  <c r="FU122" i="3"/>
  <c r="FT122" i="3"/>
  <c r="FS122" i="3"/>
  <c r="FR122" i="3"/>
  <c r="FQ122" i="3"/>
  <c r="FP122" i="3"/>
  <c r="FO122" i="3"/>
  <c r="FN122" i="3"/>
  <c r="FM122" i="3"/>
  <c r="FL122" i="3"/>
  <c r="FK122" i="3"/>
  <c r="FJ122" i="3"/>
  <c r="FI122" i="3"/>
  <c r="FH122" i="3"/>
  <c r="FG122" i="3"/>
  <c r="FF122" i="3"/>
  <c r="FE122" i="3"/>
  <c r="FD122" i="3"/>
  <c r="FC122" i="3"/>
  <c r="FB122" i="3"/>
  <c r="FA122" i="3"/>
  <c r="EZ122" i="3"/>
  <c r="EY122" i="3"/>
  <c r="EX122" i="3"/>
  <c r="EW122" i="3"/>
  <c r="EV122" i="3"/>
  <c r="EU122" i="3"/>
  <c r="ET122" i="3"/>
  <c r="ES122" i="3"/>
  <c r="ER122" i="3"/>
  <c r="EQ122" i="3"/>
  <c r="EP122" i="3"/>
  <c r="EO122" i="3"/>
  <c r="EN122" i="3"/>
  <c r="EM122" i="3"/>
  <c r="EL122" i="3"/>
  <c r="EK122" i="3"/>
  <c r="EJ122" i="3"/>
  <c r="EI122" i="3"/>
  <c r="EH122" i="3"/>
  <c r="EG122" i="3"/>
  <c r="EF122" i="3"/>
  <c r="EE122" i="3"/>
  <c r="ED122" i="3"/>
  <c r="EC122" i="3"/>
  <c r="EB122" i="3"/>
  <c r="EA122" i="3"/>
  <c r="DZ122" i="3"/>
  <c r="DY122" i="3"/>
  <c r="DX122" i="3"/>
  <c r="DW122" i="3"/>
  <c r="DV122" i="3"/>
  <c r="DU122" i="3"/>
  <c r="DT122" i="3"/>
  <c r="DS122" i="3"/>
  <c r="DR122" i="3"/>
  <c r="DQ122" i="3"/>
  <c r="DP122" i="3"/>
  <c r="DO122" i="3"/>
  <c r="DN122" i="3"/>
  <c r="DM122" i="3"/>
  <c r="DL122" i="3"/>
  <c r="DK122" i="3"/>
  <c r="DJ122" i="3"/>
  <c r="DI122" i="3"/>
  <c r="DH122" i="3"/>
  <c r="DG122" i="3"/>
  <c r="DF122" i="3"/>
  <c r="DE122" i="3"/>
  <c r="DD122" i="3"/>
  <c r="DC122" i="3"/>
  <c r="DB122" i="3"/>
  <c r="DA122" i="3"/>
  <c r="CZ122" i="3"/>
  <c r="CY122" i="3"/>
  <c r="CX122" i="3"/>
  <c r="CW122" i="3"/>
  <c r="CV122" i="3"/>
  <c r="CU122" i="3"/>
  <c r="CT122" i="3"/>
  <c r="CS122" i="3"/>
  <c r="CR122" i="3"/>
  <c r="CQ122" i="3"/>
  <c r="CP122" i="3"/>
  <c r="CO122" i="3"/>
  <c r="CN122" i="3"/>
  <c r="FW121" i="3"/>
  <c r="FV121" i="3"/>
  <c r="FU121" i="3"/>
  <c r="FT121" i="3"/>
  <c r="FS121" i="3"/>
  <c r="FR121" i="3"/>
  <c r="FQ121" i="3"/>
  <c r="FP121" i="3"/>
  <c r="FO121" i="3"/>
  <c r="FN121" i="3"/>
  <c r="FM121" i="3"/>
  <c r="FL121" i="3"/>
  <c r="FK121" i="3"/>
  <c r="FJ121" i="3"/>
  <c r="FI121" i="3"/>
  <c r="FH121" i="3"/>
  <c r="FG121" i="3"/>
  <c r="FF121" i="3"/>
  <c r="FE121" i="3"/>
  <c r="FD121" i="3"/>
  <c r="FC121" i="3"/>
  <c r="FB121" i="3"/>
  <c r="FA121" i="3"/>
  <c r="EZ121" i="3"/>
  <c r="EY121" i="3"/>
  <c r="EX121" i="3"/>
  <c r="EW121" i="3"/>
  <c r="EW125" i="3" s="1"/>
  <c r="EV121" i="3"/>
  <c r="EU121" i="3"/>
  <c r="ET121" i="3"/>
  <c r="ES121" i="3"/>
  <c r="ER121" i="3"/>
  <c r="EQ121" i="3"/>
  <c r="EP121" i="3"/>
  <c r="EO121" i="3"/>
  <c r="EN121" i="3"/>
  <c r="EM121" i="3"/>
  <c r="EL121" i="3"/>
  <c r="EK121" i="3"/>
  <c r="EJ121" i="3"/>
  <c r="EI121" i="3"/>
  <c r="EH121" i="3"/>
  <c r="EG121" i="3"/>
  <c r="EF121" i="3"/>
  <c r="EE121" i="3"/>
  <c r="ED121" i="3"/>
  <c r="EC121" i="3"/>
  <c r="EC125" i="3" s="1"/>
  <c r="EB121" i="3"/>
  <c r="EA121" i="3"/>
  <c r="DZ121" i="3"/>
  <c r="DY121" i="3"/>
  <c r="DX121" i="3"/>
  <c r="DW121" i="3"/>
  <c r="DV121" i="3"/>
  <c r="DU121" i="3"/>
  <c r="DU125" i="3" s="1"/>
  <c r="DT121" i="3"/>
  <c r="DS121" i="3"/>
  <c r="DR121" i="3"/>
  <c r="DQ121" i="3"/>
  <c r="DQ125" i="3" s="1"/>
  <c r="DP121" i="3"/>
  <c r="DO121" i="3"/>
  <c r="DN121" i="3"/>
  <c r="DM121" i="3"/>
  <c r="DL121" i="3"/>
  <c r="DK121" i="3"/>
  <c r="DJ121" i="3"/>
  <c r="DI121" i="3"/>
  <c r="DH121" i="3"/>
  <c r="DG121" i="3"/>
  <c r="DF121" i="3"/>
  <c r="DE121" i="3"/>
  <c r="DD121" i="3"/>
  <c r="DC121" i="3"/>
  <c r="DB121" i="3"/>
  <c r="DA121" i="3"/>
  <c r="CZ121" i="3"/>
  <c r="CY121" i="3"/>
  <c r="CX121" i="3"/>
  <c r="CW121" i="3"/>
  <c r="CW125" i="3" s="1"/>
  <c r="CV121" i="3"/>
  <c r="CU121" i="3"/>
  <c r="CT121" i="3"/>
  <c r="CS121" i="3"/>
  <c r="CR121" i="3"/>
  <c r="CQ121" i="3"/>
  <c r="CP121" i="3"/>
  <c r="CO121" i="3"/>
  <c r="CO125" i="3" s="1"/>
  <c r="CN121" i="3"/>
  <c r="FW84" i="3"/>
  <c r="FV84" i="3"/>
  <c r="FU84" i="3"/>
  <c r="FT84" i="3"/>
  <c r="FS84" i="3"/>
  <c r="FR84" i="3"/>
  <c r="FQ84" i="3"/>
  <c r="FP84" i="3"/>
  <c r="FO84" i="3"/>
  <c r="FN84" i="3"/>
  <c r="FM84" i="3"/>
  <c r="FL84" i="3"/>
  <c r="FK84" i="3"/>
  <c r="FJ84" i="3"/>
  <c r="FI84" i="3"/>
  <c r="FH84" i="3"/>
  <c r="FG84" i="3"/>
  <c r="FF84" i="3"/>
  <c r="FE84" i="3"/>
  <c r="FD84" i="3"/>
  <c r="FC84" i="3"/>
  <c r="FB84" i="3"/>
  <c r="FA84" i="3"/>
  <c r="EZ84" i="3"/>
  <c r="EY84" i="3"/>
  <c r="EX84" i="3"/>
  <c r="EW84" i="3"/>
  <c r="EV84" i="3"/>
  <c r="EU84" i="3"/>
  <c r="ET84" i="3"/>
  <c r="ES84" i="3"/>
  <c r="ER84" i="3"/>
  <c r="EQ84" i="3"/>
  <c r="EP84" i="3"/>
  <c r="EO84" i="3"/>
  <c r="EN84" i="3"/>
  <c r="EM84" i="3"/>
  <c r="EL84" i="3"/>
  <c r="EK84" i="3"/>
  <c r="EJ84" i="3"/>
  <c r="EI84" i="3"/>
  <c r="EH84" i="3"/>
  <c r="EG84" i="3"/>
  <c r="EF84" i="3"/>
  <c r="EE84" i="3"/>
  <c r="ED84" i="3"/>
  <c r="EC84" i="3"/>
  <c r="EB84" i="3"/>
  <c r="EA84" i="3"/>
  <c r="DZ84" i="3"/>
  <c r="DY84" i="3"/>
  <c r="DX84" i="3"/>
  <c r="DW84" i="3"/>
  <c r="DV84" i="3"/>
  <c r="DU84" i="3"/>
  <c r="DT84" i="3"/>
  <c r="DS84" i="3"/>
  <c r="DR84" i="3"/>
  <c r="DQ84" i="3"/>
  <c r="DP84" i="3"/>
  <c r="DO84" i="3"/>
  <c r="DN84" i="3"/>
  <c r="DM84" i="3"/>
  <c r="DL84" i="3"/>
  <c r="DK84" i="3"/>
  <c r="DJ84" i="3"/>
  <c r="DI84" i="3"/>
  <c r="DH84" i="3"/>
  <c r="DG84" i="3"/>
  <c r="DF84" i="3"/>
  <c r="DE84" i="3"/>
  <c r="DD84" i="3"/>
  <c r="DC84" i="3"/>
  <c r="DB84" i="3"/>
  <c r="DA84" i="3"/>
  <c r="CZ84" i="3"/>
  <c r="CY84" i="3"/>
  <c r="CX84" i="3"/>
  <c r="CW84" i="3"/>
  <c r="CV84" i="3"/>
  <c r="CU84" i="3"/>
  <c r="CT84" i="3"/>
  <c r="CS84" i="3"/>
  <c r="CR84" i="3"/>
  <c r="CQ84" i="3"/>
  <c r="CP84" i="3"/>
  <c r="CO84" i="3"/>
  <c r="CN84" i="3"/>
  <c r="FW83" i="3"/>
  <c r="FW86" i="3" s="1"/>
  <c r="FV83" i="3"/>
  <c r="FV86" i="3" s="1"/>
  <c r="FU83" i="3"/>
  <c r="FU86" i="3" s="1"/>
  <c r="FT83" i="3"/>
  <c r="FT86" i="3" s="1"/>
  <c r="FS83" i="3"/>
  <c r="FS86" i="3" s="1"/>
  <c r="FR83" i="3"/>
  <c r="FQ83" i="3"/>
  <c r="FQ86" i="3" s="1"/>
  <c r="FP83" i="3"/>
  <c r="FP86" i="3" s="1"/>
  <c r="FO83" i="3"/>
  <c r="FO86" i="3" s="1"/>
  <c r="FN83" i="3"/>
  <c r="FN86" i="3" s="1"/>
  <c r="FM83" i="3"/>
  <c r="FM86" i="3" s="1"/>
  <c r="FL83" i="3"/>
  <c r="FL86" i="3" s="1"/>
  <c r="FK83" i="3"/>
  <c r="FK86" i="3" s="1"/>
  <c r="FJ83" i="3"/>
  <c r="FJ86" i="3" s="1"/>
  <c r="FI83" i="3"/>
  <c r="FI86" i="3" s="1"/>
  <c r="FH83" i="3"/>
  <c r="FH86" i="3" s="1"/>
  <c r="FG83" i="3"/>
  <c r="FF83" i="3"/>
  <c r="FF86" i="3" s="1"/>
  <c r="FE83" i="3"/>
  <c r="FE86" i="3" s="1"/>
  <c r="FD83" i="3"/>
  <c r="FD86" i="3" s="1"/>
  <c r="FC83" i="3"/>
  <c r="FC86" i="3" s="1"/>
  <c r="FB83" i="3"/>
  <c r="FB86" i="3" s="1"/>
  <c r="FA83" i="3"/>
  <c r="EZ83" i="3"/>
  <c r="EZ86" i="3" s="1"/>
  <c r="EY83" i="3"/>
  <c r="EX83" i="3"/>
  <c r="EX86" i="3" s="1"/>
  <c r="EW83" i="3"/>
  <c r="EW86" i="3" s="1"/>
  <c r="EV83" i="3"/>
  <c r="EV86" i="3" s="1"/>
  <c r="EU83" i="3"/>
  <c r="ET83" i="3"/>
  <c r="ET86" i="3" s="1"/>
  <c r="ES83" i="3"/>
  <c r="ES86" i="3" s="1"/>
  <c r="ER83" i="3"/>
  <c r="ER86" i="3" s="1"/>
  <c r="EQ83" i="3"/>
  <c r="EQ86" i="3" s="1"/>
  <c r="EP83" i="3"/>
  <c r="EP86" i="3" s="1"/>
  <c r="EO83" i="3"/>
  <c r="EO86" i="3" s="1"/>
  <c r="EN83" i="3"/>
  <c r="EN86" i="3" s="1"/>
  <c r="EM83" i="3"/>
  <c r="EM86" i="3" s="1"/>
  <c r="EL83" i="3"/>
  <c r="EL86" i="3" s="1"/>
  <c r="EK83" i="3"/>
  <c r="EK86" i="3" s="1"/>
  <c r="EJ83" i="3"/>
  <c r="EJ86" i="3" s="1"/>
  <c r="EI83" i="3"/>
  <c r="EI86" i="3" s="1"/>
  <c r="EH83" i="3"/>
  <c r="EH86" i="3" s="1"/>
  <c r="EG83" i="3"/>
  <c r="EG86" i="3" s="1"/>
  <c r="EF83" i="3"/>
  <c r="EF86" i="3" s="1"/>
  <c r="EE83" i="3"/>
  <c r="ED83" i="3"/>
  <c r="ED86" i="3" s="1"/>
  <c r="EC83" i="3"/>
  <c r="EC86" i="3" s="1"/>
  <c r="EB83" i="3"/>
  <c r="EB86" i="3" s="1"/>
  <c r="EA83" i="3"/>
  <c r="EA86" i="3" s="1"/>
  <c r="DZ83" i="3"/>
  <c r="DZ86" i="3" s="1"/>
  <c r="DY83" i="3"/>
  <c r="DY86" i="3" s="1"/>
  <c r="DX83" i="3"/>
  <c r="DX86" i="3" s="1"/>
  <c r="DW83" i="3"/>
  <c r="DW86" i="3" s="1"/>
  <c r="DV83" i="3"/>
  <c r="DV86" i="3" s="1"/>
  <c r="DU83" i="3"/>
  <c r="DU86" i="3" s="1"/>
  <c r="DT83" i="3"/>
  <c r="DT86" i="3" s="1"/>
  <c r="DS83" i="3"/>
  <c r="DS86" i="3" s="1"/>
  <c r="DR83" i="3"/>
  <c r="DR86" i="3" s="1"/>
  <c r="DQ83" i="3"/>
  <c r="DQ86" i="3" s="1"/>
  <c r="DP83" i="3"/>
  <c r="DP86" i="3" s="1"/>
  <c r="DO83" i="3"/>
  <c r="DO86" i="3" s="1"/>
  <c r="DN83" i="3"/>
  <c r="DN86" i="3" s="1"/>
  <c r="DM83" i="3"/>
  <c r="DM86" i="3" s="1"/>
  <c r="DL83" i="3"/>
  <c r="DL86" i="3" s="1"/>
  <c r="DK83" i="3"/>
  <c r="DK86" i="3" s="1"/>
  <c r="DJ83" i="3"/>
  <c r="DJ86" i="3" s="1"/>
  <c r="DI83" i="3"/>
  <c r="DI86" i="3" s="1"/>
  <c r="DH83" i="3"/>
  <c r="DH86" i="3" s="1"/>
  <c r="DG83" i="3"/>
  <c r="DG86" i="3" s="1"/>
  <c r="DF83" i="3"/>
  <c r="DF86" i="3" s="1"/>
  <c r="DE83" i="3"/>
  <c r="DE86" i="3" s="1"/>
  <c r="DD83" i="3"/>
  <c r="DD86" i="3" s="1"/>
  <c r="DC83" i="3"/>
  <c r="DC86" i="3" s="1"/>
  <c r="DB83" i="3"/>
  <c r="DB86" i="3" s="1"/>
  <c r="DA83" i="3"/>
  <c r="DA86" i="3" s="1"/>
  <c r="CZ83" i="3"/>
  <c r="CZ86" i="3" s="1"/>
  <c r="CY83" i="3"/>
  <c r="CY86" i="3" s="1"/>
  <c r="CX83" i="3"/>
  <c r="CX86" i="3" s="1"/>
  <c r="CW83" i="3"/>
  <c r="CW86" i="3" s="1"/>
  <c r="CV83" i="3"/>
  <c r="CV86" i="3" s="1"/>
  <c r="CU83" i="3"/>
  <c r="CU86" i="3" s="1"/>
  <c r="CT83" i="3"/>
  <c r="CT86" i="3" s="1"/>
  <c r="CS83" i="3"/>
  <c r="CS86" i="3" s="1"/>
  <c r="CR83" i="3"/>
  <c r="CR86" i="3" s="1"/>
  <c r="CQ83" i="3"/>
  <c r="CQ86" i="3" s="1"/>
  <c r="CP83" i="3"/>
  <c r="CP86" i="3" s="1"/>
  <c r="CO83" i="3"/>
  <c r="CO86" i="3" s="1"/>
  <c r="CN83" i="3"/>
  <c r="CN86" i="3" s="1"/>
  <c r="C86" i="3"/>
  <c r="FW48" i="3"/>
  <c r="FV48" i="3"/>
  <c r="FU48" i="3"/>
  <c r="FT48" i="3"/>
  <c r="FS48" i="3"/>
  <c r="FR48" i="3"/>
  <c r="FQ48" i="3"/>
  <c r="FP48" i="3"/>
  <c r="FO48" i="3"/>
  <c r="FN48" i="3"/>
  <c r="FM48" i="3"/>
  <c r="FL48" i="3"/>
  <c r="FK48" i="3"/>
  <c r="FJ48" i="3"/>
  <c r="FI48" i="3"/>
  <c r="FH48" i="3"/>
  <c r="FG48" i="3"/>
  <c r="FF48" i="3"/>
  <c r="FE48" i="3"/>
  <c r="FD48" i="3"/>
  <c r="FC48" i="3"/>
  <c r="FB48" i="3"/>
  <c r="FA48" i="3"/>
  <c r="EZ48" i="3"/>
  <c r="EY48" i="3"/>
  <c r="EX48" i="3"/>
  <c r="EW48" i="3"/>
  <c r="EV48" i="3"/>
  <c r="EU48" i="3"/>
  <c r="ET48" i="3"/>
  <c r="ES48" i="3"/>
  <c r="ER48" i="3"/>
  <c r="EQ48" i="3"/>
  <c r="EP48" i="3"/>
  <c r="EO48" i="3"/>
  <c r="EN48" i="3"/>
  <c r="EM48" i="3"/>
  <c r="EL48" i="3"/>
  <c r="EK48" i="3"/>
  <c r="EJ48" i="3"/>
  <c r="EI48" i="3"/>
  <c r="EH48" i="3"/>
  <c r="EG48" i="3"/>
  <c r="EF48" i="3"/>
  <c r="EE48" i="3"/>
  <c r="ED48" i="3"/>
  <c r="EC48" i="3"/>
  <c r="EB48" i="3"/>
  <c r="EA48" i="3"/>
  <c r="DZ48" i="3"/>
  <c r="DY48" i="3"/>
  <c r="DX48" i="3"/>
  <c r="DW48" i="3"/>
  <c r="DV48" i="3"/>
  <c r="DU48" i="3"/>
  <c r="DT48" i="3"/>
  <c r="DS48" i="3"/>
  <c r="DR48" i="3"/>
  <c r="DQ48" i="3"/>
  <c r="DP48" i="3"/>
  <c r="DO48" i="3"/>
  <c r="DN48" i="3"/>
  <c r="DM48" i="3"/>
  <c r="DL48" i="3"/>
  <c r="DK48" i="3"/>
  <c r="DJ48" i="3"/>
  <c r="DI48" i="3"/>
  <c r="DH48" i="3"/>
  <c r="DG48" i="3"/>
  <c r="DF48" i="3"/>
  <c r="DE48" i="3"/>
  <c r="DD48" i="3"/>
  <c r="DC48" i="3"/>
  <c r="DB48" i="3"/>
  <c r="DA48" i="3"/>
  <c r="CZ48" i="3"/>
  <c r="CY48" i="3"/>
  <c r="CX48" i="3"/>
  <c r="CW48" i="3"/>
  <c r="CV48" i="3"/>
  <c r="CU48" i="3"/>
  <c r="CT48" i="3"/>
  <c r="CS48" i="3"/>
  <c r="CR48" i="3"/>
  <c r="CQ48" i="3"/>
  <c r="CP48" i="3"/>
  <c r="CO48" i="3"/>
  <c r="CN48" i="3"/>
  <c r="FW47" i="3"/>
  <c r="FV47" i="3"/>
  <c r="FU47" i="3"/>
  <c r="FT47" i="3"/>
  <c r="FS47" i="3"/>
  <c r="FR47" i="3"/>
  <c r="FQ47" i="3"/>
  <c r="FP47" i="3"/>
  <c r="FO47" i="3"/>
  <c r="FN47" i="3"/>
  <c r="FM47" i="3"/>
  <c r="FL47" i="3"/>
  <c r="FK47" i="3"/>
  <c r="FJ47" i="3"/>
  <c r="FI47" i="3"/>
  <c r="FH47" i="3"/>
  <c r="FG47" i="3"/>
  <c r="FF47" i="3"/>
  <c r="FE47" i="3"/>
  <c r="FD47" i="3"/>
  <c r="FC47" i="3"/>
  <c r="FB47" i="3"/>
  <c r="FA47" i="3"/>
  <c r="EZ47" i="3"/>
  <c r="EY47" i="3"/>
  <c r="EX47" i="3"/>
  <c r="EW47" i="3"/>
  <c r="EV47" i="3"/>
  <c r="EU47" i="3"/>
  <c r="ET47" i="3"/>
  <c r="ES47" i="3"/>
  <c r="ER47" i="3"/>
  <c r="EQ47" i="3"/>
  <c r="EP47" i="3"/>
  <c r="EO47" i="3"/>
  <c r="EN47" i="3"/>
  <c r="EM47" i="3"/>
  <c r="EL47" i="3"/>
  <c r="EK47" i="3"/>
  <c r="EJ47" i="3"/>
  <c r="EI47" i="3"/>
  <c r="EH47" i="3"/>
  <c r="EG47" i="3"/>
  <c r="EF47" i="3"/>
  <c r="EE47" i="3"/>
  <c r="ED47" i="3"/>
  <c r="EC47" i="3"/>
  <c r="EB47" i="3"/>
  <c r="EA47" i="3"/>
  <c r="DZ47" i="3"/>
  <c r="DY47" i="3"/>
  <c r="DX47" i="3"/>
  <c r="DW47" i="3"/>
  <c r="DV47" i="3"/>
  <c r="DU47" i="3"/>
  <c r="DT47" i="3"/>
  <c r="DS47" i="3"/>
  <c r="DR47" i="3"/>
  <c r="DQ47" i="3"/>
  <c r="DP47" i="3"/>
  <c r="DO47" i="3"/>
  <c r="DN47" i="3"/>
  <c r="DM47" i="3"/>
  <c r="DL47" i="3"/>
  <c r="DK47" i="3"/>
  <c r="DJ47" i="3"/>
  <c r="DI47" i="3"/>
  <c r="DH47" i="3"/>
  <c r="DG47" i="3"/>
  <c r="DF47" i="3"/>
  <c r="DE47" i="3"/>
  <c r="DD47" i="3"/>
  <c r="DC47" i="3"/>
  <c r="DB47" i="3"/>
  <c r="DA47" i="3"/>
  <c r="CZ47" i="3"/>
  <c r="CY47" i="3"/>
  <c r="CX47" i="3"/>
  <c r="CW47" i="3"/>
  <c r="CV47" i="3"/>
  <c r="CU47" i="3"/>
  <c r="CT47" i="3"/>
  <c r="CS47" i="3"/>
  <c r="CR47" i="3"/>
  <c r="CQ47" i="3"/>
  <c r="CP47" i="3"/>
  <c r="CO47" i="3"/>
  <c r="CN47" i="3"/>
  <c r="FW46" i="3"/>
  <c r="FV46" i="3"/>
  <c r="FU46" i="3"/>
  <c r="FT46" i="3"/>
  <c r="FS46" i="3"/>
  <c r="FR46" i="3"/>
  <c r="FQ46" i="3"/>
  <c r="FP46" i="3"/>
  <c r="FO46" i="3"/>
  <c r="FN46" i="3"/>
  <c r="FM46" i="3"/>
  <c r="FL46" i="3"/>
  <c r="FK46" i="3"/>
  <c r="FJ46" i="3"/>
  <c r="FI46" i="3"/>
  <c r="FH46" i="3"/>
  <c r="FG46" i="3"/>
  <c r="FF46" i="3"/>
  <c r="FE46" i="3"/>
  <c r="FD46" i="3"/>
  <c r="FC46" i="3"/>
  <c r="FB46" i="3"/>
  <c r="FA46" i="3"/>
  <c r="EZ46" i="3"/>
  <c r="EY46" i="3"/>
  <c r="EX46" i="3"/>
  <c r="EW46" i="3"/>
  <c r="EV46" i="3"/>
  <c r="EU46" i="3"/>
  <c r="ET46" i="3"/>
  <c r="ES46" i="3"/>
  <c r="ER46" i="3"/>
  <c r="EQ46" i="3"/>
  <c r="EP46" i="3"/>
  <c r="EO46" i="3"/>
  <c r="EN46" i="3"/>
  <c r="EM46" i="3"/>
  <c r="EL46" i="3"/>
  <c r="EK46" i="3"/>
  <c r="EJ46" i="3"/>
  <c r="EI46" i="3"/>
  <c r="EH46" i="3"/>
  <c r="EG46" i="3"/>
  <c r="EF46" i="3"/>
  <c r="EE46" i="3"/>
  <c r="ED46" i="3"/>
  <c r="EC46" i="3"/>
  <c r="EB46" i="3"/>
  <c r="EA46" i="3"/>
  <c r="DZ46" i="3"/>
  <c r="DY46" i="3"/>
  <c r="DX46" i="3"/>
  <c r="DW46" i="3"/>
  <c r="DV46" i="3"/>
  <c r="DU46" i="3"/>
  <c r="DT46" i="3"/>
  <c r="DS46" i="3"/>
  <c r="DR46" i="3"/>
  <c r="DQ46" i="3"/>
  <c r="DP46" i="3"/>
  <c r="DO46" i="3"/>
  <c r="DN46" i="3"/>
  <c r="DM46" i="3"/>
  <c r="DL46" i="3"/>
  <c r="DK46" i="3"/>
  <c r="DJ46" i="3"/>
  <c r="DI46" i="3"/>
  <c r="DH46" i="3"/>
  <c r="DG46" i="3"/>
  <c r="DF46" i="3"/>
  <c r="DE46" i="3"/>
  <c r="DD46" i="3"/>
  <c r="DC46" i="3"/>
  <c r="DB46" i="3"/>
  <c r="DA46" i="3"/>
  <c r="CZ46" i="3"/>
  <c r="CY46" i="3"/>
  <c r="CX46" i="3"/>
  <c r="CW46" i="3"/>
  <c r="CV46" i="3"/>
  <c r="CU46" i="3"/>
  <c r="CT46" i="3"/>
  <c r="CS46" i="3"/>
  <c r="CR46" i="3"/>
  <c r="CQ46" i="3"/>
  <c r="CP46" i="3"/>
  <c r="CO46" i="3"/>
  <c r="CN46" i="3"/>
  <c r="FW45" i="3"/>
  <c r="FV45" i="3"/>
  <c r="FU45" i="3"/>
  <c r="FT45" i="3"/>
  <c r="FS45" i="3"/>
  <c r="FR45" i="3"/>
  <c r="FQ45" i="3"/>
  <c r="FP45" i="3"/>
  <c r="FO45" i="3"/>
  <c r="FN45" i="3"/>
  <c r="FM45" i="3"/>
  <c r="FL45" i="3"/>
  <c r="FK45" i="3"/>
  <c r="FJ45" i="3"/>
  <c r="FI45" i="3"/>
  <c r="FH45" i="3"/>
  <c r="FG45" i="3"/>
  <c r="FF45" i="3"/>
  <c r="FE45" i="3"/>
  <c r="FD45" i="3"/>
  <c r="FC45" i="3"/>
  <c r="FB45" i="3"/>
  <c r="FA45" i="3"/>
  <c r="EZ45" i="3"/>
  <c r="EY45" i="3"/>
  <c r="EX45" i="3"/>
  <c r="EW45" i="3"/>
  <c r="EV45" i="3"/>
  <c r="EU45" i="3"/>
  <c r="ET45" i="3"/>
  <c r="ES45" i="3"/>
  <c r="ER45" i="3"/>
  <c r="EQ45" i="3"/>
  <c r="EP45" i="3"/>
  <c r="EO45" i="3"/>
  <c r="EN45" i="3"/>
  <c r="EM45" i="3"/>
  <c r="EL45" i="3"/>
  <c r="EK45" i="3"/>
  <c r="EJ45" i="3"/>
  <c r="EI45" i="3"/>
  <c r="EH45" i="3"/>
  <c r="EG45" i="3"/>
  <c r="EF45" i="3"/>
  <c r="EE45" i="3"/>
  <c r="ED45" i="3"/>
  <c r="EC45" i="3"/>
  <c r="EB45" i="3"/>
  <c r="EA45" i="3"/>
  <c r="DZ45" i="3"/>
  <c r="DY45" i="3"/>
  <c r="DX45" i="3"/>
  <c r="DW45" i="3"/>
  <c r="DV45" i="3"/>
  <c r="DU45" i="3"/>
  <c r="DT45" i="3"/>
  <c r="DS45" i="3"/>
  <c r="DR45" i="3"/>
  <c r="DQ45" i="3"/>
  <c r="DP45" i="3"/>
  <c r="DO45" i="3"/>
  <c r="DN45" i="3"/>
  <c r="DM45" i="3"/>
  <c r="DL45" i="3"/>
  <c r="DK45" i="3"/>
  <c r="DJ45" i="3"/>
  <c r="DI45" i="3"/>
  <c r="DH45" i="3"/>
  <c r="DG45" i="3"/>
  <c r="DF45" i="3"/>
  <c r="DE45" i="3"/>
  <c r="DD45" i="3"/>
  <c r="DC45" i="3"/>
  <c r="DB45" i="3"/>
  <c r="DA45" i="3"/>
  <c r="CZ45" i="3"/>
  <c r="CY45" i="3"/>
  <c r="CX45" i="3"/>
  <c r="CW45" i="3"/>
  <c r="CV45" i="3"/>
  <c r="CU45" i="3"/>
  <c r="CT45" i="3"/>
  <c r="CS45" i="3"/>
  <c r="CR45" i="3"/>
  <c r="CQ45" i="3"/>
  <c r="CP45" i="3"/>
  <c r="CO45" i="3"/>
  <c r="CN45" i="3"/>
  <c r="FW44" i="3"/>
  <c r="FV44" i="3"/>
  <c r="FU44" i="3"/>
  <c r="FT44" i="3"/>
  <c r="FS44" i="3"/>
  <c r="FR44" i="3"/>
  <c r="FQ44" i="3"/>
  <c r="FP44" i="3"/>
  <c r="FO44" i="3"/>
  <c r="FN44" i="3"/>
  <c r="FM44" i="3"/>
  <c r="FL44" i="3"/>
  <c r="FK44" i="3"/>
  <c r="FJ44" i="3"/>
  <c r="FI44" i="3"/>
  <c r="FH44" i="3"/>
  <c r="FG44" i="3"/>
  <c r="FF44" i="3"/>
  <c r="FE44" i="3"/>
  <c r="FD44" i="3"/>
  <c r="FC44" i="3"/>
  <c r="FB44" i="3"/>
  <c r="FA44" i="3"/>
  <c r="EZ44" i="3"/>
  <c r="EY44" i="3"/>
  <c r="EX44" i="3"/>
  <c r="EW44" i="3"/>
  <c r="EV44" i="3"/>
  <c r="EU44" i="3"/>
  <c r="ET44" i="3"/>
  <c r="ES44" i="3"/>
  <c r="ER44" i="3"/>
  <c r="EQ44" i="3"/>
  <c r="EP44" i="3"/>
  <c r="EO44" i="3"/>
  <c r="EN44" i="3"/>
  <c r="EM44" i="3"/>
  <c r="EL44" i="3"/>
  <c r="EK44" i="3"/>
  <c r="EJ44" i="3"/>
  <c r="EI44" i="3"/>
  <c r="EH44" i="3"/>
  <c r="EG44" i="3"/>
  <c r="EF44" i="3"/>
  <c r="EE44" i="3"/>
  <c r="ED44" i="3"/>
  <c r="EC44" i="3"/>
  <c r="EB44" i="3"/>
  <c r="EA44" i="3"/>
  <c r="DZ44" i="3"/>
  <c r="DY44" i="3"/>
  <c r="DX44" i="3"/>
  <c r="DW44" i="3"/>
  <c r="DV44" i="3"/>
  <c r="DU44" i="3"/>
  <c r="DT44" i="3"/>
  <c r="DS44" i="3"/>
  <c r="DR44" i="3"/>
  <c r="DQ44" i="3"/>
  <c r="DP44" i="3"/>
  <c r="DO44" i="3"/>
  <c r="DN44" i="3"/>
  <c r="DM44" i="3"/>
  <c r="DL44" i="3"/>
  <c r="DK44" i="3"/>
  <c r="DJ44" i="3"/>
  <c r="DI44" i="3"/>
  <c r="DH44" i="3"/>
  <c r="DG44" i="3"/>
  <c r="DF44" i="3"/>
  <c r="DE44" i="3"/>
  <c r="DD44" i="3"/>
  <c r="DC44" i="3"/>
  <c r="DB44" i="3"/>
  <c r="DA44" i="3"/>
  <c r="CZ44" i="3"/>
  <c r="CY44" i="3"/>
  <c r="CX44" i="3"/>
  <c r="CW44" i="3"/>
  <c r="CV44" i="3"/>
  <c r="CU44" i="3"/>
  <c r="CT44" i="3"/>
  <c r="CS44" i="3"/>
  <c r="CR44" i="3"/>
  <c r="CQ44" i="3"/>
  <c r="CP44" i="3"/>
  <c r="CO44" i="3"/>
  <c r="CN44" i="3"/>
  <c r="FW43" i="3"/>
  <c r="FV43" i="3"/>
  <c r="FU43" i="3"/>
  <c r="FT43" i="3"/>
  <c r="FS43" i="3"/>
  <c r="FR43" i="3"/>
  <c r="FQ43" i="3"/>
  <c r="FP43" i="3"/>
  <c r="FO43" i="3"/>
  <c r="FN43" i="3"/>
  <c r="FM43" i="3"/>
  <c r="FL43" i="3"/>
  <c r="FK43" i="3"/>
  <c r="FJ43" i="3"/>
  <c r="FI43" i="3"/>
  <c r="FH43" i="3"/>
  <c r="FG43" i="3"/>
  <c r="FF43" i="3"/>
  <c r="FE43" i="3"/>
  <c r="FD43" i="3"/>
  <c r="FC43" i="3"/>
  <c r="FB43" i="3"/>
  <c r="FA43" i="3"/>
  <c r="EZ43" i="3"/>
  <c r="EY43" i="3"/>
  <c r="EX43" i="3"/>
  <c r="EW43" i="3"/>
  <c r="EV43" i="3"/>
  <c r="EU43" i="3"/>
  <c r="ET43" i="3"/>
  <c r="ES43" i="3"/>
  <c r="ER43" i="3"/>
  <c r="EQ43" i="3"/>
  <c r="EP43" i="3"/>
  <c r="EO43" i="3"/>
  <c r="EN43" i="3"/>
  <c r="EM43" i="3"/>
  <c r="EL43" i="3"/>
  <c r="EK43" i="3"/>
  <c r="EJ43" i="3"/>
  <c r="EI43" i="3"/>
  <c r="EH43" i="3"/>
  <c r="EG43" i="3"/>
  <c r="EF43" i="3"/>
  <c r="EE43" i="3"/>
  <c r="ED43" i="3"/>
  <c r="EC43" i="3"/>
  <c r="EB43" i="3"/>
  <c r="EA43" i="3"/>
  <c r="DZ43" i="3"/>
  <c r="DY43" i="3"/>
  <c r="DX43" i="3"/>
  <c r="DW43" i="3"/>
  <c r="DV43" i="3"/>
  <c r="DU43" i="3"/>
  <c r="DT43" i="3"/>
  <c r="DS43" i="3"/>
  <c r="DR43" i="3"/>
  <c r="DQ43" i="3"/>
  <c r="DP43" i="3"/>
  <c r="DO43" i="3"/>
  <c r="DN43" i="3"/>
  <c r="DM43" i="3"/>
  <c r="DL43" i="3"/>
  <c r="DK43" i="3"/>
  <c r="DJ43" i="3"/>
  <c r="DI43" i="3"/>
  <c r="DH43" i="3"/>
  <c r="DG43" i="3"/>
  <c r="DF43" i="3"/>
  <c r="DE43" i="3"/>
  <c r="DD43" i="3"/>
  <c r="DC43" i="3"/>
  <c r="DB43" i="3"/>
  <c r="DA43" i="3"/>
  <c r="CZ43" i="3"/>
  <c r="CY43" i="3"/>
  <c r="CX43" i="3"/>
  <c r="CW43" i="3"/>
  <c r="CV43" i="3"/>
  <c r="CU43" i="3"/>
  <c r="CT43" i="3"/>
  <c r="CS43" i="3"/>
  <c r="CR43" i="3"/>
  <c r="CQ43" i="3"/>
  <c r="CP43" i="3"/>
  <c r="CO43" i="3"/>
  <c r="CN43" i="3"/>
  <c r="FW42" i="3"/>
  <c r="FV42" i="3"/>
  <c r="FU42" i="3"/>
  <c r="FT42" i="3"/>
  <c r="FS42" i="3"/>
  <c r="FR42" i="3"/>
  <c r="FQ42" i="3"/>
  <c r="FP42" i="3"/>
  <c r="FO42" i="3"/>
  <c r="FN42" i="3"/>
  <c r="FM42" i="3"/>
  <c r="FL42" i="3"/>
  <c r="FK42" i="3"/>
  <c r="FJ42" i="3"/>
  <c r="FI42" i="3"/>
  <c r="FH42" i="3"/>
  <c r="FG42" i="3"/>
  <c r="FF42" i="3"/>
  <c r="FE42" i="3"/>
  <c r="FD42" i="3"/>
  <c r="FC42" i="3"/>
  <c r="FB42" i="3"/>
  <c r="FA42" i="3"/>
  <c r="EZ42" i="3"/>
  <c r="EY42" i="3"/>
  <c r="EX42" i="3"/>
  <c r="EW42" i="3"/>
  <c r="EV42" i="3"/>
  <c r="EU42" i="3"/>
  <c r="ET42" i="3"/>
  <c r="ES42" i="3"/>
  <c r="ER42" i="3"/>
  <c r="EQ42" i="3"/>
  <c r="EP42" i="3"/>
  <c r="EO42" i="3"/>
  <c r="EN42" i="3"/>
  <c r="EM42" i="3"/>
  <c r="EL42" i="3"/>
  <c r="EK42" i="3"/>
  <c r="EJ42" i="3"/>
  <c r="EI42" i="3"/>
  <c r="EH42" i="3"/>
  <c r="EG42" i="3"/>
  <c r="EF42" i="3"/>
  <c r="EE42" i="3"/>
  <c r="ED42" i="3"/>
  <c r="EC42" i="3"/>
  <c r="EB42" i="3"/>
  <c r="EA42" i="3"/>
  <c r="DZ42" i="3"/>
  <c r="DY42" i="3"/>
  <c r="DX42" i="3"/>
  <c r="DW42" i="3"/>
  <c r="DV42" i="3"/>
  <c r="DU42" i="3"/>
  <c r="DT42" i="3"/>
  <c r="DS42" i="3"/>
  <c r="DR42" i="3"/>
  <c r="DQ42" i="3"/>
  <c r="DP42" i="3"/>
  <c r="DO42" i="3"/>
  <c r="DN42" i="3"/>
  <c r="DM42" i="3"/>
  <c r="DL42" i="3"/>
  <c r="DK42" i="3"/>
  <c r="DJ42" i="3"/>
  <c r="DI42" i="3"/>
  <c r="DH42" i="3"/>
  <c r="DG42" i="3"/>
  <c r="DF42" i="3"/>
  <c r="DE42" i="3"/>
  <c r="DD42" i="3"/>
  <c r="DC42" i="3"/>
  <c r="DB42" i="3"/>
  <c r="DA42" i="3"/>
  <c r="CZ42" i="3"/>
  <c r="CY42" i="3"/>
  <c r="CX42" i="3"/>
  <c r="CW42" i="3"/>
  <c r="CV42" i="3"/>
  <c r="CU42" i="3"/>
  <c r="CT42" i="3"/>
  <c r="CS42" i="3"/>
  <c r="CR42" i="3"/>
  <c r="CQ42" i="3"/>
  <c r="CP42" i="3"/>
  <c r="CO42" i="3"/>
  <c r="CN42" i="3"/>
  <c r="FW41" i="3"/>
  <c r="FW49" i="3" s="1"/>
  <c r="FV41" i="3"/>
  <c r="FV49" i="3" s="1"/>
  <c r="FU41" i="3"/>
  <c r="FU49" i="3" s="1"/>
  <c r="FT41" i="3"/>
  <c r="FT49" i="3" s="1"/>
  <c r="FS41" i="3"/>
  <c r="FS49" i="3" s="1"/>
  <c r="FR41" i="3"/>
  <c r="FR49" i="3" s="1"/>
  <c r="FQ41" i="3"/>
  <c r="FP41" i="3"/>
  <c r="FP49" i="3" s="1"/>
  <c r="FO41" i="3"/>
  <c r="FO49" i="3" s="1"/>
  <c r="FN41" i="3"/>
  <c r="FN49" i="3" s="1"/>
  <c r="FM41" i="3"/>
  <c r="FM49" i="3" s="1"/>
  <c r="FL41" i="3"/>
  <c r="FL49" i="3" s="1"/>
  <c r="FK41" i="3"/>
  <c r="FK49" i="3" s="1"/>
  <c r="FJ41" i="3"/>
  <c r="FJ49" i="3" s="1"/>
  <c r="FI41" i="3"/>
  <c r="FH41" i="3"/>
  <c r="FG41" i="3"/>
  <c r="FG49" i="3" s="1"/>
  <c r="FF41" i="3"/>
  <c r="FF49" i="3" s="1"/>
  <c r="FE41" i="3"/>
  <c r="FE49" i="3" s="1"/>
  <c r="FD41" i="3"/>
  <c r="FD49" i="3" s="1"/>
  <c r="FC41" i="3"/>
  <c r="FC49" i="3" s="1"/>
  <c r="FB41" i="3"/>
  <c r="FB49" i="3" s="1"/>
  <c r="FA41" i="3"/>
  <c r="EZ41" i="3"/>
  <c r="EZ49" i="3" s="1"/>
  <c r="EY41" i="3"/>
  <c r="EY49" i="3" s="1"/>
  <c r="EX41" i="3"/>
  <c r="EX49" i="3" s="1"/>
  <c r="EW41" i="3"/>
  <c r="EW49" i="3" s="1"/>
  <c r="EV41" i="3"/>
  <c r="EV49" i="3" s="1"/>
  <c r="EU41" i="3"/>
  <c r="EU49" i="3" s="1"/>
  <c r="ET41" i="3"/>
  <c r="ET49" i="3" s="1"/>
  <c r="ES41" i="3"/>
  <c r="ER41" i="3"/>
  <c r="ER49" i="3" s="1"/>
  <c r="EQ41" i="3"/>
  <c r="EQ49" i="3" s="1"/>
  <c r="EP41" i="3"/>
  <c r="EP49" i="3" s="1"/>
  <c r="EO41" i="3"/>
  <c r="EN41" i="3"/>
  <c r="EN49" i="3" s="1"/>
  <c r="EM41" i="3"/>
  <c r="EM49" i="3" s="1"/>
  <c r="EL41" i="3"/>
  <c r="EL49" i="3" s="1"/>
  <c r="EK41" i="3"/>
  <c r="EJ41" i="3"/>
  <c r="EJ49" i="3" s="1"/>
  <c r="EI41" i="3"/>
  <c r="EI49" i="3" s="1"/>
  <c r="EH41" i="3"/>
  <c r="EH49" i="3" s="1"/>
  <c r="EG41" i="3"/>
  <c r="EG49" i="3" s="1"/>
  <c r="EF41" i="3"/>
  <c r="EE41" i="3"/>
  <c r="EE49" i="3" s="1"/>
  <c r="ED41" i="3"/>
  <c r="ED49" i="3" s="1"/>
  <c r="EC41" i="3"/>
  <c r="EC49" i="3" s="1"/>
  <c r="EB41" i="3"/>
  <c r="EB49" i="3" s="1"/>
  <c r="EA41" i="3"/>
  <c r="EA49" i="3" s="1"/>
  <c r="DZ41" i="3"/>
  <c r="DZ49" i="3" s="1"/>
  <c r="DY41" i="3"/>
  <c r="DY49" i="3" s="1"/>
  <c r="DX41" i="3"/>
  <c r="DX49" i="3" s="1"/>
  <c r="DW41" i="3"/>
  <c r="DW49" i="3" s="1"/>
  <c r="DV41" i="3"/>
  <c r="DV49" i="3" s="1"/>
  <c r="DU41" i="3"/>
  <c r="DT41" i="3"/>
  <c r="DT49" i="3" s="1"/>
  <c r="DS41" i="3"/>
  <c r="DS49" i="3" s="1"/>
  <c r="DR41" i="3"/>
  <c r="DR49" i="3" s="1"/>
  <c r="DQ41" i="3"/>
  <c r="DQ49" i="3" s="1"/>
  <c r="DP41" i="3"/>
  <c r="DP49" i="3" s="1"/>
  <c r="DO41" i="3"/>
  <c r="DO49" i="3" s="1"/>
  <c r="DN41" i="3"/>
  <c r="DN49" i="3" s="1"/>
  <c r="DM41" i="3"/>
  <c r="DM49" i="3" s="1"/>
  <c r="DL41" i="3"/>
  <c r="DL49" i="3" s="1"/>
  <c r="DK41" i="3"/>
  <c r="DK49" i="3" s="1"/>
  <c r="DJ41" i="3"/>
  <c r="DJ49" i="3" s="1"/>
  <c r="DI41" i="3"/>
  <c r="DI49" i="3" s="1"/>
  <c r="DH41" i="3"/>
  <c r="DH49" i="3" s="1"/>
  <c r="DG41" i="3"/>
  <c r="DG49" i="3" s="1"/>
  <c r="DF41" i="3"/>
  <c r="DF49" i="3" s="1"/>
  <c r="DE41" i="3"/>
  <c r="DD41" i="3"/>
  <c r="DD49" i="3" s="1"/>
  <c r="DC41" i="3"/>
  <c r="DC49" i="3" s="1"/>
  <c r="DB41" i="3"/>
  <c r="DA41" i="3"/>
  <c r="DA49" i="3" s="1"/>
  <c r="CZ41" i="3"/>
  <c r="CZ49" i="3" s="1"/>
  <c r="CY41" i="3"/>
  <c r="CY49" i="3" s="1"/>
  <c r="CX41" i="3"/>
  <c r="CX49" i="3" s="1"/>
  <c r="CW41" i="3"/>
  <c r="CW49" i="3" s="1"/>
  <c r="CV41" i="3"/>
  <c r="CV49" i="3" s="1"/>
  <c r="CU41" i="3"/>
  <c r="CU49" i="3" s="1"/>
  <c r="CT41" i="3"/>
  <c r="CT49" i="3" s="1"/>
  <c r="CS41" i="3"/>
  <c r="CS49" i="3" s="1"/>
  <c r="CR41" i="3"/>
  <c r="CQ41" i="3"/>
  <c r="CQ49" i="3" s="1"/>
  <c r="CP41" i="3"/>
  <c r="CP49" i="3" s="1"/>
  <c r="CO41" i="3"/>
  <c r="CN41" i="3"/>
  <c r="C49" i="3"/>
  <c r="FH49" i="3" l="1"/>
  <c r="EE135" i="3"/>
  <c r="EM135" i="3"/>
  <c r="EU86" i="3"/>
  <c r="EE86" i="3"/>
  <c r="FN135" i="3"/>
  <c r="FV135" i="3"/>
  <c r="FI49" i="3"/>
  <c r="EI135" i="3"/>
  <c r="EA135" i="3"/>
  <c r="DK135" i="3"/>
  <c r="EP131" i="3"/>
  <c r="FN131" i="3"/>
  <c r="DZ131" i="3"/>
  <c r="FV131" i="3"/>
  <c r="EN135" i="3"/>
  <c r="EF135" i="3"/>
  <c r="FR86" i="3"/>
  <c r="EY86" i="3"/>
  <c r="FT135" i="3"/>
  <c r="EO49" i="3"/>
  <c r="DG135" i="3"/>
  <c r="DO135" i="3"/>
  <c r="FS135" i="3"/>
  <c r="EU135" i="3"/>
  <c r="FC135" i="3"/>
  <c r="FK135" i="3"/>
  <c r="CW135" i="3"/>
  <c r="FI135" i="3"/>
  <c r="FQ135" i="3"/>
  <c r="FA135" i="3"/>
  <c r="CP131" i="3"/>
  <c r="EH135" i="3"/>
  <c r="FF135" i="3"/>
  <c r="EP135" i="3"/>
  <c r="DC131" i="3"/>
  <c r="EA131" i="3"/>
  <c r="CN49" i="3"/>
  <c r="FG86" i="3"/>
  <c r="CO49" i="3"/>
  <c r="DE49" i="3"/>
  <c r="EK49" i="3"/>
  <c r="ES49" i="3"/>
  <c r="FA49" i="3"/>
  <c r="FQ49" i="3"/>
  <c r="EX135" i="3"/>
  <c r="FA86" i="3"/>
  <c r="EW135" i="3"/>
  <c r="FM135" i="3"/>
  <c r="FE135" i="3"/>
  <c r="ED135" i="3"/>
  <c r="EY135" i="3"/>
  <c r="FG135" i="3"/>
  <c r="FW135" i="3"/>
  <c r="FP135" i="3"/>
  <c r="EB131" i="3"/>
  <c r="FO135" i="3"/>
  <c r="DE131" i="3"/>
  <c r="EH131" i="3"/>
  <c r="FF131" i="3"/>
  <c r="ER135" i="3"/>
  <c r="EQ135" i="3"/>
  <c r="EJ135" i="3"/>
  <c r="FH135" i="3"/>
  <c r="EV135" i="3"/>
  <c r="FD135" i="3"/>
  <c r="FL135" i="3"/>
  <c r="FB135" i="3"/>
  <c r="ET135" i="3"/>
  <c r="FJ135" i="3"/>
  <c r="EO135" i="3"/>
  <c r="EG135" i="3"/>
  <c r="EL135" i="3"/>
  <c r="DB49" i="3"/>
  <c r="DP131" i="3"/>
  <c r="FU131" i="3"/>
  <c r="DL135" i="3"/>
  <c r="CR49" i="3"/>
  <c r="DU135" i="3"/>
  <c r="ES135" i="3"/>
  <c r="EC135" i="3"/>
  <c r="EK135" i="3"/>
  <c r="CO131" i="3"/>
  <c r="EF49" i="3"/>
  <c r="DU49" i="3"/>
  <c r="CN135" i="3"/>
  <c r="CV135" i="3"/>
  <c r="EZ135" i="3"/>
  <c r="FR135" i="3"/>
  <c r="FA125" i="3"/>
  <c r="FI125" i="3"/>
  <c r="DE125" i="3"/>
  <c r="DM125" i="3"/>
  <c r="EK125" i="3"/>
  <c r="ES125" i="3"/>
  <c r="FQ125" i="3"/>
  <c r="CS125" i="3"/>
  <c r="DA125" i="3"/>
  <c r="DI125" i="3"/>
  <c r="DY125" i="3"/>
  <c r="EG125" i="3"/>
  <c r="EO125" i="3"/>
  <c r="FE125" i="3"/>
  <c r="FM125" i="3"/>
  <c r="FU125" i="3"/>
  <c r="FV125" i="3"/>
  <c r="EQ125" i="3"/>
  <c r="EY125" i="3"/>
  <c r="FG125" i="3"/>
  <c r="FO125" i="3"/>
  <c r="FW125" i="3"/>
  <c r="CU125" i="3"/>
  <c r="DC125" i="3"/>
  <c r="DK125" i="3"/>
  <c r="DS125" i="3"/>
  <c r="EA125" i="3"/>
  <c r="EI125" i="3"/>
  <c r="CN125" i="3"/>
  <c r="CV125" i="3"/>
  <c r="DD125" i="3"/>
  <c r="DL125" i="3"/>
  <c r="DT125" i="3"/>
  <c r="EB125" i="3"/>
  <c r="EJ125" i="3"/>
  <c r="ER125" i="3"/>
  <c r="EZ125" i="3"/>
  <c r="FH125" i="3"/>
  <c r="FP125" i="3"/>
  <c r="CP125" i="3"/>
  <c r="CX125" i="3"/>
  <c r="DF125" i="3"/>
  <c r="DN125" i="3"/>
  <c r="DV125" i="3"/>
  <c r="ED125" i="3"/>
  <c r="EL125" i="3"/>
  <c r="ET125" i="3"/>
  <c r="FB125" i="3"/>
  <c r="FJ125" i="3"/>
  <c r="FR125" i="3"/>
  <c r="CQ125" i="3"/>
  <c r="CY125" i="3"/>
  <c r="DG125" i="3"/>
  <c r="DO125" i="3"/>
  <c r="DW125" i="3"/>
  <c r="EE125" i="3"/>
  <c r="EM125" i="3"/>
  <c r="EU125" i="3"/>
  <c r="FC125" i="3"/>
  <c r="FK125" i="3"/>
  <c r="FS125" i="3"/>
  <c r="CR125" i="3"/>
  <c r="CZ125" i="3"/>
  <c r="DH125" i="3"/>
  <c r="DP125" i="3"/>
  <c r="DX125" i="3"/>
  <c r="EF125" i="3"/>
  <c r="EN125" i="3"/>
  <c r="EV125" i="3"/>
  <c r="FD125" i="3"/>
  <c r="FL125" i="3"/>
  <c r="FT125" i="3"/>
  <c r="CT125" i="3"/>
  <c r="DB125" i="3"/>
  <c r="DJ125" i="3"/>
  <c r="DR125" i="3"/>
  <c r="DZ125" i="3"/>
  <c r="EH125" i="3"/>
  <c r="EP125" i="3"/>
  <c r="EX125" i="3"/>
  <c r="FF125" i="3"/>
  <c r="FN125" i="3"/>
  <c r="FW38" i="3" l="1"/>
  <c r="FV38" i="3"/>
  <c r="FU38" i="3"/>
  <c r="FT38" i="3"/>
  <c r="FS38" i="3"/>
  <c r="FR38" i="3"/>
  <c r="FQ38" i="3"/>
  <c r="FP38" i="3"/>
  <c r="FO38" i="3"/>
  <c r="FN38" i="3"/>
  <c r="FM38" i="3"/>
  <c r="FL38" i="3"/>
  <c r="FK38" i="3"/>
  <c r="FJ38" i="3"/>
  <c r="FI38" i="3"/>
  <c r="FH38" i="3"/>
  <c r="FG38" i="3"/>
  <c r="FF38" i="3"/>
  <c r="FE38" i="3"/>
  <c r="FD38" i="3"/>
  <c r="FC38" i="3"/>
  <c r="FB38" i="3"/>
  <c r="FA38" i="3"/>
  <c r="EZ38" i="3"/>
  <c r="EY38" i="3"/>
  <c r="EX38" i="3"/>
  <c r="EW38" i="3"/>
  <c r="EV38" i="3"/>
  <c r="EU38" i="3"/>
  <c r="ET38" i="3"/>
  <c r="ES38" i="3"/>
  <c r="ER38" i="3"/>
  <c r="EQ38" i="3"/>
  <c r="EP38" i="3"/>
  <c r="EO38" i="3"/>
  <c r="EN38" i="3"/>
  <c r="EM38" i="3"/>
  <c r="EL38" i="3"/>
  <c r="EK38" i="3"/>
  <c r="EJ38" i="3"/>
  <c r="EI38" i="3"/>
  <c r="EH38" i="3"/>
  <c r="EG38" i="3"/>
  <c r="EF38" i="3"/>
  <c r="EE38" i="3"/>
  <c r="ED38" i="3"/>
  <c r="EC38" i="3"/>
  <c r="EB38" i="3"/>
  <c r="EA38" i="3"/>
  <c r="DZ38" i="3"/>
  <c r="DY38" i="3"/>
  <c r="DX38" i="3"/>
  <c r="DW38" i="3"/>
  <c r="DV38" i="3"/>
  <c r="DU38" i="3"/>
  <c r="DT38" i="3"/>
  <c r="DS38" i="3"/>
  <c r="DR38" i="3"/>
  <c r="DQ38" i="3"/>
  <c r="DP38" i="3"/>
  <c r="DO38" i="3"/>
  <c r="DN38" i="3"/>
  <c r="DM38" i="3"/>
  <c r="DL38" i="3"/>
  <c r="DK38" i="3"/>
  <c r="DJ38" i="3"/>
  <c r="DI38" i="3"/>
  <c r="DH38" i="3"/>
  <c r="DG38" i="3"/>
  <c r="DF38" i="3"/>
  <c r="DE38" i="3"/>
  <c r="DD38" i="3"/>
  <c r="DC38" i="3"/>
  <c r="DB38" i="3"/>
  <c r="DA38" i="3"/>
  <c r="CZ38" i="3"/>
  <c r="CY38" i="3"/>
  <c r="CX38" i="3"/>
  <c r="CW38" i="3"/>
  <c r="CV38" i="3"/>
  <c r="CU38" i="3"/>
  <c r="CT38" i="3"/>
  <c r="CS38" i="3"/>
  <c r="CR38" i="3"/>
  <c r="CQ38" i="3"/>
  <c r="CP38" i="3"/>
  <c r="CO38" i="3"/>
  <c r="CN38" i="3"/>
  <c r="FW37" i="3"/>
  <c r="FV37" i="3"/>
  <c r="FU37" i="3"/>
  <c r="FT37" i="3"/>
  <c r="FS37" i="3"/>
  <c r="FR37" i="3"/>
  <c r="FQ37" i="3"/>
  <c r="FP37" i="3"/>
  <c r="FO37" i="3"/>
  <c r="FN37" i="3"/>
  <c r="FM37" i="3"/>
  <c r="FL37" i="3"/>
  <c r="FK37" i="3"/>
  <c r="FJ37" i="3"/>
  <c r="FI37" i="3"/>
  <c r="FH37" i="3"/>
  <c r="FG37" i="3"/>
  <c r="FF37" i="3"/>
  <c r="FE37" i="3"/>
  <c r="FD37" i="3"/>
  <c r="FC37" i="3"/>
  <c r="FB37" i="3"/>
  <c r="FA37" i="3"/>
  <c r="EZ37" i="3"/>
  <c r="EY37" i="3"/>
  <c r="EX37" i="3"/>
  <c r="EW37" i="3"/>
  <c r="EV37" i="3"/>
  <c r="EU37" i="3"/>
  <c r="ET37" i="3"/>
  <c r="ES37" i="3"/>
  <c r="ER37" i="3"/>
  <c r="EQ37" i="3"/>
  <c r="EP37" i="3"/>
  <c r="EO37" i="3"/>
  <c r="EN37" i="3"/>
  <c r="EM37" i="3"/>
  <c r="EL37" i="3"/>
  <c r="EK37" i="3"/>
  <c r="EJ37" i="3"/>
  <c r="EI37" i="3"/>
  <c r="EH37" i="3"/>
  <c r="EG37" i="3"/>
  <c r="EF37" i="3"/>
  <c r="EE37" i="3"/>
  <c r="ED37" i="3"/>
  <c r="EC37" i="3"/>
  <c r="EB37" i="3"/>
  <c r="EA37" i="3"/>
  <c r="DZ37" i="3"/>
  <c r="DY37" i="3"/>
  <c r="DX37" i="3"/>
  <c r="DW37" i="3"/>
  <c r="DV37" i="3"/>
  <c r="DU37" i="3"/>
  <c r="DT37" i="3"/>
  <c r="DS37" i="3"/>
  <c r="DR37" i="3"/>
  <c r="DQ37" i="3"/>
  <c r="DP37" i="3"/>
  <c r="DO37" i="3"/>
  <c r="DN37" i="3"/>
  <c r="DM37" i="3"/>
  <c r="DL37" i="3"/>
  <c r="DK37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FW35" i="3"/>
  <c r="FV35" i="3"/>
  <c r="FU35" i="3"/>
  <c r="FT35" i="3"/>
  <c r="FS35" i="3"/>
  <c r="FR35" i="3"/>
  <c r="FQ35" i="3"/>
  <c r="FP35" i="3"/>
  <c r="FO35" i="3"/>
  <c r="FN35" i="3"/>
  <c r="FM35" i="3"/>
  <c r="FL35" i="3"/>
  <c r="FK35" i="3"/>
  <c r="FJ35" i="3"/>
  <c r="FI35" i="3"/>
  <c r="FH35" i="3"/>
  <c r="FG35" i="3"/>
  <c r="FF35" i="3"/>
  <c r="FE35" i="3"/>
  <c r="FD35" i="3"/>
  <c r="FC35" i="3"/>
  <c r="FB35" i="3"/>
  <c r="FA35" i="3"/>
  <c r="EZ35" i="3"/>
  <c r="EY35" i="3"/>
  <c r="EX35" i="3"/>
  <c r="EW35" i="3"/>
  <c r="EV35" i="3"/>
  <c r="EU35" i="3"/>
  <c r="ET35" i="3"/>
  <c r="ES35" i="3"/>
  <c r="ER35" i="3"/>
  <c r="EQ35" i="3"/>
  <c r="EP35" i="3"/>
  <c r="EO35" i="3"/>
  <c r="EN35" i="3"/>
  <c r="EM35" i="3"/>
  <c r="EL35" i="3"/>
  <c r="EK35" i="3"/>
  <c r="EJ35" i="3"/>
  <c r="EI35" i="3"/>
  <c r="EH35" i="3"/>
  <c r="EG35" i="3"/>
  <c r="EF35" i="3"/>
  <c r="EE35" i="3"/>
  <c r="ED35" i="3"/>
  <c r="EC35" i="3"/>
  <c r="EB35" i="3"/>
  <c r="EA35" i="3"/>
  <c r="DZ35" i="3"/>
  <c r="DY35" i="3"/>
  <c r="DX35" i="3"/>
  <c r="DW35" i="3"/>
  <c r="DV35" i="3"/>
  <c r="DU35" i="3"/>
  <c r="DT35" i="3"/>
  <c r="DS35" i="3"/>
  <c r="DR35" i="3"/>
  <c r="DQ35" i="3"/>
  <c r="DP35" i="3"/>
  <c r="DO35" i="3"/>
  <c r="DN35" i="3"/>
  <c r="DM35" i="3"/>
  <c r="DL35" i="3"/>
  <c r="DK35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FW34" i="3"/>
  <c r="FV34" i="3"/>
  <c r="FU34" i="3"/>
  <c r="FT34" i="3"/>
  <c r="FS34" i="3"/>
  <c r="FR34" i="3"/>
  <c r="FQ34" i="3"/>
  <c r="FP34" i="3"/>
  <c r="FO34" i="3"/>
  <c r="FN34" i="3"/>
  <c r="FM34" i="3"/>
  <c r="FL34" i="3"/>
  <c r="FK34" i="3"/>
  <c r="FJ34" i="3"/>
  <c r="FI34" i="3"/>
  <c r="FH34" i="3"/>
  <c r="FG34" i="3"/>
  <c r="FF34" i="3"/>
  <c r="FE34" i="3"/>
  <c r="FD34" i="3"/>
  <c r="FC34" i="3"/>
  <c r="FB34" i="3"/>
  <c r="FA34" i="3"/>
  <c r="EZ34" i="3"/>
  <c r="EY34" i="3"/>
  <c r="EX34" i="3"/>
  <c r="EW34" i="3"/>
  <c r="EV34" i="3"/>
  <c r="EU34" i="3"/>
  <c r="ET34" i="3"/>
  <c r="ES34" i="3"/>
  <c r="ER34" i="3"/>
  <c r="EQ34" i="3"/>
  <c r="EP34" i="3"/>
  <c r="EO34" i="3"/>
  <c r="EN34" i="3"/>
  <c r="EM34" i="3"/>
  <c r="EL34" i="3"/>
  <c r="EK34" i="3"/>
  <c r="EJ34" i="3"/>
  <c r="EI34" i="3"/>
  <c r="EH34" i="3"/>
  <c r="EG34" i="3"/>
  <c r="EF34" i="3"/>
  <c r="EE34" i="3"/>
  <c r="ED34" i="3"/>
  <c r="EC34" i="3"/>
  <c r="EB34" i="3"/>
  <c r="EA34" i="3"/>
  <c r="DZ34" i="3"/>
  <c r="DY34" i="3"/>
  <c r="DX34" i="3"/>
  <c r="DW34" i="3"/>
  <c r="DV34" i="3"/>
  <c r="DU34" i="3"/>
  <c r="DT34" i="3"/>
  <c r="DS34" i="3"/>
  <c r="DR34" i="3"/>
  <c r="DQ34" i="3"/>
  <c r="DP34" i="3"/>
  <c r="DO34" i="3"/>
  <c r="DN34" i="3"/>
  <c r="DM34" i="3"/>
  <c r="DL34" i="3"/>
  <c r="DK34" i="3"/>
  <c r="DJ34" i="3"/>
  <c r="DI34" i="3"/>
  <c r="DH34" i="3"/>
  <c r="DG34" i="3"/>
  <c r="DF34" i="3"/>
  <c r="DE34" i="3"/>
  <c r="DD34" i="3"/>
  <c r="DC34" i="3"/>
  <c r="DB34" i="3"/>
  <c r="DA34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39" i="3"/>
  <c r="FW36" i="3"/>
  <c r="FV36" i="3"/>
  <c r="FU36" i="3"/>
  <c r="FT36" i="3"/>
  <c r="FS36" i="3"/>
  <c r="FR36" i="3"/>
  <c r="FQ36" i="3"/>
  <c r="FP36" i="3"/>
  <c r="FO36" i="3"/>
  <c r="FN36" i="3"/>
  <c r="FM36" i="3"/>
  <c r="FL36" i="3"/>
  <c r="FK36" i="3"/>
  <c r="FJ36" i="3"/>
  <c r="FI36" i="3"/>
  <c r="FH36" i="3"/>
  <c r="FG36" i="3"/>
  <c r="FF36" i="3"/>
  <c r="FE36" i="3"/>
  <c r="FD36" i="3"/>
  <c r="FC36" i="3"/>
  <c r="FB36" i="3"/>
  <c r="FA36" i="3"/>
  <c r="EZ36" i="3"/>
  <c r="EY36" i="3"/>
  <c r="EX36" i="3"/>
  <c r="EW36" i="3"/>
  <c r="EV36" i="3"/>
  <c r="EU36" i="3"/>
  <c r="ET36" i="3"/>
  <c r="ES36" i="3"/>
  <c r="ER36" i="3"/>
  <c r="EQ36" i="3"/>
  <c r="EP36" i="3"/>
  <c r="EO36" i="3"/>
  <c r="EN36" i="3"/>
  <c r="EM36" i="3"/>
  <c r="EL36" i="3"/>
  <c r="EK36" i="3"/>
  <c r="EJ36" i="3"/>
  <c r="EI36" i="3"/>
  <c r="EH36" i="3"/>
  <c r="EG36" i="3"/>
  <c r="EF36" i="3"/>
  <c r="EE36" i="3"/>
  <c r="ED36" i="3"/>
  <c r="EC36" i="3"/>
  <c r="EB36" i="3"/>
  <c r="EA36" i="3"/>
  <c r="DZ36" i="3"/>
  <c r="DY36" i="3"/>
  <c r="DX36" i="3"/>
  <c r="DW36" i="3"/>
  <c r="DV36" i="3"/>
  <c r="DU36" i="3"/>
  <c r="DT36" i="3"/>
  <c r="DS36" i="3"/>
  <c r="DR36" i="3"/>
  <c r="DQ36" i="3"/>
  <c r="DP36" i="3"/>
  <c r="DO36" i="3"/>
  <c r="DN36" i="3"/>
  <c r="DM36" i="3"/>
  <c r="DL36" i="3"/>
  <c r="DK36" i="3"/>
  <c r="DJ36" i="3"/>
  <c r="DI36" i="3"/>
  <c r="DH36" i="3"/>
  <c r="DG36" i="3"/>
  <c r="DF36" i="3"/>
  <c r="DE36" i="3"/>
  <c r="DD36" i="3"/>
  <c r="DC36" i="3"/>
  <c r="DB36" i="3"/>
  <c r="DA36" i="3"/>
  <c r="CZ36" i="3"/>
  <c r="CY36" i="3"/>
  <c r="CX36" i="3"/>
  <c r="CW36" i="3"/>
  <c r="CV36" i="3"/>
  <c r="CU36" i="3"/>
  <c r="CT36" i="3"/>
  <c r="CS36" i="3"/>
  <c r="CR36" i="3"/>
  <c r="CQ36" i="3"/>
  <c r="CP36" i="3"/>
  <c r="CO36" i="3"/>
  <c r="CN36" i="3"/>
  <c r="FW30" i="3"/>
  <c r="FV30" i="3"/>
  <c r="FU30" i="3"/>
  <c r="FT30" i="3"/>
  <c r="FS30" i="3"/>
  <c r="FR30" i="3"/>
  <c r="FQ30" i="3"/>
  <c r="FP30" i="3"/>
  <c r="FO30" i="3"/>
  <c r="FN30" i="3"/>
  <c r="FM30" i="3"/>
  <c r="FL30" i="3"/>
  <c r="FK30" i="3"/>
  <c r="FJ30" i="3"/>
  <c r="FI30" i="3"/>
  <c r="FH30" i="3"/>
  <c r="FG30" i="3"/>
  <c r="FF30" i="3"/>
  <c r="FE30" i="3"/>
  <c r="FD30" i="3"/>
  <c r="FC30" i="3"/>
  <c r="FB30" i="3"/>
  <c r="FA30" i="3"/>
  <c r="EZ30" i="3"/>
  <c r="EY30" i="3"/>
  <c r="EX30" i="3"/>
  <c r="EW30" i="3"/>
  <c r="EV30" i="3"/>
  <c r="EU30" i="3"/>
  <c r="ET30" i="3"/>
  <c r="ES30" i="3"/>
  <c r="ER30" i="3"/>
  <c r="EQ30" i="3"/>
  <c r="EP30" i="3"/>
  <c r="EO30" i="3"/>
  <c r="EN30" i="3"/>
  <c r="EM30" i="3"/>
  <c r="EL30" i="3"/>
  <c r="EK30" i="3"/>
  <c r="EJ30" i="3"/>
  <c r="EI30" i="3"/>
  <c r="EH30" i="3"/>
  <c r="EG30" i="3"/>
  <c r="EF30" i="3"/>
  <c r="EE30" i="3"/>
  <c r="ED30" i="3"/>
  <c r="EC30" i="3"/>
  <c r="EB30" i="3"/>
  <c r="EA30" i="3"/>
  <c r="DZ30" i="3"/>
  <c r="DY30" i="3"/>
  <c r="DX30" i="3"/>
  <c r="DW30" i="3"/>
  <c r="DV30" i="3"/>
  <c r="DU30" i="3"/>
  <c r="DT30" i="3"/>
  <c r="DS30" i="3"/>
  <c r="DR30" i="3"/>
  <c r="DQ30" i="3"/>
  <c r="DP30" i="3"/>
  <c r="DO30" i="3"/>
  <c r="DN30" i="3"/>
  <c r="DM30" i="3"/>
  <c r="DL30" i="3"/>
  <c r="DK30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CT30" i="3"/>
  <c r="CS30" i="3"/>
  <c r="CR30" i="3"/>
  <c r="CQ30" i="3"/>
  <c r="CP30" i="3"/>
  <c r="CO30" i="3"/>
  <c r="CN30" i="3"/>
  <c r="FW29" i="3"/>
  <c r="FV29" i="3"/>
  <c r="FU29" i="3"/>
  <c r="FT29" i="3"/>
  <c r="FS29" i="3"/>
  <c r="FR29" i="3"/>
  <c r="FQ29" i="3"/>
  <c r="FP29" i="3"/>
  <c r="FO29" i="3"/>
  <c r="FN29" i="3"/>
  <c r="FM29" i="3"/>
  <c r="FL29" i="3"/>
  <c r="FK29" i="3"/>
  <c r="FJ29" i="3"/>
  <c r="FI29" i="3"/>
  <c r="FH29" i="3"/>
  <c r="FG29" i="3"/>
  <c r="FF29" i="3"/>
  <c r="FE29" i="3"/>
  <c r="FD29" i="3"/>
  <c r="FC29" i="3"/>
  <c r="FB29" i="3"/>
  <c r="FA29" i="3"/>
  <c r="EZ29" i="3"/>
  <c r="EY29" i="3"/>
  <c r="EX29" i="3"/>
  <c r="EW29" i="3"/>
  <c r="EV29" i="3"/>
  <c r="EU29" i="3"/>
  <c r="ET29" i="3"/>
  <c r="ES29" i="3"/>
  <c r="ER29" i="3"/>
  <c r="EQ29" i="3"/>
  <c r="EP29" i="3"/>
  <c r="EO29" i="3"/>
  <c r="EN29" i="3"/>
  <c r="EM29" i="3"/>
  <c r="EL29" i="3"/>
  <c r="EK29" i="3"/>
  <c r="EJ29" i="3"/>
  <c r="EI29" i="3"/>
  <c r="EH29" i="3"/>
  <c r="EG29" i="3"/>
  <c r="EF29" i="3"/>
  <c r="EE29" i="3"/>
  <c r="ED29" i="3"/>
  <c r="EC29" i="3"/>
  <c r="EB29" i="3"/>
  <c r="EA29" i="3"/>
  <c r="DZ29" i="3"/>
  <c r="DY29" i="3"/>
  <c r="DX29" i="3"/>
  <c r="DW29" i="3"/>
  <c r="DV29" i="3"/>
  <c r="DU29" i="3"/>
  <c r="DT29" i="3"/>
  <c r="DS29" i="3"/>
  <c r="DR29" i="3"/>
  <c r="DQ29" i="3"/>
  <c r="DP29" i="3"/>
  <c r="DO29" i="3"/>
  <c r="DN29" i="3"/>
  <c r="DM29" i="3"/>
  <c r="DL29" i="3"/>
  <c r="DK29" i="3"/>
  <c r="DJ29" i="3"/>
  <c r="DI29" i="3"/>
  <c r="DH29" i="3"/>
  <c r="DG29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CT29" i="3"/>
  <c r="CS29" i="3"/>
  <c r="CR29" i="3"/>
  <c r="CQ29" i="3"/>
  <c r="CP29" i="3"/>
  <c r="CO29" i="3"/>
  <c r="CN29" i="3"/>
  <c r="FW28" i="3"/>
  <c r="FV28" i="3"/>
  <c r="FU28" i="3"/>
  <c r="FT28" i="3"/>
  <c r="FS28" i="3"/>
  <c r="FR28" i="3"/>
  <c r="FQ28" i="3"/>
  <c r="FP28" i="3"/>
  <c r="FO28" i="3"/>
  <c r="FN28" i="3"/>
  <c r="FM28" i="3"/>
  <c r="FL28" i="3"/>
  <c r="FK28" i="3"/>
  <c r="FJ28" i="3"/>
  <c r="FI28" i="3"/>
  <c r="FH28" i="3"/>
  <c r="FG28" i="3"/>
  <c r="FF28" i="3"/>
  <c r="FE28" i="3"/>
  <c r="FD28" i="3"/>
  <c r="FC28" i="3"/>
  <c r="FB28" i="3"/>
  <c r="FA28" i="3"/>
  <c r="EZ28" i="3"/>
  <c r="EY28" i="3"/>
  <c r="EX28" i="3"/>
  <c r="EW28" i="3"/>
  <c r="EV28" i="3"/>
  <c r="EU28" i="3"/>
  <c r="ET28" i="3"/>
  <c r="ES28" i="3"/>
  <c r="ER28" i="3"/>
  <c r="EQ28" i="3"/>
  <c r="EP28" i="3"/>
  <c r="EO28" i="3"/>
  <c r="EN28" i="3"/>
  <c r="EM28" i="3"/>
  <c r="EL28" i="3"/>
  <c r="EK28" i="3"/>
  <c r="EJ28" i="3"/>
  <c r="EI28" i="3"/>
  <c r="EH28" i="3"/>
  <c r="EG28" i="3"/>
  <c r="EF28" i="3"/>
  <c r="EE28" i="3"/>
  <c r="ED28" i="3"/>
  <c r="EC28" i="3"/>
  <c r="EB28" i="3"/>
  <c r="EA28" i="3"/>
  <c r="DZ28" i="3"/>
  <c r="DY28" i="3"/>
  <c r="DX28" i="3"/>
  <c r="DW28" i="3"/>
  <c r="DV28" i="3"/>
  <c r="DU28" i="3"/>
  <c r="DT28" i="3"/>
  <c r="DS28" i="3"/>
  <c r="DR28" i="3"/>
  <c r="DQ28" i="3"/>
  <c r="DP28" i="3"/>
  <c r="DO28" i="3"/>
  <c r="DN28" i="3"/>
  <c r="DM28" i="3"/>
  <c r="DL28" i="3"/>
  <c r="DK28" i="3"/>
  <c r="DJ28" i="3"/>
  <c r="DI28" i="3"/>
  <c r="DH28" i="3"/>
  <c r="DG28" i="3"/>
  <c r="DF28" i="3"/>
  <c r="DE28" i="3"/>
  <c r="DD28" i="3"/>
  <c r="DC28" i="3"/>
  <c r="DB28" i="3"/>
  <c r="DA28" i="3"/>
  <c r="CZ28" i="3"/>
  <c r="CY28" i="3"/>
  <c r="CX28" i="3"/>
  <c r="CW28" i="3"/>
  <c r="CV28" i="3"/>
  <c r="CU28" i="3"/>
  <c r="CT28" i="3"/>
  <c r="CS28" i="3"/>
  <c r="CR28" i="3"/>
  <c r="CQ28" i="3"/>
  <c r="CP28" i="3"/>
  <c r="CO28" i="3"/>
  <c r="CN28" i="3"/>
  <c r="FW27" i="3"/>
  <c r="FV27" i="3"/>
  <c r="FU27" i="3"/>
  <c r="FT27" i="3"/>
  <c r="FS27" i="3"/>
  <c r="FR27" i="3"/>
  <c r="FQ27" i="3"/>
  <c r="FP27" i="3"/>
  <c r="FO27" i="3"/>
  <c r="FN27" i="3"/>
  <c r="FM27" i="3"/>
  <c r="FL27" i="3"/>
  <c r="FK27" i="3"/>
  <c r="FJ27" i="3"/>
  <c r="FI27" i="3"/>
  <c r="FH27" i="3"/>
  <c r="FG27" i="3"/>
  <c r="FF27" i="3"/>
  <c r="FE27" i="3"/>
  <c r="FD27" i="3"/>
  <c r="FC27" i="3"/>
  <c r="FB27" i="3"/>
  <c r="FA27" i="3"/>
  <c r="EZ27" i="3"/>
  <c r="EY27" i="3"/>
  <c r="EX27" i="3"/>
  <c r="EW27" i="3"/>
  <c r="EV27" i="3"/>
  <c r="EU27" i="3"/>
  <c r="ET27" i="3"/>
  <c r="ES27" i="3"/>
  <c r="ER27" i="3"/>
  <c r="EQ27" i="3"/>
  <c r="EP27" i="3"/>
  <c r="EO27" i="3"/>
  <c r="EN27" i="3"/>
  <c r="EM27" i="3"/>
  <c r="EL27" i="3"/>
  <c r="EK27" i="3"/>
  <c r="EJ27" i="3"/>
  <c r="EI27" i="3"/>
  <c r="EH27" i="3"/>
  <c r="EG27" i="3"/>
  <c r="EF27" i="3"/>
  <c r="EE27" i="3"/>
  <c r="ED27" i="3"/>
  <c r="EC27" i="3"/>
  <c r="EB27" i="3"/>
  <c r="EA27" i="3"/>
  <c r="DZ27" i="3"/>
  <c r="DY27" i="3"/>
  <c r="DX27" i="3"/>
  <c r="DW27" i="3"/>
  <c r="DV27" i="3"/>
  <c r="DU27" i="3"/>
  <c r="DT27" i="3"/>
  <c r="DS27" i="3"/>
  <c r="DR27" i="3"/>
  <c r="DQ27" i="3"/>
  <c r="DP27" i="3"/>
  <c r="DO27" i="3"/>
  <c r="DN27" i="3"/>
  <c r="DM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32" i="3"/>
  <c r="FW31" i="3"/>
  <c r="FV31" i="3"/>
  <c r="FU31" i="3"/>
  <c r="FT31" i="3"/>
  <c r="FS31" i="3"/>
  <c r="FR31" i="3"/>
  <c r="FQ31" i="3"/>
  <c r="FP31" i="3"/>
  <c r="FO31" i="3"/>
  <c r="FN31" i="3"/>
  <c r="FM31" i="3"/>
  <c r="FL31" i="3"/>
  <c r="FK31" i="3"/>
  <c r="FJ31" i="3"/>
  <c r="FI31" i="3"/>
  <c r="FH31" i="3"/>
  <c r="FG31" i="3"/>
  <c r="FF31" i="3"/>
  <c r="FE31" i="3"/>
  <c r="FD31" i="3"/>
  <c r="FC31" i="3"/>
  <c r="FB31" i="3"/>
  <c r="FA31" i="3"/>
  <c r="EZ31" i="3"/>
  <c r="EY31" i="3"/>
  <c r="EX31" i="3"/>
  <c r="EW31" i="3"/>
  <c r="EV31" i="3"/>
  <c r="EU31" i="3"/>
  <c r="ET31" i="3"/>
  <c r="ES31" i="3"/>
  <c r="ER31" i="3"/>
  <c r="EQ31" i="3"/>
  <c r="EP31" i="3"/>
  <c r="EO31" i="3"/>
  <c r="EN31" i="3"/>
  <c r="EM31" i="3"/>
  <c r="EL31" i="3"/>
  <c r="EK31" i="3"/>
  <c r="EJ31" i="3"/>
  <c r="EI31" i="3"/>
  <c r="EH31" i="3"/>
  <c r="EG31" i="3"/>
  <c r="EF31" i="3"/>
  <c r="EE31" i="3"/>
  <c r="ED31" i="3"/>
  <c r="EC31" i="3"/>
  <c r="EB31" i="3"/>
  <c r="EA31" i="3"/>
  <c r="DZ31" i="3"/>
  <c r="DY31" i="3"/>
  <c r="DX31" i="3"/>
  <c r="DW31" i="3"/>
  <c r="DV31" i="3"/>
  <c r="DU31" i="3"/>
  <c r="DT31" i="3"/>
  <c r="DS31" i="3"/>
  <c r="DR31" i="3"/>
  <c r="DQ31" i="3"/>
  <c r="DP31" i="3"/>
  <c r="DO31" i="3"/>
  <c r="DN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O39" i="3" l="1"/>
  <c r="CW39" i="3"/>
  <c r="DE39" i="3"/>
  <c r="DM39" i="3"/>
  <c r="DU39" i="3"/>
  <c r="EC39" i="3"/>
  <c r="EK39" i="3"/>
  <c r="ES39" i="3"/>
  <c r="FA39" i="3"/>
  <c r="FI39" i="3"/>
  <c r="FQ39" i="3"/>
  <c r="CP39" i="3"/>
  <c r="CX39" i="3"/>
  <c r="DF39" i="3"/>
  <c r="DN39" i="3"/>
  <c r="DV39" i="3"/>
  <c r="ED39" i="3"/>
  <c r="EL39" i="3"/>
  <c r="ET39" i="3"/>
  <c r="FB39" i="3"/>
  <c r="FJ39" i="3"/>
  <c r="FR39" i="3"/>
  <c r="CS32" i="3"/>
  <c r="DA32" i="3"/>
  <c r="DI32" i="3"/>
  <c r="DQ32" i="3"/>
  <c r="DY32" i="3"/>
  <c r="EG32" i="3"/>
  <c r="EO32" i="3"/>
  <c r="EW32" i="3"/>
  <c r="FE32" i="3"/>
  <c r="FM32" i="3"/>
  <c r="FU32" i="3"/>
  <c r="CR39" i="3"/>
  <c r="CZ39" i="3"/>
  <c r="DH39" i="3"/>
  <c r="DP39" i="3"/>
  <c r="DX39" i="3"/>
  <c r="EF39" i="3"/>
  <c r="EN39" i="3"/>
  <c r="EV39" i="3"/>
  <c r="FD39" i="3"/>
  <c r="FL39" i="3"/>
  <c r="FT39" i="3"/>
  <c r="CT32" i="3"/>
  <c r="DB32" i="3"/>
  <c r="DJ32" i="3"/>
  <c r="DR32" i="3"/>
  <c r="DZ32" i="3"/>
  <c r="EH32" i="3"/>
  <c r="EP32" i="3"/>
  <c r="EX32" i="3"/>
  <c r="FF32" i="3"/>
  <c r="FN32" i="3"/>
  <c r="FV32" i="3"/>
  <c r="CO32" i="3"/>
  <c r="CW32" i="3"/>
  <c r="FA32" i="3"/>
  <c r="CN32" i="3"/>
  <c r="CV32" i="3"/>
  <c r="DD32" i="3"/>
  <c r="DL32" i="3"/>
  <c r="DT32" i="3"/>
  <c r="EB32" i="3"/>
  <c r="EJ32" i="3"/>
  <c r="ER32" i="3"/>
  <c r="EZ32" i="3"/>
  <c r="FH32" i="3"/>
  <c r="FP32" i="3"/>
  <c r="CN39" i="3"/>
  <c r="CV39" i="3"/>
  <c r="DD39" i="3"/>
  <c r="DL39" i="3"/>
  <c r="DT39" i="3"/>
  <c r="EB39" i="3"/>
  <c r="EJ39" i="3"/>
  <c r="ER39" i="3"/>
  <c r="EZ39" i="3"/>
  <c r="FH39" i="3"/>
  <c r="FP39" i="3"/>
  <c r="CQ39" i="3"/>
  <c r="CY39" i="3"/>
  <c r="DG39" i="3"/>
  <c r="DO39" i="3"/>
  <c r="DW39" i="3"/>
  <c r="EE39" i="3"/>
  <c r="EM39" i="3"/>
  <c r="EU39" i="3"/>
  <c r="FC39" i="3"/>
  <c r="FK39" i="3"/>
  <c r="FS39" i="3"/>
  <c r="DE32" i="3"/>
  <c r="DM32" i="3"/>
  <c r="DU32" i="3"/>
  <c r="EC32" i="3"/>
  <c r="EK32" i="3"/>
  <c r="ES32" i="3"/>
  <c r="FI32" i="3"/>
  <c r="FQ32" i="3"/>
  <c r="CS39" i="3"/>
  <c r="DA39" i="3"/>
  <c r="DI39" i="3"/>
  <c r="DQ39" i="3"/>
  <c r="DY39" i="3"/>
  <c r="EG39" i="3"/>
  <c r="EO39" i="3"/>
  <c r="EW39" i="3"/>
  <c r="FE39" i="3"/>
  <c r="FM39" i="3"/>
  <c r="FU39" i="3"/>
  <c r="CT39" i="3"/>
  <c r="DB39" i="3"/>
  <c r="DJ39" i="3"/>
  <c r="DR39" i="3"/>
  <c r="DZ39" i="3"/>
  <c r="EH39" i="3"/>
  <c r="EP39" i="3"/>
  <c r="EX39" i="3"/>
  <c r="FF39" i="3"/>
  <c r="FN39" i="3"/>
  <c r="FV39" i="3"/>
  <c r="CU39" i="3"/>
  <c r="DC39" i="3"/>
  <c r="DK39" i="3"/>
  <c r="DS39" i="3"/>
  <c r="EA39" i="3"/>
  <c r="EI39" i="3"/>
  <c r="EQ39" i="3"/>
  <c r="EY39" i="3"/>
  <c r="FG39" i="3"/>
  <c r="FO39" i="3"/>
  <c r="FW39" i="3"/>
  <c r="CP32" i="3"/>
  <c r="CX32" i="3"/>
  <c r="DF32" i="3"/>
  <c r="DN32" i="3"/>
  <c r="DV32" i="3"/>
  <c r="ED32" i="3"/>
  <c r="EL32" i="3"/>
  <c r="ET32" i="3"/>
  <c r="FB32" i="3"/>
  <c r="FJ32" i="3"/>
  <c r="FR32" i="3"/>
  <c r="CQ32" i="3"/>
  <c r="CY32" i="3"/>
  <c r="DG32" i="3"/>
  <c r="DO32" i="3"/>
  <c r="DW32" i="3"/>
  <c r="EE32" i="3"/>
  <c r="EM32" i="3"/>
  <c r="EU32" i="3"/>
  <c r="FC32" i="3"/>
  <c r="FK32" i="3"/>
  <c r="FS32" i="3"/>
  <c r="CR32" i="3"/>
  <c r="CZ32" i="3"/>
  <c r="DH32" i="3"/>
  <c r="DP32" i="3"/>
  <c r="DX32" i="3"/>
  <c r="EF32" i="3"/>
  <c r="EN32" i="3"/>
  <c r="EV32" i="3"/>
  <c r="FD32" i="3"/>
  <c r="FL32" i="3"/>
  <c r="FT32" i="3"/>
  <c r="CU32" i="3"/>
  <c r="DC32" i="3"/>
  <c r="DK32" i="3"/>
  <c r="DS32" i="3"/>
  <c r="EA32" i="3"/>
  <c r="EI32" i="3"/>
  <c r="EQ32" i="3"/>
  <c r="EY32" i="3"/>
  <c r="FG32" i="3"/>
  <c r="FO32" i="3"/>
  <c r="FW32" i="3"/>
  <c r="FW23" i="3"/>
  <c r="FV23" i="3"/>
  <c r="FU23" i="3"/>
  <c r="FT23" i="3"/>
  <c r="FS23" i="3"/>
  <c r="FR23" i="3"/>
  <c r="FQ23" i="3"/>
  <c r="FP23" i="3"/>
  <c r="FO23" i="3"/>
  <c r="FN23" i="3"/>
  <c r="FM23" i="3"/>
  <c r="FL23" i="3"/>
  <c r="FK23" i="3"/>
  <c r="FJ23" i="3"/>
  <c r="FI23" i="3"/>
  <c r="FH23" i="3"/>
  <c r="FG23" i="3"/>
  <c r="FF23" i="3"/>
  <c r="FE23" i="3"/>
  <c r="FD23" i="3"/>
  <c r="FC23" i="3"/>
  <c r="FB23" i="3"/>
  <c r="FA23" i="3"/>
  <c r="EZ23" i="3"/>
  <c r="EY23" i="3"/>
  <c r="EX23" i="3"/>
  <c r="EW23" i="3"/>
  <c r="EV23" i="3"/>
  <c r="EU23" i="3"/>
  <c r="ET23" i="3"/>
  <c r="ES23" i="3"/>
  <c r="ER23" i="3"/>
  <c r="EQ23" i="3"/>
  <c r="EP23" i="3"/>
  <c r="EO23" i="3"/>
  <c r="EN23" i="3"/>
  <c r="EM23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25" i="3"/>
  <c r="FW24" i="3"/>
  <c r="FV24" i="3"/>
  <c r="FU24" i="3"/>
  <c r="FT24" i="3"/>
  <c r="FS24" i="3"/>
  <c r="FR24" i="3"/>
  <c r="FQ24" i="3"/>
  <c r="FP24" i="3"/>
  <c r="FO24" i="3"/>
  <c r="FN24" i="3"/>
  <c r="FM24" i="3"/>
  <c r="FL24" i="3"/>
  <c r="FK24" i="3"/>
  <c r="FJ24" i="3"/>
  <c r="FI24" i="3"/>
  <c r="FH24" i="3"/>
  <c r="FG24" i="3"/>
  <c r="FF24" i="3"/>
  <c r="FE24" i="3"/>
  <c r="FD24" i="3"/>
  <c r="FC24" i="3"/>
  <c r="FB24" i="3"/>
  <c r="FA24" i="3"/>
  <c r="EZ24" i="3"/>
  <c r="EY24" i="3"/>
  <c r="EX24" i="3"/>
  <c r="EW24" i="3"/>
  <c r="EV24" i="3"/>
  <c r="EU24" i="3"/>
  <c r="ET24" i="3"/>
  <c r="ES24" i="3"/>
  <c r="ER24" i="3"/>
  <c r="EQ24" i="3"/>
  <c r="EP24" i="3"/>
  <c r="EO24" i="3"/>
  <c r="EN24" i="3"/>
  <c r="EM24" i="3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21" i="3"/>
  <c r="FW19" i="3"/>
  <c r="FV19" i="3"/>
  <c r="FU19" i="3"/>
  <c r="FT19" i="3"/>
  <c r="FS19" i="3"/>
  <c r="FR19" i="3"/>
  <c r="FQ19" i="3"/>
  <c r="FP19" i="3"/>
  <c r="FO19" i="3"/>
  <c r="FN19" i="3"/>
  <c r="FM19" i="3"/>
  <c r="FL19" i="3"/>
  <c r="FK19" i="3"/>
  <c r="FJ19" i="3"/>
  <c r="FI19" i="3"/>
  <c r="FH19" i="3"/>
  <c r="FG19" i="3"/>
  <c r="FF19" i="3"/>
  <c r="FE19" i="3"/>
  <c r="FD19" i="3"/>
  <c r="FC19" i="3"/>
  <c r="FB19" i="3"/>
  <c r="FA19" i="3"/>
  <c r="EZ19" i="3"/>
  <c r="EY19" i="3"/>
  <c r="EX19" i="3"/>
  <c r="EW19" i="3"/>
  <c r="EV19" i="3"/>
  <c r="EU19" i="3"/>
  <c r="ET19" i="3"/>
  <c r="ES19" i="3"/>
  <c r="ER19" i="3"/>
  <c r="EQ19" i="3"/>
  <c r="EP19" i="3"/>
  <c r="EO19" i="3"/>
  <c r="EN19" i="3"/>
  <c r="EM19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FW20" i="3"/>
  <c r="FW21" i="3" s="1"/>
  <c r="FV20" i="3"/>
  <c r="FU20" i="3"/>
  <c r="FT20" i="3"/>
  <c r="FS20" i="3"/>
  <c r="FS21" i="3" s="1"/>
  <c r="FR20" i="3"/>
  <c r="FQ20" i="3"/>
  <c r="FP20" i="3"/>
  <c r="FO20" i="3"/>
  <c r="FO21" i="3" s="1"/>
  <c r="FN20" i="3"/>
  <c r="FM20" i="3"/>
  <c r="FL20" i="3"/>
  <c r="FK20" i="3"/>
  <c r="FK21" i="3" s="1"/>
  <c r="FJ20" i="3"/>
  <c r="FI20" i="3"/>
  <c r="FH20" i="3"/>
  <c r="FG20" i="3"/>
  <c r="FF20" i="3"/>
  <c r="FE20" i="3"/>
  <c r="FD20" i="3"/>
  <c r="FC20" i="3"/>
  <c r="FB20" i="3"/>
  <c r="FA20" i="3"/>
  <c r="EZ20" i="3"/>
  <c r="EY20" i="3"/>
  <c r="EX20" i="3"/>
  <c r="EW20" i="3"/>
  <c r="EV20" i="3"/>
  <c r="EU20" i="3"/>
  <c r="ET20" i="3"/>
  <c r="ES20" i="3"/>
  <c r="ER20" i="3"/>
  <c r="EQ20" i="3"/>
  <c r="EP20" i="3"/>
  <c r="EO20" i="3"/>
  <c r="EN20" i="3"/>
  <c r="EM20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FW16" i="3"/>
  <c r="FV16" i="3"/>
  <c r="FU16" i="3"/>
  <c r="FT16" i="3"/>
  <c r="FS16" i="3"/>
  <c r="FR16" i="3"/>
  <c r="FQ16" i="3"/>
  <c r="FP16" i="3"/>
  <c r="FO16" i="3"/>
  <c r="FN16" i="3"/>
  <c r="FM16" i="3"/>
  <c r="FL16" i="3"/>
  <c r="FK16" i="3"/>
  <c r="FJ16" i="3"/>
  <c r="FI16" i="3"/>
  <c r="FH16" i="3"/>
  <c r="FG16" i="3"/>
  <c r="FF16" i="3"/>
  <c r="FE16" i="3"/>
  <c r="FD16" i="3"/>
  <c r="FC16" i="3"/>
  <c r="FB16" i="3"/>
  <c r="FA16" i="3"/>
  <c r="EZ16" i="3"/>
  <c r="EY16" i="3"/>
  <c r="EX16" i="3"/>
  <c r="EW16" i="3"/>
  <c r="EV16" i="3"/>
  <c r="EU16" i="3"/>
  <c r="ET16" i="3"/>
  <c r="ES16" i="3"/>
  <c r="ER16" i="3"/>
  <c r="EQ16" i="3"/>
  <c r="EP16" i="3"/>
  <c r="EO16" i="3"/>
  <c r="EN16" i="3"/>
  <c r="EM16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N15" i="3"/>
  <c r="FW15" i="3"/>
  <c r="FV15" i="3"/>
  <c r="FU15" i="3"/>
  <c r="FT15" i="3"/>
  <c r="FS15" i="3"/>
  <c r="FR15" i="3"/>
  <c r="FQ15" i="3"/>
  <c r="FP15" i="3"/>
  <c r="FO15" i="3"/>
  <c r="FN15" i="3"/>
  <c r="FM15" i="3"/>
  <c r="FL15" i="3"/>
  <c r="FK15" i="3"/>
  <c r="FJ15" i="3"/>
  <c r="FI15" i="3"/>
  <c r="FH15" i="3"/>
  <c r="FG15" i="3"/>
  <c r="FF15" i="3"/>
  <c r="FE15" i="3"/>
  <c r="FD15" i="3"/>
  <c r="FC15" i="3"/>
  <c r="FB15" i="3"/>
  <c r="FA15" i="3"/>
  <c r="EZ15" i="3"/>
  <c r="EY15" i="3"/>
  <c r="EX15" i="3"/>
  <c r="EW15" i="3"/>
  <c r="EV15" i="3"/>
  <c r="EU15" i="3"/>
  <c r="ET15" i="3"/>
  <c r="ES15" i="3"/>
  <c r="ER15" i="3"/>
  <c r="EQ15" i="3"/>
  <c r="EP15" i="3"/>
  <c r="EO15" i="3"/>
  <c r="EN15" i="3"/>
  <c r="EM15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17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FC9" i="3"/>
  <c r="FD9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S9" i="3"/>
  <c r="FT9" i="3"/>
  <c r="FU9" i="3"/>
  <c r="FV9" i="3"/>
  <c r="FW9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FT10" i="3"/>
  <c r="FU10" i="3"/>
  <c r="FV10" i="3"/>
  <c r="FW10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S11" i="3"/>
  <c r="FT11" i="3"/>
  <c r="FU11" i="3"/>
  <c r="FV11" i="3"/>
  <c r="FW11" i="3"/>
  <c r="CN12" i="3"/>
  <c r="CO12" i="3"/>
  <c r="CP12" i="3"/>
  <c r="CQ12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DF12" i="3"/>
  <c r="DG12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EN12" i="3"/>
  <c r="EO12" i="3"/>
  <c r="EP12" i="3"/>
  <c r="EQ12" i="3"/>
  <c r="ER12" i="3"/>
  <c r="ES12" i="3"/>
  <c r="ET12" i="3"/>
  <c r="EU12" i="3"/>
  <c r="EV12" i="3"/>
  <c r="EW12" i="3"/>
  <c r="EX12" i="3"/>
  <c r="EY12" i="3"/>
  <c r="EZ12" i="3"/>
  <c r="FA12" i="3"/>
  <c r="FB12" i="3"/>
  <c r="FC12" i="3"/>
  <c r="FD12" i="3"/>
  <c r="FE12" i="3"/>
  <c r="FF12" i="3"/>
  <c r="FG12" i="3"/>
  <c r="FH12" i="3"/>
  <c r="FI12" i="3"/>
  <c r="FJ12" i="3"/>
  <c r="FK12" i="3"/>
  <c r="FL12" i="3"/>
  <c r="FM12" i="3"/>
  <c r="FN12" i="3"/>
  <c r="FO12" i="3"/>
  <c r="FP12" i="3"/>
  <c r="FQ12" i="3"/>
  <c r="FR12" i="3"/>
  <c r="FS12" i="3"/>
  <c r="FT12" i="3"/>
  <c r="FU12" i="3"/>
  <c r="FV12" i="3"/>
  <c r="FW12" i="3"/>
  <c r="FW8" i="3"/>
  <c r="FV8" i="3"/>
  <c r="FU8" i="3"/>
  <c r="FT8" i="3"/>
  <c r="FS8" i="3"/>
  <c r="FR8" i="3"/>
  <c r="FQ8" i="3"/>
  <c r="FP8" i="3"/>
  <c r="FO8" i="3"/>
  <c r="FN8" i="3"/>
  <c r="FM8" i="3"/>
  <c r="FL8" i="3"/>
  <c r="FK8" i="3"/>
  <c r="FJ8" i="3"/>
  <c r="FI8" i="3"/>
  <c r="FH8" i="3"/>
  <c r="FG8" i="3"/>
  <c r="FF8" i="3"/>
  <c r="FE8" i="3"/>
  <c r="FD8" i="3"/>
  <c r="FC8" i="3"/>
  <c r="FB8" i="3"/>
  <c r="FA8" i="3"/>
  <c r="EZ8" i="3"/>
  <c r="EY8" i="3"/>
  <c r="EX8" i="3"/>
  <c r="EW8" i="3"/>
  <c r="EV8" i="3"/>
  <c r="EU8" i="3"/>
  <c r="ET8" i="3"/>
  <c r="ES8" i="3"/>
  <c r="ER8" i="3"/>
  <c r="EQ8" i="3"/>
  <c r="EP8" i="3"/>
  <c r="EO8" i="3"/>
  <c r="EN8" i="3"/>
  <c r="EM8" i="3"/>
  <c r="EL8" i="3"/>
  <c r="EK8" i="3"/>
  <c r="EJ8" i="3"/>
  <c r="EI8" i="3"/>
  <c r="EH8" i="3"/>
  <c r="EG8" i="3"/>
  <c r="EF8" i="3"/>
  <c r="EE8" i="3"/>
  <c r="ED8" i="3"/>
  <c r="EC8" i="3"/>
  <c r="EB8" i="3"/>
  <c r="EA8" i="3"/>
  <c r="DZ8" i="3"/>
  <c r="DY8" i="3"/>
  <c r="DX8" i="3"/>
  <c r="DW8" i="3"/>
  <c r="DV8" i="3"/>
  <c r="DU8" i="3"/>
  <c r="DT8" i="3"/>
  <c r="DS8" i="3"/>
  <c r="DR8" i="3"/>
  <c r="DQ8" i="3"/>
  <c r="DP8" i="3"/>
  <c r="DO8" i="3"/>
  <c r="DN8" i="3"/>
  <c r="DM8" i="3"/>
  <c r="DL8" i="3"/>
  <c r="DK8" i="3"/>
  <c r="DJ8" i="3"/>
  <c r="DI8" i="3"/>
  <c r="DH8" i="3"/>
  <c r="DG8" i="3"/>
  <c r="DF8" i="3"/>
  <c r="DE8" i="3"/>
  <c r="DD8" i="3"/>
  <c r="DC8" i="3"/>
  <c r="DB8" i="3"/>
  <c r="DA8" i="3"/>
  <c r="CZ8" i="3"/>
  <c r="CY8" i="3"/>
  <c r="CX8" i="3"/>
  <c r="CW8" i="3"/>
  <c r="CV8" i="3"/>
  <c r="CU8" i="3"/>
  <c r="CT8" i="3"/>
  <c r="CS8" i="3"/>
  <c r="CR8" i="3"/>
  <c r="CQ8" i="3"/>
  <c r="CP8" i="3"/>
  <c r="CO8" i="3"/>
  <c r="CN8" i="3"/>
  <c r="C13" i="3"/>
  <c r="C6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FT5" i="3"/>
  <c r="FU5" i="3"/>
  <c r="FV5" i="3"/>
  <c r="FW5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FT4" i="3"/>
  <c r="FU4" i="3"/>
  <c r="FV4" i="3"/>
  <c r="FW4" i="3"/>
  <c r="CN4" i="3"/>
  <c r="FV21" i="3" l="1"/>
  <c r="CS17" i="3"/>
  <c r="DA17" i="3"/>
  <c r="DI17" i="3"/>
  <c r="DQ17" i="3"/>
  <c r="DY17" i="3"/>
  <c r="EG17" i="3"/>
  <c r="EO17" i="3"/>
  <c r="EW17" i="3"/>
  <c r="FE17" i="3"/>
  <c r="FM17" i="3"/>
  <c r="FU17" i="3"/>
  <c r="FS6" i="3"/>
  <c r="EM6" i="3"/>
  <c r="EE6" i="3"/>
  <c r="CQ6" i="3"/>
  <c r="FK6" i="3"/>
  <c r="EU6" i="3"/>
  <c r="DW6" i="3"/>
  <c r="CY6" i="3"/>
  <c r="DO6" i="3"/>
  <c r="FC6" i="3"/>
  <c r="DG6" i="3"/>
  <c r="CR17" i="3"/>
  <c r="CZ17" i="3"/>
  <c r="DH17" i="3"/>
  <c r="DP17" i="3"/>
  <c r="DX17" i="3"/>
  <c r="EF17" i="3"/>
  <c r="EN17" i="3"/>
  <c r="EV17" i="3"/>
  <c r="FD17" i="3"/>
  <c r="FL17" i="3"/>
  <c r="FT17" i="3"/>
  <c r="FT6" i="3"/>
  <c r="FL6" i="3"/>
  <c r="FD6" i="3"/>
  <c r="EV6" i="3"/>
  <c r="EN6" i="3"/>
  <c r="EF6" i="3"/>
  <c r="DX6" i="3"/>
  <c r="DP6" i="3"/>
  <c r="DH6" i="3"/>
  <c r="CZ6" i="3"/>
  <c r="CR6" i="3"/>
  <c r="CU17" i="3"/>
  <c r="DC17" i="3"/>
  <c r="DK17" i="3"/>
  <c r="DS17" i="3"/>
  <c r="EA17" i="3"/>
  <c r="EI17" i="3"/>
  <c r="EQ17" i="3"/>
  <c r="EY17" i="3"/>
  <c r="FG17" i="3"/>
  <c r="FO17" i="3"/>
  <c r="FW17" i="3"/>
  <c r="DA25" i="3"/>
  <c r="FM25" i="3"/>
  <c r="FU6" i="3"/>
  <c r="FM6" i="3"/>
  <c r="FE6" i="3"/>
  <c r="EW6" i="3"/>
  <c r="EO6" i="3"/>
  <c r="EG6" i="3"/>
  <c r="DY6" i="3"/>
  <c r="DQ6" i="3"/>
  <c r="DI6" i="3"/>
  <c r="DA6" i="3"/>
  <c r="CS6" i="3"/>
  <c r="CO17" i="3"/>
  <c r="CW17" i="3"/>
  <c r="DE17" i="3"/>
  <c r="DM17" i="3"/>
  <c r="DU17" i="3"/>
  <c r="EC17" i="3"/>
  <c r="EK17" i="3"/>
  <c r="ES17" i="3"/>
  <c r="FA17" i="3"/>
  <c r="FI17" i="3"/>
  <c r="FQ17" i="3"/>
  <c r="FW13" i="3"/>
  <c r="CU13" i="3"/>
  <c r="DC13" i="3"/>
  <c r="DK13" i="3"/>
  <c r="DS13" i="3"/>
  <c r="EA13" i="3"/>
  <c r="EI13" i="3"/>
  <c r="EQ13" i="3"/>
  <c r="EZ6" i="3"/>
  <c r="DT6" i="3"/>
  <c r="FW6" i="3"/>
  <c r="EY6" i="3"/>
  <c r="EQ6" i="3"/>
  <c r="EI6" i="3"/>
  <c r="DS6" i="3"/>
  <c r="DK6" i="3"/>
  <c r="DC6" i="3"/>
  <c r="DM25" i="3"/>
  <c r="FH6" i="3"/>
  <c r="ER6" i="3"/>
  <c r="CV6" i="3"/>
  <c r="FO6" i="3"/>
  <c r="CR25" i="3"/>
  <c r="CZ25" i="3"/>
  <c r="DH25" i="3"/>
  <c r="DP25" i="3"/>
  <c r="DX25" i="3"/>
  <c r="EF25" i="3"/>
  <c r="EN25" i="3"/>
  <c r="EV25" i="3"/>
  <c r="FD25" i="3"/>
  <c r="FL25" i="3"/>
  <c r="FT25" i="3"/>
  <c r="EK25" i="3"/>
  <c r="CN6" i="3"/>
  <c r="DL6" i="3"/>
  <c r="FS13" i="3"/>
  <c r="FP6" i="3"/>
  <c r="EJ6" i="3"/>
  <c r="DD6" i="3"/>
  <c r="CN17" i="3"/>
  <c r="EH25" i="3"/>
  <c r="CW25" i="3"/>
  <c r="EB6" i="3"/>
  <c r="CP17" i="3"/>
  <c r="CX17" i="3"/>
  <c r="DF17" i="3"/>
  <c r="DN17" i="3"/>
  <c r="DV17" i="3"/>
  <c r="ED17" i="3"/>
  <c r="EL17" i="3"/>
  <c r="ET17" i="3"/>
  <c r="FB17" i="3"/>
  <c r="FJ17" i="3"/>
  <c r="FR17" i="3"/>
  <c r="EY13" i="3"/>
  <c r="EG13" i="3"/>
  <c r="EF13" i="3"/>
  <c r="EB13" i="3"/>
  <c r="CO13" i="3"/>
  <c r="EN13" i="3"/>
  <c r="CP13" i="3"/>
  <c r="CX13" i="3"/>
  <c r="DF13" i="3"/>
  <c r="DN13" i="3"/>
  <c r="DV13" i="3"/>
  <c r="ED13" i="3"/>
  <c r="EL13" i="3"/>
  <c r="ET13" i="3"/>
  <c r="FB13" i="3"/>
  <c r="FJ13" i="3"/>
  <c r="FR13" i="3"/>
  <c r="FQ6" i="3"/>
  <c r="FI6" i="3"/>
  <c r="FA6" i="3"/>
  <c r="ES6" i="3"/>
  <c r="EK6" i="3"/>
  <c r="EC6" i="3"/>
  <c r="DU6" i="3"/>
  <c r="DM6" i="3"/>
  <c r="DE6" i="3"/>
  <c r="CW6" i="3"/>
  <c r="CO6" i="3"/>
  <c r="CS25" i="3"/>
  <c r="FE25" i="3"/>
  <c r="FA13" i="3"/>
  <c r="CT25" i="3"/>
  <c r="DB25" i="3"/>
  <c r="DJ25" i="3"/>
  <c r="DZ25" i="3"/>
  <c r="EP25" i="3"/>
  <c r="EX25" i="3"/>
  <c r="FF25" i="3"/>
  <c r="FN25" i="3"/>
  <c r="FV25" i="3"/>
  <c r="DQ13" i="3"/>
  <c r="FM13" i="3"/>
  <c r="FE13" i="3"/>
  <c r="EW13" i="3"/>
  <c r="DY13" i="3"/>
  <c r="DA13" i="3"/>
  <c r="CS13" i="3"/>
  <c r="EM13" i="3"/>
  <c r="DU25" i="3"/>
  <c r="FI25" i="3"/>
  <c r="FV6" i="3"/>
  <c r="FN6" i="3"/>
  <c r="FF6" i="3"/>
  <c r="EX6" i="3"/>
  <c r="EP6" i="3"/>
  <c r="EH6" i="3"/>
  <c r="DZ6" i="3"/>
  <c r="DR6" i="3"/>
  <c r="DJ6" i="3"/>
  <c r="DB6" i="3"/>
  <c r="CT6" i="3"/>
  <c r="DR25" i="3"/>
  <c r="DI25" i="3"/>
  <c r="DQ25" i="3"/>
  <c r="DY25" i="3"/>
  <c r="EG25" i="3"/>
  <c r="EO25" i="3"/>
  <c r="EW25" i="3"/>
  <c r="FU25" i="3"/>
  <c r="CY13" i="3"/>
  <c r="EE13" i="3"/>
  <c r="DO13" i="3"/>
  <c r="CU25" i="3"/>
  <c r="DC25" i="3"/>
  <c r="DK25" i="3"/>
  <c r="DS25" i="3"/>
  <c r="EA25" i="3"/>
  <c r="EI25" i="3"/>
  <c r="EQ25" i="3"/>
  <c r="EY25" i="3"/>
  <c r="FG25" i="3"/>
  <c r="FO25" i="3"/>
  <c r="FW25" i="3"/>
  <c r="CO25" i="3"/>
  <c r="DE25" i="3"/>
  <c r="EC25" i="3"/>
  <c r="ES25" i="3"/>
  <c r="FA25" i="3"/>
  <c r="FQ25" i="3"/>
  <c r="EZ13" i="3"/>
  <c r="DT13" i="3"/>
  <c r="FG6" i="3"/>
  <c r="EA6" i="3"/>
  <c r="CU6" i="3"/>
  <c r="ER17" i="3"/>
  <c r="FR6" i="3"/>
  <c r="FJ6" i="3"/>
  <c r="FB6" i="3"/>
  <c r="ET6" i="3"/>
  <c r="EL6" i="3"/>
  <c r="ED6" i="3"/>
  <c r="DV6" i="3"/>
  <c r="DN6" i="3"/>
  <c r="DF6" i="3"/>
  <c r="CX6" i="3"/>
  <c r="CP6" i="3"/>
  <c r="CQ21" i="3"/>
  <c r="CY21" i="3"/>
  <c r="DG21" i="3"/>
  <c r="DO21" i="3"/>
  <c r="DW21" i="3"/>
  <c r="EE21" i="3"/>
  <c r="EM21" i="3"/>
  <c r="EU21" i="3"/>
  <c r="FC21" i="3"/>
  <c r="CT17" i="3"/>
  <c r="DB17" i="3"/>
  <c r="DJ17" i="3"/>
  <c r="DR17" i="3"/>
  <c r="DZ17" i="3"/>
  <c r="EH17" i="3"/>
  <c r="EP17" i="3"/>
  <c r="EX17" i="3"/>
  <c r="FF17" i="3"/>
  <c r="FN17" i="3"/>
  <c r="FV17" i="3"/>
  <c r="CR21" i="3"/>
  <c r="CZ21" i="3"/>
  <c r="DH21" i="3"/>
  <c r="DP21" i="3"/>
  <c r="DX21" i="3"/>
  <c r="EF21" i="3"/>
  <c r="EN21" i="3"/>
  <c r="EV21" i="3"/>
  <c r="FD21" i="3"/>
  <c r="FL21" i="3"/>
  <c r="FT21" i="3"/>
  <c r="CS21" i="3"/>
  <c r="DA21" i="3"/>
  <c r="DI21" i="3"/>
  <c r="DQ21" i="3"/>
  <c r="DY21" i="3"/>
  <c r="EG21" i="3"/>
  <c r="EO21" i="3"/>
  <c r="EW21" i="3"/>
  <c r="FE21" i="3"/>
  <c r="FM21" i="3"/>
  <c r="FU21" i="3"/>
  <c r="CT21" i="3"/>
  <c r="DB21" i="3"/>
  <c r="DJ21" i="3"/>
  <c r="DR21" i="3"/>
  <c r="DZ21" i="3"/>
  <c r="EH21" i="3"/>
  <c r="EP21" i="3"/>
  <c r="EX21" i="3"/>
  <c r="FF21" i="3"/>
  <c r="FN21" i="3"/>
  <c r="CN25" i="3"/>
  <c r="CV25" i="3"/>
  <c r="DD25" i="3"/>
  <c r="DL25" i="3"/>
  <c r="DT25" i="3"/>
  <c r="EB25" i="3"/>
  <c r="EJ25" i="3"/>
  <c r="ER25" i="3"/>
  <c r="EZ25" i="3"/>
  <c r="FH25" i="3"/>
  <c r="FP25" i="3"/>
  <c r="CV17" i="3"/>
  <c r="DD17" i="3"/>
  <c r="DL17" i="3"/>
  <c r="DT17" i="3"/>
  <c r="EB17" i="3"/>
  <c r="EJ17" i="3"/>
  <c r="EZ17" i="3"/>
  <c r="FH17" i="3"/>
  <c r="FP17" i="3"/>
  <c r="CU21" i="3"/>
  <c r="DC21" i="3"/>
  <c r="DK21" i="3"/>
  <c r="DS21" i="3"/>
  <c r="EA21" i="3"/>
  <c r="EI21" i="3"/>
  <c r="EQ21" i="3"/>
  <c r="EY21" i="3"/>
  <c r="FG21" i="3"/>
  <c r="CN21" i="3"/>
  <c r="CV21" i="3"/>
  <c r="DD21" i="3"/>
  <c r="DL21" i="3"/>
  <c r="DT21" i="3"/>
  <c r="EB21" i="3"/>
  <c r="EJ21" i="3"/>
  <c r="ER21" i="3"/>
  <c r="EZ21" i="3"/>
  <c r="FH21" i="3"/>
  <c r="FP21" i="3"/>
  <c r="CP25" i="3"/>
  <c r="CX25" i="3"/>
  <c r="DF25" i="3"/>
  <c r="DN25" i="3"/>
  <c r="DV25" i="3"/>
  <c r="ED25" i="3"/>
  <c r="EL25" i="3"/>
  <c r="ET25" i="3"/>
  <c r="FB25" i="3"/>
  <c r="FJ25" i="3"/>
  <c r="FR25" i="3"/>
  <c r="CQ17" i="3"/>
  <c r="CY17" i="3"/>
  <c r="DG17" i="3"/>
  <c r="DO17" i="3"/>
  <c r="DW17" i="3"/>
  <c r="EE17" i="3"/>
  <c r="EM17" i="3"/>
  <c r="EU17" i="3"/>
  <c r="FC17" i="3"/>
  <c r="FK17" i="3"/>
  <c r="FS17" i="3"/>
  <c r="CO21" i="3"/>
  <c r="CW21" i="3"/>
  <c r="DE21" i="3"/>
  <c r="DM21" i="3"/>
  <c r="DU21" i="3"/>
  <c r="EC21" i="3"/>
  <c r="EK21" i="3"/>
  <c r="ES21" i="3"/>
  <c r="FA21" i="3"/>
  <c r="FI21" i="3"/>
  <c r="FQ21" i="3"/>
  <c r="CQ25" i="3"/>
  <c r="CY25" i="3"/>
  <c r="DG25" i="3"/>
  <c r="DO25" i="3"/>
  <c r="DW25" i="3"/>
  <c r="EE25" i="3"/>
  <c r="EM25" i="3"/>
  <c r="EU25" i="3"/>
  <c r="FC25" i="3"/>
  <c r="FK25" i="3"/>
  <c r="FS25" i="3"/>
  <c r="FK13" i="3"/>
  <c r="DG13" i="3"/>
  <c r="CP21" i="3"/>
  <c r="CX21" i="3"/>
  <c r="DF21" i="3"/>
  <c r="DN21" i="3"/>
  <c r="DV21" i="3"/>
  <c r="ED21" i="3"/>
  <c r="EL21" i="3"/>
  <c r="ET21" i="3"/>
  <c r="FB21" i="3"/>
  <c r="FJ21" i="3"/>
  <c r="FR21" i="3"/>
  <c r="FG13" i="3"/>
  <c r="FO13" i="3"/>
  <c r="FP13" i="3"/>
  <c r="FH13" i="3"/>
  <c r="ER13" i="3"/>
  <c r="EJ13" i="3"/>
  <c r="DL13" i="3"/>
  <c r="DD13" i="3"/>
  <c r="CV13" i="3"/>
  <c r="CQ13" i="3"/>
  <c r="EO13" i="3"/>
  <c r="DI13" i="3"/>
  <c r="FU13" i="3"/>
  <c r="FL13" i="3"/>
  <c r="CZ13" i="3"/>
  <c r="FT13" i="3"/>
  <c r="FD13" i="3"/>
  <c r="EV13" i="3"/>
  <c r="DX13" i="3"/>
  <c r="DP13" i="3"/>
  <c r="DH13" i="3"/>
  <c r="CR13" i="3"/>
  <c r="EU13" i="3"/>
  <c r="FC13" i="3"/>
  <c r="DW13" i="3"/>
  <c r="CT13" i="3"/>
  <c r="DB13" i="3"/>
  <c r="DJ13" i="3"/>
  <c r="DR13" i="3"/>
  <c r="DZ13" i="3"/>
  <c r="EH13" i="3"/>
  <c r="EP13" i="3"/>
  <c r="EX13" i="3"/>
  <c r="FF13" i="3"/>
  <c r="FN13" i="3"/>
  <c r="FV13" i="3"/>
  <c r="FQ13" i="3"/>
  <c r="FI13" i="3"/>
  <c r="ES13" i="3"/>
  <c r="EK13" i="3"/>
  <c r="EC13" i="3"/>
  <c r="DU13" i="3"/>
  <c r="DM13" i="3"/>
  <c r="DE13" i="3"/>
  <c r="CW13" i="3"/>
</calcChain>
</file>

<file path=xl/comments1.xml><?xml version="1.0" encoding="utf-8"?>
<comments xmlns="http://schemas.openxmlformats.org/spreadsheetml/2006/main">
  <authors>
    <author>Rachele Bianco</author>
    <author>Carioni Giulia</author>
  </authors>
  <commentList>
    <comment ref="A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Turconi, #197</t>
        </r>
      </text>
    </comment>
    <comment ref="A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Turconi, #307</t>
        </r>
      </text>
    </comment>
    <comment ref="AT10" authorId="1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USDA 2341108 Cheese, Blue or Roquefort</t>
        </r>
      </text>
    </comment>
    <comment ref="AT11" authorId="1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FORMAGGIO A PASTA FILATA alimento simile=provolone cheese</t>
        </r>
      </text>
    </comment>
    <comment ref="AT12" authorId="1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Soft cheese Zhou et al 2022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ref Turconi: pizza 290g + 15g affettato</t>
        </r>
      </text>
    </comment>
    <comment ref="AT16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7057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BG5-SOMMA(BI5:BL5) dà come risultato -0.001. quindi ho messo 0, con il codice colore "calcolo"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Turconi, #89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ref Turconi: riso 60 + 8 g olio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Turconi, #207</t>
        </r>
      </text>
    </comment>
    <comment ref="A3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ref Turconi, #31</t>
        </r>
      </text>
    </comment>
    <comment ref="AT35" authorId="0" shapeId="0">
      <text>
        <r>
          <rPr>
            <b/>
            <sz val="9"/>
            <color rgb="FF000000"/>
            <rFont val="Tahoma"/>
            <family val="2"/>
          </rPr>
          <t>Rachele Bianco: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valore alimento simile=pecorino romano</t>
        </r>
      </text>
    </comment>
    <comment ref="A4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sito cucchiaio d'argento</t>
        </r>
      </text>
    </comment>
    <comment ref="A5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sito giallo zafferano</t>
        </r>
      </text>
    </comment>
    <comment ref="AB5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https://www.foodcomposition.co.nz/search/food/S33/full-grouped?amount=100</t>
        </r>
      </text>
    </comment>
    <comment ref="AC5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https://www.foodcomposition.co.nz/search/food/S33/full-grouped?amount=100</t>
        </r>
      </text>
    </comment>
    <comment ref="AE5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AM5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https://www.foodcomposition.co.nz/search/food/S33/full-grouped?amount=100</t>
        </r>
      </text>
    </comment>
    <comment ref="N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B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C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D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E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L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M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BP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Q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R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S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T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U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V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W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X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Y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Z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A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B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C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D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E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F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G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H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CI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CK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CL5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T60" authorId="0" shapeId="0">
      <text>
        <r>
          <rPr>
            <b/>
            <sz val="9"/>
            <color indexed="81"/>
            <rFont val="Tahoma"/>
            <family val="2"/>
          </rPr>
          <t xml:space="preserve">Rachele Bianco
</t>
        </r>
        <r>
          <rPr>
            <sz val="9"/>
            <color indexed="81"/>
            <rFont val="Tahoma"/>
            <family val="2"/>
          </rPr>
          <t>usda 5063</t>
        </r>
      </text>
    </comment>
    <comment ref="A6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sito giallo zafferano</t>
        </r>
      </text>
    </comment>
    <comment ref="AB6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https://www.foodcomposition.co.nz/search/food/S33/full-grouped?amount=100</t>
        </r>
      </text>
    </comment>
    <comment ref="AC6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https://www.foodcomposition.co.nz/search/food/S33/full-grouped?amount=100</t>
        </r>
      </text>
    </comment>
    <comment ref="AE6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AM6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https://www.foodcomposition.co.nz/search/food/S33/full-grouped?amount=100</t>
        </r>
      </text>
    </comment>
    <comment ref="N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B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C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D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E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L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M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BP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Q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R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S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T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U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V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W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X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Y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Z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A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B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C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D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E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F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G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H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CI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CK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CL6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7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caesar salad riadattata da immagine</t>
        </r>
      </text>
    </comment>
    <comment ref="AB7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https://www.foodcomposition.co.nz/search/food/S33/full-grouped?amount=100</t>
        </r>
      </text>
    </comment>
    <comment ref="AC7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https://www.foodcomposition.co.nz/search/food/S33/full-grouped?amount=100</t>
        </r>
      </text>
    </comment>
    <comment ref="AE7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AM7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https://www.foodcomposition.co.nz/search/food/S33/full-grouped?amount=100</t>
        </r>
      </text>
    </comment>
    <comment ref="N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B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C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D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E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L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M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BP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Q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R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S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T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U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V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W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X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Y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Z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A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B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C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D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E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F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G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H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CI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CK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CL7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T80" authorId="0" shapeId="0">
      <text>
        <r>
          <rPr>
            <b/>
            <sz val="9"/>
            <color indexed="81"/>
            <rFont val="Tahoma"/>
            <family val="2"/>
          </rPr>
          <t xml:space="preserve">Rachele Bianco
</t>
        </r>
        <r>
          <rPr>
            <sz val="9"/>
            <color indexed="81"/>
            <rFont val="Tahoma"/>
            <family val="2"/>
          </rPr>
          <t>usda 5063</t>
        </r>
      </text>
    </comment>
    <comment ref="A8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sito giallo zafferano</t>
        </r>
      </text>
    </comment>
    <comment ref="A8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ricetta primo chef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sito giallo zafferano</t>
        </r>
      </text>
    </comment>
    <comment ref="A10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sito GZ</t>
        </r>
      </text>
    </comment>
    <comment ref="AT10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tenderloin, steak, separable lean only, trimmed to 1/8 fat, choice, raw
usda 13920</t>
        </r>
      </text>
    </comment>
    <comment ref="N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AC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BA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BB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BP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Q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R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S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T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U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V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W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X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Y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Z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A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B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C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D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E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F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G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H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CI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CK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CL1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A1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sito GZ</t>
        </r>
      </text>
    </comment>
    <comment ref="A12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ricetta giallo zafferano</t>
        </r>
      </text>
    </comment>
    <comment ref="B1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la grammatura inserita si riferisce all'olio trattenuto durante la frittura (14%-media tra 8 e 20% del peso di partenza)</t>
        </r>
      </text>
    </comment>
    <comment ref="A12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sito giallo zafferano</t>
        </r>
      </text>
    </comment>
    <comment ref="A13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sito giallo zafferano</t>
        </r>
      </text>
    </comment>
    <comment ref="A13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ref Turconi, #293</t>
        </r>
      </text>
    </comment>
    <comment ref="AT139" authorId="1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CIQUAL 12300 Processed cheese, in slices</t>
        </r>
      </text>
    </comment>
    <comment ref="A14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ref img dish_1568401167</t>
        </r>
      </text>
    </comment>
    <comment ref="AT14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15124</t>
        </r>
      </text>
    </comment>
    <comment ref="A14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ref img dish_1565637123</t>
        </r>
      </text>
    </comment>
    <comment ref="A15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ref Turconi 150, adattato a polpettone di tacchino</t>
        </r>
      </text>
    </comment>
    <comment ref="AT15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5167</t>
        </r>
      </text>
    </comment>
    <comment ref="A16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ref Turconi, #17</t>
        </r>
      </text>
    </comment>
    <comment ref="AT16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Beef, tenderloin, steak, separable lean only, trimmed to 1/8 fat, choice, raw
usda 13920</t>
        </r>
      </text>
    </comment>
    <comment ref="A17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ref Turconi 201</t>
        </r>
      </text>
    </comment>
    <comment ref="A17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ref Turconi 89</t>
        </r>
      </text>
    </comment>
    <comment ref="A18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ref sito giallo zafferano</t>
        </r>
      </text>
    </comment>
    <comment ref="M18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N18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O18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AB18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AC18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AE18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AM18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BA18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SFA</t>
        </r>
      </text>
    </comment>
    <comment ref="BB18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SFA</t>
        </r>
      </text>
    </comment>
    <comment ref="BJ18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PUFA</t>
        </r>
      </text>
    </comment>
    <comment ref="BK18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PUFA</t>
        </r>
      </text>
    </comment>
    <comment ref="CH18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CI18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CK18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CL18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BP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Q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R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S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T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U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V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W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X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Y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Z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CA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CB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CC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CD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CE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CF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CG19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19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sito GZ</t>
        </r>
      </text>
    </comment>
    <comment ref="A20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sito GZ</t>
        </r>
      </text>
    </comment>
    <comment ref="AT20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Pork sausage, link/patty, unprepared
usda 7063</t>
        </r>
      </text>
    </comment>
    <comment ref="AT206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</t>
        </r>
      </text>
    </comment>
    <comment ref="A2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sito GZ</t>
        </r>
      </text>
    </comment>
    <comment ref="AB22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https://www.foodcomposition.co.nz/search/food/S33/full-grouped?amount=100</t>
        </r>
      </text>
    </comment>
    <comment ref="AC22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https://www.foodcomposition.co.nz/search/food/S33/full-grouped?amount=100</t>
        </r>
      </text>
    </comment>
    <comment ref="AE22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AM22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https://www.foodcomposition.co.nz/search/food/S33/full-grouped?amount=100</t>
        </r>
      </text>
    </comment>
    <comment ref="BP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Q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R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S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T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U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V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W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X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Y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BZ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CA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CB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CC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CD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CE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CF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CG22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Y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Z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A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B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missing -3 portato a tracce; MP</t>
        </r>
      </text>
    </comment>
    <comment ref="AC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D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L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M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N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T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https://fdc.nal.usda.gov
4025</t>
        </r>
      </text>
    </comment>
    <comment ref="AV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W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X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AY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Z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BA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B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D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=(AY5-(BC5+BD5))/5</t>
        </r>
      </text>
    </comment>
    <comment ref="BE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G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H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=(BG5-BJ5)/4</t>
        </r>
      </text>
    </comment>
    <comment ref="BL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BM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BN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=(BM5-(BN5+BS5+BO5))/3</t>
        </r>
      </text>
    </comment>
    <comment ref="CH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I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K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
con riproporzionamento su tot 14.8g CHO</t>
        </r>
      </text>
    </comment>
    <comment ref="CL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CM22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https://www.foodcomposition.co.nz/search/food/S45/full-grouped?amount=100</t>
        </r>
      </text>
    </comment>
    <comment ref="A22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sito GZ</t>
        </r>
      </text>
    </comment>
    <comment ref="AT22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5080</t>
        </r>
      </text>
    </comment>
    <comment ref="AB22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https://www.foodcomposition.co.nz/search/food/P2/full-grouped?amount=100</t>
        </r>
      </text>
    </comment>
    <comment ref="AC22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https://www.foodcomposition.co.nz/search/food/P2/full-grouped?amount=100</t>
        </r>
      </text>
    </comment>
    <comment ref="AE22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https://www.foodcomposition.co.nz/search/food/P2/full-grouped?amount=100</t>
        </r>
      </text>
    </comment>
    <comment ref="AM22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https://www.foodcomposition.co.nz/search/food/P2/full-grouped?amount=100</t>
        </r>
      </text>
    </comment>
    <comment ref="N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AC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BA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BB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BP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Q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R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S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T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U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V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W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X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Y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Z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A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B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C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D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E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F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G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H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CI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CK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CL23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M24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https://www.foodcomposition.co.nz/search/food/X273/full-grouped?amount=100</t>
        </r>
      </text>
    </comment>
    <comment ref="N24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https://www.foodcomposition.co.nz/search/food/X273/full-grouped?amount=100</t>
        </r>
      </text>
    </comment>
    <comment ref="AB24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https://www.foodcomposition.co.nz/search/food/X273/full-grouped?amount=100</t>
        </r>
      </text>
    </comment>
    <comment ref="AC24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https://www.foodcomposition.co.nz/search/food/X273/full-grouped?amount=100</t>
        </r>
      </text>
    </comment>
    <comment ref="BA24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SFA/2</t>
        </r>
      </text>
    </comment>
    <comment ref="BB24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SFA/2</t>
        </r>
      </text>
    </comment>
    <comment ref="CH24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https://www.foodcomposition.co.nz/search/food/X273/full-grouped?amount=100</t>
        </r>
      </text>
    </comment>
    <comment ref="CI24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https://www.foodcomposition.co.nz/search/food/X273/full-grouped?amount=100</t>
        </r>
      </text>
    </comment>
    <comment ref="CK24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https://www.foodcomposition.co.nz/search/food/X273/full-grouped?amount=100</t>
        </r>
      </text>
    </comment>
    <comment ref="CL24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https://www.foodcomposition.co.nz/search/food/X273/full-grouped?amount=100</t>
        </r>
      </text>
    </comment>
  </commentList>
</comments>
</file>

<file path=xl/comments2.xml><?xml version="1.0" encoding="utf-8"?>
<comments xmlns="http://schemas.openxmlformats.org/spreadsheetml/2006/main">
  <authors>
    <author>Carioni Giulia</author>
    <author>Rachele Bianco</author>
  </authors>
  <commentList>
    <comment ref="AS22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CIQUAL12100 Hard cheese (average)</t>
        </r>
      </text>
    </comment>
    <comment ref="AS23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CIQUAL12100 Hard cheese (average)</t>
        </r>
      </text>
    </comment>
    <comment ref="AB24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https://frida.fooddata.dk/food/1313?lang=en</t>
        </r>
      </text>
    </comment>
    <comment ref="AD24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alimento simile CAMEMBERT 71786_2</t>
        </r>
      </text>
    </comment>
    <comment ref="AS25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RICETTA mozzarella (cod.1718) 60g + panna 35% lipidi (cod. 1719) 40g VEDI worksheet</t>
        </r>
      </text>
    </comment>
    <comment ref="AS26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RICETTA burro (cod.1900) 30g + provoloncino dolce (cod.100024) 70g VEDI worksheet</t>
        </r>
      </text>
    </comment>
    <comment ref="AS27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RICETTA burro (cod.1900) 30g + caciocavallo (cod.1702) 70g VEDI worksheet</t>
        </r>
      </text>
    </comment>
    <comment ref="AS28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FORMAGGIO A PASTA FILATA alimento simile=provolone cheese</t>
        </r>
      </text>
    </comment>
    <comment ref="AS29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FORMAGGIO A PASTA FILATA alimento simile=provolone cheese</t>
        </r>
      </text>
    </comment>
    <comment ref="AS30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RICETTA caciotta romana di pecora (cod.1703) 50g + ricotta pecora (cod. 1723) 50g VEDI worksheet</t>
        </r>
      </text>
    </comment>
    <comment ref="AS31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FORMAGGIO A PASTA FILATA alimento simile=provolone cheese</t>
        </r>
      </text>
    </comment>
    <comment ref="AS32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Soft cheese Zhou et al 2022</t>
        </r>
      </text>
    </comment>
    <comment ref="AS33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alimento simile=pecorino romano</t>
        </r>
      </text>
    </comment>
    <comment ref="AS34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Soft cheese Zhou et al 2022</t>
        </r>
      </text>
    </comment>
    <comment ref="AS35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Soft cheese Zhou et al 2022</t>
        </r>
      </text>
    </comment>
    <comment ref="AS36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Soft cheese Zhou et al 2022</t>
        </r>
      </text>
    </comment>
    <comment ref="AS37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Soft cheese Zhou et al 2022</t>
        </r>
      </text>
    </comment>
    <comment ref="AS38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USDA172178 Cheese, camembert </t>
        </r>
      </text>
    </comment>
    <comment ref="AS39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CIQUAL12726 Cheddar cheese, from cow's milk </t>
        </r>
      </text>
    </comment>
    <comment ref="BO40" authorId="1" shapeId="0">
      <text>
        <r>
          <rPr>
            <b/>
            <sz val="9"/>
            <color rgb="FF000000"/>
            <rFont val="Tahoma"/>
            <family val="2"/>
          </rPr>
          <t>Rachele Bianco: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https://fdc.nal.usda.gov/fdc-app.html#/food-details/173417/nutrients
</t>
        </r>
        <r>
          <rPr>
            <sz val="9"/>
            <color rgb="FF000000"/>
            <rFont val="Tahoma"/>
            <family val="2"/>
          </rPr>
          <t>con riproporzionamento</t>
        </r>
      </text>
    </comment>
    <comment ref="AS41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Fresh cheese Zhou et at 2022</t>
        </r>
      </text>
    </comment>
    <comment ref="AS42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USDA 2341108 Cheese, Blue or Roquefort</t>
        </r>
      </text>
    </comment>
    <comment ref="AS47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alimento simile= mozzarella di vacca</t>
        </r>
      </text>
    </comment>
    <comment ref="AS48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USDA 170843 Cheese, fontina </t>
        </r>
      </text>
    </comment>
    <comment ref="AS49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McCance Dataset 12-527 Cheese, processed, plain
</t>
        </r>
      </text>
    </comment>
    <comment ref="AS50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RICETTA gorgonzola (cod.1713) 50g + mascarpone (cod.1717) 50g VEDI worksheet</t>
        </r>
      </text>
    </comment>
    <comment ref="AS51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USDA 2341108 Cheese, Blue or Roquefort</t>
        </r>
      </text>
    </comment>
    <comment ref="AS52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RICETTA gorgonzola (cod.1713) 96g + noci (cod.510) 4g VEDI worksheet</t>
        </r>
      </text>
    </comment>
    <comment ref="AS56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USDA 171242 Cheese, gruyere</t>
        </r>
      </text>
    </comment>
    <comment ref="AS57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Soft cheese Zhou et al 2022</t>
        </r>
      </text>
    </comment>
    <comment ref="AS58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CIQUAL12100 Hard cheese (average)</t>
        </r>
      </text>
    </comment>
    <comment ref="AS60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CIQUAL12100 Hard cheese (average)</t>
        </r>
      </text>
    </comment>
    <comment ref="AS64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valore alimento simile=pecorino romano</t>
        </r>
      </text>
    </comment>
    <comment ref="AS65" authorId="1" shapeId="0">
      <text>
        <r>
          <rPr>
            <b/>
            <sz val="9"/>
            <color rgb="FF000000"/>
            <rFont val="Tahoma"/>
            <family val="2"/>
          </rPr>
          <t>Rachele Bianco: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valore alimento simile=pecorino romano</t>
        </r>
      </text>
    </comment>
    <comment ref="AS66" authorId="1" shapeId="0">
      <text>
        <r>
          <rPr>
            <b/>
            <sz val="9"/>
            <color rgb="FF000000"/>
            <rFont val="Tahoma"/>
            <family val="2"/>
          </rPr>
          <t>Rachele Bianco: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valore alimento simile=pecorino romano</t>
        </r>
      </text>
    </comment>
    <comment ref="AS67" authorId="1" shapeId="0">
      <text>
        <r>
          <rPr>
            <b/>
            <sz val="9"/>
            <color rgb="FF000000"/>
            <rFont val="Tahoma"/>
            <family val="2"/>
          </rPr>
          <t>Rachele Bianco: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valore alimento simile=pecorino romano</t>
        </r>
      </text>
    </comment>
    <comment ref="AS69" authorId="1" shapeId="0">
      <text>
        <r>
          <rPr>
            <b/>
            <sz val="9"/>
            <color rgb="FF000000"/>
            <rFont val="Tahoma"/>
            <family val="2"/>
          </rPr>
          <t>Rachele Bianco: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valore alimento simile=pecorino romano</t>
        </r>
      </text>
    </comment>
    <comment ref="AS70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McCance Dataset 12-527 Cheese, processed, plain </t>
        </r>
      </text>
    </comment>
    <comment ref="AS71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McCance Dataset 12-527 Cheese, processed, plain </t>
        </r>
      </text>
    </comment>
    <comment ref="AS72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CIQUAL 12300 Processed cheese, in slices</t>
        </r>
      </text>
    </comment>
    <comment ref="AS73" authorId="1" shapeId="0">
      <text>
        <r>
          <rPr>
            <b/>
            <sz val="9"/>
            <color rgb="FF000000"/>
            <rFont val="Tahoma"/>
            <family val="2"/>
          </rPr>
          <t>Rachele Bianco: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valore alimento simile=provolone cheese</t>
        </r>
      </text>
    </comment>
    <comment ref="AS74" authorId="1" shapeId="0">
      <text>
        <r>
          <rPr>
            <b/>
            <sz val="9"/>
            <color rgb="FF000000"/>
            <rFont val="Tahoma"/>
            <family val="2"/>
          </rPr>
          <t>Rachele Bianco: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valore alimento simile=provolone cheese</t>
        </r>
      </text>
    </comment>
    <comment ref="AS76" authorId="1" shapeId="0">
      <text>
        <r>
          <rPr>
            <b/>
            <sz val="9"/>
            <color rgb="FF000000"/>
            <rFont val="Tahoma"/>
            <family val="2"/>
          </rPr>
          <t>Rachele Bianco: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valore alimento simile=provolone cheese</t>
        </r>
      </text>
    </comment>
    <comment ref="AS78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alimento simile = ricotta magra di tipo tedesco</t>
        </r>
      </text>
    </comment>
    <comment ref="AS79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alimento simile = ricotta di vacca/ricotta di pecora</t>
        </r>
      </text>
    </comment>
    <comment ref="AS80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RICETTA ricotta vacca (cod.11793) 50g + ricotta pecora (cod. 1723) 50g VEDI worksheet</t>
        </r>
      </text>
    </comment>
    <comment ref="AS83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Fresh cheese Zhou et at 2022</t>
        </r>
      </text>
    </comment>
    <comment ref="AS84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USDA Cheese, Blue or Roquefort 2341108</t>
        </r>
      </text>
    </comment>
    <comment ref="AS85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FORMAGGIO A PASTA FILATA alimento simile=provolone cheese</t>
        </r>
      </text>
    </comment>
    <comment ref="AS86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FORMAGGIO A PASTA FILATA alimento simile=provolone cheese</t>
        </r>
      </text>
    </comment>
    <comment ref="AS87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Fresh cheese Zhou et at 2022</t>
        </r>
      </text>
    </comment>
    <comment ref="AS88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McCance Dataset 12-527 Cheese, processed, plain
</t>
        </r>
      </text>
    </comment>
    <comment ref="AS89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Fresh cheese Zhou et at 2022</t>
        </r>
      </text>
    </comment>
    <comment ref="AS90" authorId="0" shapeId="0">
      <text>
        <r>
          <rPr>
            <b/>
            <sz val="9"/>
            <color indexed="81"/>
            <rFont val="Tahoma"/>
            <family val="2"/>
          </rPr>
          <t>Carioni Giulia:</t>
        </r>
        <r>
          <rPr>
            <sz val="9"/>
            <color indexed="81"/>
            <rFont val="Tahoma"/>
            <family val="2"/>
          </rPr>
          <t xml:space="preserve">
Soft cheese Zhou et al 2022</t>
        </r>
      </text>
    </comment>
    <comment ref="A110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tolto soya, seed perché è il legume (secco)</t>
        </r>
      </text>
    </comment>
    <comment ref="AA113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AB113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https://www.foodcomposition.co.nz/search/food/Q1029/full-grouped?amount=100</t>
        </r>
      </text>
    </comment>
    <comment ref="AD113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AL113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M114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https://www.foodcomposition.co.nz/search/food/Q1028/full-grouped?amount=100</t>
        </r>
      </text>
    </comment>
    <comment ref="AA114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AB114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https://www.foodcomposition.co.nz/search/food/Q1028/full-grouped?amount=100</t>
        </r>
      </text>
    </comment>
    <comment ref="AD114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AL114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CG114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https://www.foodcomposition.co.nz/search/food/Q1028/full-grouped?amount=100</t>
        </r>
      </text>
    </comment>
    <comment ref="CH114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https://www.foodcomposition.co.nz/search/food/Q1028/full-grouped?amount=100</t>
        </r>
      </text>
    </comment>
    <comment ref="CK114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https://www.foodcomposition.co.nz/search/food/Q1028/full-grouped?amount=100</t>
        </r>
      </text>
    </comment>
    <comment ref="L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M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N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O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AA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AB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AD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AI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AK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arancioni</t>
        </r>
      </text>
    </comment>
    <comment ref="AL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AN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AP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AS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AV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BG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CG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CH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CJ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CK115" authorId="1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</commentList>
</comments>
</file>

<file path=xl/comments3.xml><?xml version="1.0" encoding="utf-8"?>
<comments xmlns="http://schemas.openxmlformats.org/spreadsheetml/2006/main">
  <authors>
    <author>Rachele Bianco</author>
  </authors>
  <commentList>
    <comment ref="Z6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https://www.foodcomposition.co.nz/search/food/S33/full-grouped?amount=100</t>
        </r>
      </text>
    </comment>
    <comment ref="AA6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https://www.foodcomposition.co.nz/search/food/S33/full-grouped?amount=100</t>
        </r>
      </text>
    </comment>
    <comment ref="AC6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AK6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https://www.foodcomposition.co.nz/search/food/S33/full-grouped?amount=100</t>
        </r>
      </text>
    </comment>
    <comment ref="Z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https://www.foodcomposition.co.nz/search/food/P2/full-grouped?amount=100</t>
        </r>
      </text>
    </comment>
    <comment ref="AA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https://www.foodcomposition.co.nz/search/food/P2/full-grouped?amount=100</t>
        </r>
      </text>
    </comment>
    <comment ref="AC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https://www.foodcomposition.co.nz/search/food/P2/full-grouped?amount=100</t>
        </r>
      </text>
    </comment>
    <comment ref="AK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https://www.foodcomposition.co.nz/search/food/P2/full-grouped?amount=100</t>
        </r>
      </text>
    </comment>
    <comment ref="Z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AA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https://www.foodcomposition.co.nz/search/food/Q1029/full-grouped?amount=100</t>
        </r>
      </text>
    </comment>
    <comment ref="AC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AK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L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https://www.foodcomposition.co.nz/search/food/Q1028/full-grouped?amount=100</t>
        </r>
      </text>
    </comment>
    <comment ref="Z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AA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https://www.foodcomposition.co.nz/search/food/Q1028/full-grouped?amount=100</t>
        </r>
      </text>
    </comment>
    <comment ref="AC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AK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CF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https://www.foodcomposition.co.nz/search/food/Q1028/full-grouped?amount=100</t>
        </r>
      </text>
    </comment>
    <comment ref="CG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https://www.foodcomposition.co.nz/search/food/Q1028/full-grouped?amount=100</t>
        </r>
      </text>
    </comment>
    <comment ref="CJ9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https://www.foodcomposition.co.nz/search/food/Q1028/full-grouped?amount=100</t>
        </r>
      </text>
    </comment>
    <comment ref="K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L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M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N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Z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AA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AC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AH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AJ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arancioni</t>
        </r>
      </text>
    </comment>
    <comment ref="AK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AM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AO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AR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tracce perché non ci sono valori in banche dati</t>
        </r>
      </text>
    </comment>
    <comment ref="AU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BF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CF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CG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CI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CJ10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https://www.foodcomposition.co.nz/search/food/Q1026/full-grouped?amount=100</t>
        </r>
      </text>
    </comment>
    <comment ref="L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AA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AY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AZ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BN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O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Q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R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S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T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U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V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W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X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Y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BZ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A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B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C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D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E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blu</t>
        </r>
      </text>
    </comment>
    <comment ref="CF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CG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CI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CJ11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https://www.foodcomposition.co.nz/search/food/P1010/nip?amount=100</t>
        </r>
      </text>
    </comment>
    <comment ref="K1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L1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M1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Z1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AA1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AC1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AK1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AY1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SFA</t>
        </r>
      </text>
    </comment>
    <comment ref="AZ1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SFA</t>
        </r>
      </text>
    </comment>
    <comment ref="BH1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PUFA</t>
        </r>
      </text>
    </comment>
    <comment ref="BI1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altri PUFA</t>
        </r>
      </text>
    </comment>
    <comment ref="CF1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CG1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CI1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CJ12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https://www.foodcomposition.co.nz/search/food/Q27/full-grouped?amount=100</t>
        </r>
      </text>
    </comment>
    <comment ref="K1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https://www.foodcomposition.co.nz/search/food/X273/full-grouped?amount=100</t>
        </r>
      </text>
    </comment>
    <comment ref="L1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https://www.foodcomposition.co.nz/search/food/X273/full-grouped?amount=100</t>
        </r>
      </text>
    </comment>
    <comment ref="Z1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https://www.foodcomposition.co.nz/search/food/X273/full-grouped?amount=100</t>
        </r>
      </text>
    </comment>
    <comment ref="AA1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https://www.foodcomposition.co.nz/search/food/X273/full-grouped?amount=100</t>
        </r>
      </text>
    </comment>
    <comment ref="AY1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SFA/2</t>
        </r>
      </text>
    </comment>
    <comment ref="AZ1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SFA/2</t>
        </r>
      </text>
    </comment>
    <comment ref="CF1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https://www.foodcomposition.co.nz/search/food/X273/full-grouped?amount=100</t>
        </r>
      </text>
    </comment>
    <comment ref="CG1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https://www.foodcomposition.co.nz/search/food/X273/full-grouped?amount=100</t>
        </r>
      </text>
    </comment>
    <comment ref="CI1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https://www.foodcomposition.co.nz/search/food/X273/full-grouped?amount=100</t>
        </r>
      </text>
    </comment>
    <comment ref="CJ13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https://www.foodcomposition.co.nz/search/food/X273/full-grouped?amount=100</t>
        </r>
      </text>
    </comment>
    <comment ref="Z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https://www.foodcomposition.co.nz/search/food/W72/full-grouped?amount=100</t>
        </r>
      </text>
    </comment>
    <comment ref="AA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https://www.foodcomposition.co.nz/search/food/W72/full-grouped?amount=100</t>
        </r>
      </text>
    </comment>
    <comment ref="AC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https://www.foodcomposition.co.nz/search/food/W72/full-grouped?amount=100</t>
        </r>
      </text>
    </comment>
    <comment ref="AK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https://www.foodcomposition.co.nz/search/food/W72/full-grouped?amount=100</t>
        </r>
      </text>
    </comment>
    <comment ref="BN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O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P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Q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R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S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T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U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V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W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X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Y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Z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A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B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C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D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E14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L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Z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A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B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C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J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AK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BN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O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P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Q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R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S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T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U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V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W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X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Y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Z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A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B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C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D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E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F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CG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CI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CJ15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https://www.foodcomposition.co.nz/search/food/S14/full-grouped?amount=100</t>
        </r>
      </text>
    </comment>
    <comment ref="L16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https://www.foodcomposition.co.nz/search/food/S1008/full-grouped?amount=100</t>
        </r>
      </text>
    </comment>
    <comment ref="Z16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AA16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https://www.foodcomposition.co.nz/search/food/S1008/full-grouped?amount=100</t>
        </r>
      </text>
    </comment>
    <comment ref="AC16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AK16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H16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https://www.foodcomposition.co.nz/search/food/S1008/full-grouped?amount=100</t>
        </r>
      </text>
    </comment>
    <comment ref="BI16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https://www.foodcomposition.co.nz/search/food/S1008/full-grouped?amount=100</t>
        </r>
      </text>
    </comment>
    <comment ref="Z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AA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AC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AK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N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O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P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Q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R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S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T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U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V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W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X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Y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BZ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A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B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C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D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E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F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G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I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CJ17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media degil altri verdi</t>
        </r>
      </text>
    </comment>
    <comment ref="Y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AA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AM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AO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AS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AT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AU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AV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AW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AX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AY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AZ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BA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BB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BC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BD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BE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BF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BG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BH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BI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BJ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BK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  <comment ref="BL18" authorId="0" shapeId="0">
      <text>
        <r>
          <rPr>
            <b/>
            <sz val="9"/>
            <color indexed="81"/>
            <rFont val="Tahoma"/>
            <family val="2"/>
          </rPr>
          <t>Rachele Bianco:</t>
        </r>
        <r>
          <rPr>
            <sz val="9"/>
            <color indexed="81"/>
            <rFont val="Tahoma"/>
            <family val="2"/>
          </rPr>
          <t xml:space="preserve">
https://www.foodcomposition.co.nz/search/food/X1248/full-grouped?amount=100</t>
        </r>
      </text>
    </comment>
  </commentList>
</comments>
</file>

<file path=xl/sharedStrings.xml><?xml version="1.0" encoding="utf-8"?>
<sst xmlns="http://schemas.openxmlformats.org/spreadsheetml/2006/main" count="1600" uniqueCount="497">
  <si>
    <t>bok choy</t>
  </si>
  <si>
    <t>roasted potatoes</t>
  </si>
  <si>
    <t>jalapenos</t>
  </si>
  <si>
    <t>yam</t>
  </si>
  <si>
    <t>berries</t>
  </si>
  <si>
    <t>mushroom</t>
  </si>
  <si>
    <t>rice noodles</t>
  </si>
  <si>
    <t>green onions</t>
  </si>
  <si>
    <t>kale</t>
  </si>
  <si>
    <t>black beans</t>
  </si>
  <si>
    <t>chayote squash</t>
  </si>
  <si>
    <t>tatsoi</t>
  </si>
  <si>
    <t>nuts</t>
  </si>
  <si>
    <t>turkey bacon</t>
  </si>
  <si>
    <t>jicama</t>
  </si>
  <si>
    <t>nopales</t>
  </si>
  <si>
    <t>cranberries</t>
  </si>
  <si>
    <t>country rice</t>
  </si>
  <si>
    <t>parsnips</t>
  </si>
  <si>
    <t>blue cheese</t>
  </si>
  <si>
    <t>hominy</t>
  </si>
  <si>
    <t>bagels</t>
  </si>
  <si>
    <t>tomatillo</t>
  </si>
  <si>
    <t>noodles</t>
  </si>
  <si>
    <t>pepperoni</t>
  </si>
  <si>
    <t>snow peas</t>
  </si>
  <si>
    <t>wild rice</t>
  </si>
  <si>
    <t>buttermilk</t>
  </si>
  <si>
    <t>pilaf</t>
  </si>
  <si>
    <t>Energia, Ric con fibra (kcal)</t>
  </si>
  <si>
    <t>Energia, Ric con fibra (kJ)</t>
  </si>
  <si>
    <t>Proteine totali</t>
  </si>
  <si>
    <t>Proteine animali</t>
  </si>
  <si>
    <t>Proteine vegetali</t>
  </si>
  <si>
    <t>Lipidi totali</t>
  </si>
  <si>
    <t>Lipidi animali</t>
  </si>
  <si>
    <t>Lipidi vegetali</t>
  </si>
  <si>
    <t>Colesterolo</t>
  </si>
  <si>
    <t>Carboidrati disponibili (MSE)</t>
  </si>
  <si>
    <t>Amido (MSE)</t>
  </si>
  <si>
    <t>Carboidrati solubili (MSE)</t>
  </si>
  <si>
    <t>Fibra alimentare totale</t>
  </si>
  <si>
    <t>Alcol</t>
  </si>
  <si>
    <t>Acqua</t>
  </si>
  <si>
    <t>Ferro</t>
  </si>
  <si>
    <t>Calcio</t>
  </si>
  <si>
    <t>Sodio</t>
  </si>
  <si>
    <t>Potassio</t>
  </si>
  <si>
    <t>Fosforo</t>
  </si>
  <si>
    <t>Zinco</t>
  </si>
  <si>
    <t>Magnesio</t>
  </si>
  <si>
    <t>Rame</t>
  </si>
  <si>
    <t>Selenio</t>
  </si>
  <si>
    <t>Cloro</t>
  </si>
  <si>
    <t>Iodio</t>
  </si>
  <si>
    <t>Manganese</t>
  </si>
  <si>
    <t>Zolfo</t>
  </si>
  <si>
    <t>Vitamina B1, Tiamina</t>
  </si>
  <si>
    <t>Vitamina B2, Riboflavina</t>
  </si>
  <si>
    <t>Vitamina C</t>
  </si>
  <si>
    <t>Niacina</t>
  </si>
  <si>
    <t>Vitamina B6</t>
  </si>
  <si>
    <t>Folati totali</t>
  </si>
  <si>
    <t>Acido pantotenico</t>
  </si>
  <si>
    <t>Biotina</t>
  </si>
  <si>
    <t>Vitamina B12</t>
  </si>
  <si>
    <t>Retinolo equivalenti (RE)</t>
  </si>
  <si>
    <t>Retinolo</t>
  </si>
  <si>
    <t>ß-carotene equivalenti</t>
  </si>
  <si>
    <t>Vitamina E (ATE)</t>
  </si>
  <si>
    <t>Vitamina D</t>
  </si>
  <si>
    <t>Vitamina K</t>
  </si>
  <si>
    <t>Acidi grassi saturi totali</t>
  </si>
  <si>
    <t>Somma degli acidi butirrico (C4:0), caproico (C6:0), caprilico (C8:0) e caprico (C10:0)</t>
  </si>
  <si>
    <t>Acido laurico (C12:0)</t>
  </si>
  <si>
    <t>Acido miristico (C14:0)</t>
  </si>
  <si>
    <t>Acido palmitico (C16:0)</t>
  </si>
  <si>
    <t>Acido stearico (C18:0)</t>
  </si>
  <si>
    <t>Acido arachidico (C20:0)</t>
  </si>
  <si>
    <t>Acido beenico (C22:0)</t>
  </si>
  <si>
    <t>Acidi grassi monoinsaturi totali</t>
  </si>
  <si>
    <t>Acido miristoleico (C14:1)</t>
  </si>
  <si>
    <t>Acido palmitoleico (C16:1ω-7)</t>
  </si>
  <si>
    <t>Acido oleico (C18:1ω-9cis)</t>
  </si>
  <si>
    <t>Acidi eicosenoico (C20:1ω-9)</t>
  </si>
  <si>
    <t>Acido erucico (C22:1ω-9)</t>
  </si>
  <si>
    <t>Acidi grassi polinsaturi totali</t>
  </si>
  <si>
    <t>Acido linoleico (C18:2ω-6)</t>
  </si>
  <si>
    <t>Acido linolenico (C18:3ω-3)</t>
  </si>
  <si>
    <t>Acido arachidonico (C20:4ω-6)</t>
  </si>
  <si>
    <t>Acido eicosapentaenoico (EPA) (C20:5ω-3)</t>
  </si>
  <si>
    <t>Acido docosaesaenoico (DHA) (C22:6ω-3)</t>
  </si>
  <si>
    <t>Altri acidi grassi polinsaturi</t>
  </si>
  <si>
    <t>Triptofano</t>
  </si>
  <si>
    <t>Treonina</t>
  </si>
  <si>
    <t>Isoleucina</t>
  </si>
  <si>
    <t>Leucina</t>
  </si>
  <si>
    <t>Lisina</t>
  </si>
  <si>
    <t>Metionina</t>
  </si>
  <si>
    <t>Cistina</t>
  </si>
  <si>
    <t>Fenilalanina</t>
  </si>
  <si>
    <t>Tirosina</t>
  </si>
  <si>
    <t>Valina</t>
  </si>
  <si>
    <t>Arginina</t>
  </si>
  <si>
    <t>Istidina</t>
  </si>
  <si>
    <t>Alanina</t>
  </si>
  <si>
    <t>Acido aspartico</t>
  </si>
  <si>
    <t>Acido glutammico</t>
  </si>
  <si>
    <t>Glicina</t>
  </si>
  <si>
    <t>Prolina</t>
  </si>
  <si>
    <t>Serina</t>
  </si>
  <si>
    <t>Glucosio</t>
  </si>
  <si>
    <t>Fruttosio</t>
  </si>
  <si>
    <t>Galattosio</t>
  </si>
  <si>
    <t>Saccarosio (MSE)</t>
  </si>
  <si>
    <t>Maltosio (MSE)</t>
  </si>
  <si>
    <t>Lattosio (MSE)</t>
  </si>
  <si>
    <t>Energy, Rec with fibre (kcal)</t>
  </si>
  <si>
    <t>Energy, Rec with fibre (kJ)</t>
  </si>
  <si>
    <t>Total protein</t>
  </si>
  <si>
    <t>Animal protein</t>
  </si>
  <si>
    <t>Vegetable protein</t>
  </si>
  <si>
    <t>Total fat</t>
  </si>
  <si>
    <t>Animal fat</t>
  </si>
  <si>
    <t>Vegetable fat</t>
  </si>
  <si>
    <t>Cholesterol</t>
  </si>
  <si>
    <t>Available carbohydrates (MSE)</t>
  </si>
  <si>
    <t>Starch (MSE)</t>
  </si>
  <si>
    <t>Soluble carbohydrates (MSE)</t>
  </si>
  <si>
    <t>Dietary total fibre</t>
  </si>
  <si>
    <t>Alcohol</t>
  </si>
  <si>
    <t>Water</t>
  </si>
  <si>
    <t>Iron</t>
  </si>
  <si>
    <t>Calcium</t>
  </si>
  <si>
    <t>Sodium</t>
  </si>
  <si>
    <t>Potassium</t>
  </si>
  <si>
    <t>Phosphorus</t>
  </si>
  <si>
    <t>Zinc</t>
  </si>
  <si>
    <t>Magnesium</t>
  </si>
  <si>
    <t>Cupper</t>
  </si>
  <si>
    <t>Selenium</t>
  </si>
  <si>
    <t>Chloride</t>
  </si>
  <si>
    <t>Iodine</t>
  </si>
  <si>
    <t>Sulfur</t>
  </si>
  <si>
    <t>Vitamin B1, Thiamin</t>
  </si>
  <si>
    <t>Vitamin B2, Riboflavin</t>
  </si>
  <si>
    <t>Vitamin C</t>
  </si>
  <si>
    <t>Niacin</t>
  </si>
  <si>
    <t>Vitamin B6</t>
  </si>
  <si>
    <t>Total folate</t>
  </si>
  <si>
    <t>Pantothenic acid</t>
  </si>
  <si>
    <t>Biotin</t>
  </si>
  <si>
    <t>Vitamin B12</t>
  </si>
  <si>
    <t>Retinol equivalents (RE)</t>
  </si>
  <si>
    <t>Retinol</t>
  </si>
  <si>
    <t>ß-carotene equivalents</t>
  </si>
  <si>
    <t>Vitamin E (ATE)</t>
  </si>
  <si>
    <t>Vitamin D</t>
  </si>
  <si>
    <t>Vitamin K</t>
  </si>
  <si>
    <t>Saturated fatty acids</t>
  </si>
  <si>
    <t>Sum of butyric (C4:0), caproic (C6:0), caprylic (C8:0) and capric (C10:0) acids</t>
  </si>
  <si>
    <t>Lauric acid (C12:0)</t>
  </si>
  <si>
    <t>Myristic acid (C14:0)</t>
  </si>
  <si>
    <t>Palmitic acid (C16:0)</t>
  </si>
  <si>
    <t>Stearic acid (C18:0)</t>
  </si>
  <si>
    <t>Arachidic acid (C20:0)</t>
  </si>
  <si>
    <t>Behenic acid (C22:0)</t>
  </si>
  <si>
    <t>Monounsaturated fatty acids</t>
  </si>
  <si>
    <t>Myristoleic acid (C14:1)</t>
  </si>
  <si>
    <t>Palmitoleic acid (C16:1ω-7)</t>
  </si>
  <si>
    <t>Oleic acid (C18:1ω-9cis)</t>
  </si>
  <si>
    <t>Eicosenoic acid (C20:1ω-9)</t>
  </si>
  <si>
    <t>Erucic acid (C22:1ω-9)</t>
  </si>
  <si>
    <t>Polyunsaturated fatty acids</t>
  </si>
  <si>
    <t>Linoleic acid (C18:2ω-6)</t>
  </si>
  <si>
    <t>Linolenic acid (C18:3ω-3)</t>
  </si>
  <si>
    <t>Arachidonic acid (C20:4ω-6)</t>
  </si>
  <si>
    <t>Eicosapentaenoic acid (EPA) (C20:5ω-3)</t>
  </si>
  <si>
    <t>Docosahexaenoic acid (DHA) (C22:6ω-3)</t>
  </si>
  <si>
    <t>Other polyunsaturated fatty acids</t>
  </si>
  <si>
    <t>Tryptophan</t>
  </si>
  <si>
    <t>Threonine</t>
  </si>
  <si>
    <t>Isoleucine</t>
  </si>
  <si>
    <t>Leucine</t>
  </si>
  <si>
    <t>Lysine</t>
  </si>
  <si>
    <t>Methionine</t>
  </si>
  <si>
    <t>Cystine</t>
  </si>
  <si>
    <t>Phenilalanine</t>
  </si>
  <si>
    <t>Tyrosine</t>
  </si>
  <si>
    <t>Valine</t>
  </si>
  <si>
    <t>Arginine</t>
  </si>
  <si>
    <t>Histidine</t>
  </si>
  <si>
    <t>Alanine</t>
  </si>
  <si>
    <t>Aspartic acid</t>
  </si>
  <si>
    <t>Glutamic acid</t>
  </si>
  <si>
    <t>Glycine</t>
  </si>
  <si>
    <t>Proline</t>
  </si>
  <si>
    <t>Serine</t>
  </si>
  <si>
    <t>Glucose</t>
  </si>
  <si>
    <t>Fructose</t>
  </si>
  <si>
    <t>Galactose</t>
  </si>
  <si>
    <t>Sucrose (MSE)</t>
  </si>
  <si>
    <t>Maltose (MSE)</t>
  </si>
  <si>
    <t>Lactose (MSE)</t>
  </si>
  <si>
    <t>kcal</t>
  </si>
  <si>
    <t>kJ</t>
  </si>
  <si>
    <t>g</t>
  </si>
  <si>
    <t>mg</t>
  </si>
  <si>
    <t>µg</t>
  </si>
  <si>
    <t>PEPPERS, CHILI, RED</t>
  </si>
  <si>
    <t>POTATOES</t>
  </si>
  <si>
    <t>VEGETABLE OIL, OLIVE, EXTRAVIRGIN</t>
  </si>
  <si>
    <t>grammi</t>
  </si>
  <si>
    <t>Cheese pizza</t>
  </si>
  <si>
    <t>Pepperoni pizza</t>
  </si>
  <si>
    <t>PIZZA with mozzarella and tomatoes</t>
  </si>
  <si>
    <t>GORGONZOLA CHEESE</t>
  </si>
  <si>
    <t>MOZZARELLA CHEESE, COW</t>
  </si>
  <si>
    <t>SCAMORZA CHEESE</t>
  </si>
  <si>
    <t>TALEGGIO CHEESE</t>
  </si>
  <si>
    <t>SALAMI, pork and beef meat</t>
  </si>
  <si>
    <t>Scrambled eggs</t>
  </si>
  <si>
    <t>EGGS, CHICKEN, WHOLE</t>
  </si>
  <si>
    <t>RICE, WHITE, POLISHED, raw</t>
  </si>
  <si>
    <t>Fried rice</t>
  </si>
  <si>
    <t>Greek salad</t>
  </si>
  <si>
    <t>TOMATOES</t>
  </si>
  <si>
    <t>CUCUMBER</t>
  </si>
  <si>
    <t>FETA CHEESE</t>
  </si>
  <si>
    <t>OLIVES, black type</t>
  </si>
  <si>
    <t>Pesto</t>
  </si>
  <si>
    <t>PECORINO CHEESE, for grating</t>
  </si>
  <si>
    <t>PINE NUTS</t>
  </si>
  <si>
    <t>GARLIC, fresh</t>
  </si>
  <si>
    <t>BASIL, fresh</t>
  </si>
  <si>
    <t>Brownies</t>
  </si>
  <si>
    <t>FLOUR, WHEAT, TYPE 00 (fine ground)</t>
  </si>
  <si>
    <t>SUGAR, CANE, BROWN</t>
  </si>
  <si>
    <t>BUTTER</t>
  </si>
  <si>
    <t>CHOCOLATE, DARK (cocoa 70%)</t>
  </si>
  <si>
    <t>COCOA, unsweetened, powder</t>
  </si>
  <si>
    <t>VANILLA EXTRACT, with alcohol</t>
  </si>
  <si>
    <t>YEAST, powder</t>
  </si>
  <si>
    <t>Caesar salad</t>
  </si>
  <si>
    <t>Tortillas</t>
  </si>
  <si>
    <t>FLOUR, CORN</t>
  </si>
  <si>
    <t>VEGETABLE OIL, unspecified</t>
  </si>
  <si>
    <t>WATER</t>
  </si>
  <si>
    <t>Chilaquiles</t>
  </si>
  <si>
    <t>Chili</t>
  </si>
  <si>
    <t>Frozen yogurt</t>
  </si>
  <si>
    <t>Hash browns</t>
  </si>
  <si>
    <t>STARCH, POTATO</t>
  </si>
  <si>
    <t>ONIONS</t>
  </si>
  <si>
    <t>VEGETABLE OIL, MIXED SEEDS</t>
  </si>
  <si>
    <t>Oatmeal</t>
  </si>
  <si>
    <t>FLAKES, OAT</t>
  </si>
  <si>
    <t>MILK, COW, SEMI-SKIMMED, PASTEURIZED</t>
  </si>
  <si>
    <t>HONEY</t>
  </si>
  <si>
    <t>Sour cream</t>
  </si>
  <si>
    <t>CREAM (20% fat)</t>
  </si>
  <si>
    <t>YOGHURT, WHOLE MILK</t>
  </si>
  <si>
    <t>BLACKBERRIES</t>
  </si>
  <si>
    <t>STRAWBERRIES</t>
  </si>
  <si>
    <t>RASPBERRIES</t>
  </si>
  <si>
    <t>MULBERRIES</t>
  </si>
  <si>
    <t>BLUEBERRIES or BILBERRIES</t>
  </si>
  <si>
    <t>MUSHROOMS, "OVULI" TYPE</t>
  </si>
  <si>
    <t>MUSHROOMS, "PORCINO" TYPE</t>
  </si>
  <si>
    <t>MUSHROOMS, COMMON</t>
  </si>
  <si>
    <t>MUSHROOMS, "PORCINELLI" TYPE</t>
  </si>
  <si>
    <t>MUSHROOMS, HONEY</t>
  </si>
  <si>
    <t>MUSHROOMS, MOREL</t>
  </si>
  <si>
    <t>MUSHROOMS, CHANTERELLE</t>
  </si>
  <si>
    <t>ASIAGO CHEESE</t>
  </si>
  <si>
    <t>BRA CHEESE</t>
  </si>
  <si>
    <t>CRESCENZA CHEESE</t>
  </si>
  <si>
    <t>EDAM CHEESE, aged</t>
  </si>
  <si>
    <t>COTTAGE CHEESE</t>
  </si>
  <si>
    <t>GOUDA CHEESE, fresh</t>
  </si>
  <si>
    <t>GOUDA CHEESE, aged</t>
  </si>
  <si>
    <t>MONTASIO CHEESE</t>
  </si>
  <si>
    <t>PECORINO ROMANO CHEESE</t>
  </si>
  <si>
    <t>PROVOLONCINO CHEESE, sweet</t>
  </si>
  <si>
    <t>PROVOLONE CHEESE, hot</t>
  </si>
  <si>
    <t>RICOTTA CHEESE, german type, whole</t>
  </si>
  <si>
    <t>RICOTTA CHEESE, german type, light</t>
  </si>
  <si>
    <t>ROBIOLA CHEESE</t>
  </si>
  <si>
    <t>PROVOLA CHEESE, smoked</t>
  </si>
  <si>
    <t>RICOTTA CHEESE, made from cow milk</t>
  </si>
  <si>
    <t>MOZZARELLA CHEESE, BUFFALO</t>
  </si>
  <si>
    <t>SOFT CHEESE (Bel Paese type)</t>
  </si>
  <si>
    <t>BURRINI CHEESE</t>
  </si>
  <si>
    <t>CACIOCAVALLO CHEESE</t>
  </si>
  <si>
    <t>CACIOTTA ROMANA CHEESE, made with sheep milk</t>
  </si>
  <si>
    <t>CACIOTTA TOSCANA CHEESE</t>
  </si>
  <si>
    <t>CACIOTTINA CHEESE, fresh</t>
  </si>
  <si>
    <t>CHEDDAR CHEESE</t>
  </si>
  <si>
    <t>DOLCE VERDE CHEESE</t>
  </si>
  <si>
    <t>EMMENTAL CHEESE</t>
  </si>
  <si>
    <t>FIOR DI LATTE CHEESE</t>
  </si>
  <si>
    <t>FONTINA CHEESE</t>
  </si>
  <si>
    <t>PROCESSED CHEESE</t>
  </si>
  <si>
    <t>PROCESSED CHEESE, LOW FAT</t>
  </si>
  <si>
    <t>GRANA CHEESE</t>
  </si>
  <si>
    <t>GROVIERA CHEESE</t>
  </si>
  <si>
    <t>LATTERIA CHEESE</t>
  </si>
  <si>
    <t>MASCARPONE CHEESE</t>
  </si>
  <si>
    <t>PASTORELLA CHEESE</t>
  </si>
  <si>
    <t>PECORINO CHEESE</t>
  </si>
  <si>
    <t>PROVOLONE CHEESE</t>
  </si>
  <si>
    <t>RICOTTA CHEESE, made from sheep milk</t>
  </si>
  <si>
    <t>STRACCHINO CHEESE</t>
  </si>
  <si>
    <t>PARMIGIANO CHEESE</t>
  </si>
  <si>
    <t>PROCESSED CHEESE, PLAIN, SLICES</t>
  </si>
  <si>
    <t>FULL FAT SOFT CHEESE (Philadelphia type)</t>
  </si>
  <si>
    <t>PECORINO CHEESE, fresh</t>
  </si>
  <si>
    <t>ROCHEFORT CHEESE</t>
  </si>
  <si>
    <t>EDAM CHEESE, fresh</t>
  </si>
  <si>
    <t>CACIOCAVALLO CHEESE, smoked</t>
  </si>
  <si>
    <t>CACIOTTA  CHEESE, smoked</t>
  </si>
  <si>
    <t>SCAMORZA CHEESE, smoked</t>
  </si>
  <si>
    <t>CAMEMBERT CHEESE</t>
  </si>
  <si>
    <t>BRIE CHEESE</t>
  </si>
  <si>
    <t>SOFT CHEESE, LIGHT</t>
  </si>
  <si>
    <t>BUTIRRO CALABRO CHEESE</t>
  </si>
  <si>
    <t>CACIORICOTTA CHEESE</t>
  </si>
  <si>
    <t>CACIOTTINA CHEESE, made with sheep and cow milk</t>
  </si>
  <si>
    <t>ITALICO CHEESE</t>
  </si>
  <si>
    <t>PECORINO SICILIANO CHEESE</t>
  </si>
  <si>
    <t>RICOTTA CHEESE, made from buffalo milk</t>
  </si>
  <si>
    <t>CACIOTTA CHEESE, made with sheep and cow milk</t>
  </si>
  <si>
    <t>CACIOTTINA CHEESE, made with cow milk</t>
  </si>
  <si>
    <t>GORGONZOLA AND MASCARPONE, mixed CHEESE</t>
  </si>
  <si>
    <t>GORGONZOLA CHEESE WITH NUTS</t>
  </si>
  <si>
    <t>BURRATA CHEESE</t>
  </si>
  <si>
    <t>RICOTTA CHEESE, made from cow and sheep milk</t>
  </si>
  <si>
    <t>cheese/goat cheese</t>
  </si>
  <si>
    <t>Sandwich</t>
  </si>
  <si>
    <t>BREAD, WHITE, SANDWICH type, packaged</t>
  </si>
  <si>
    <t>HAM</t>
  </si>
  <si>
    <t>PEANUTS, raw</t>
  </si>
  <si>
    <t>PEANUTS, roasted</t>
  </si>
  <si>
    <t>WALNUTS, fresh</t>
  </si>
  <si>
    <t>WALNUTS, dried</t>
  </si>
  <si>
    <t>HAZELNUTS, dried</t>
  </si>
  <si>
    <t>PISTACHIO NUTS, fresh</t>
  </si>
  <si>
    <t>PISTACHIO NUTS, dried</t>
  </si>
  <si>
    <t>PISTACHIO NUTS, roasted and salted</t>
  </si>
  <si>
    <t>PEANUTS, roasted and salted</t>
  </si>
  <si>
    <t>PECAN NUTS</t>
  </si>
  <si>
    <t>CASHEW NUTS</t>
  </si>
  <si>
    <t>PISTACHIO NUTS, "Pistacchio di Bronte PDO"</t>
  </si>
  <si>
    <t>Tuna salad</t>
  </si>
  <si>
    <t>TUNA, canned in oil, drained</t>
  </si>
  <si>
    <t>CARROTS</t>
  </si>
  <si>
    <t>CELERY</t>
  </si>
  <si>
    <t>Pasta salad</t>
  </si>
  <si>
    <t>SALAD, unspecified</t>
  </si>
  <si>
    <t>PASTA, WHITE, dried, raw</t>
  </si>
  <si>
    <t>Ground turkey</t>
  </si>
  <si>
    <t>TURKEY HEN, WHOLE, without skin</t>
  </si>
  <si>
    <t>Lasagna</t>
  </si>
  <si>
    <t>PASTA, MADE WITH EGGS, dried, raw</t>
  </si>
  <si>
    <t>BEEF, 15-18 MONTHS, FAT AND LEAN MEAT, with visible fat</t>
  </si>
  <si>
    <t>TOMATOES, canned, whole contents</t>
  </si>
  <si>
    <t>Sucrose</t>
  </si>
  <si>
    <t>Lactose</t>
  </si>
  <si>
    <t>Maltose</t>
  </si>
  <si>
    <t>Starch</t>
  </si>
  <si>
    <t>Calcium, Ca</t>
  </si>
  <si>
    <t>Selenium, Se</t>
  </si>
  <si>
    <t>Vitamin C, total ascorbic acid</t>
  </si>
  <si>
    <t>Thiamin</t>
  </si>
  <si>
    <t>Riboflavin</t>
  </si>
  <si>
    <t>Vitamin B-6</t>
  </si>
  <si>
    <t>Folate, total</t>
  </si>
  <si>
    <t>Vitamin B-12</t>
  </si>
  <si>
    <t>Vitamin D (D2 + D3)</t>
  </si>
  <si>
    <t>Vitamin K (phylloquinone)</t>
  </si>
  <si>
    <t>Fatty acids, total saturated</t>
  </si>
  <si>
    <t>SFA 12:0</t>
  </si>
  <si>
    <t>SFA 14:0</t>
  </si>
  <si>
    <t>SFA 16:0</t>
  </si>
  <si>
    <t>SFA 18:0</t>
  </si>
  <si>
    <t>SFA 20:0</t>
  </si>
  <si>
    <t>SFA 22:0</t>
  </si>
  <si>
    <t>Fatty acids, total monounsaturated</t>
  </si>
  <si>
    <t>MUFA 14:1</t>
  </si>
  <si>
    <t>MUFA 16:1</t>
  </si>
  <si>
    <t>MUFA 18:1</t>
  </si>
  <si>
    <t>MUFA 20:1</t>
  </si>
  <si>
    <t>MUFA 22:1</t>
  </si>
  <si>
    <t>Fatty acids, total polyunsaturated</t>
  </si>
  <si>
    <t>PUFA 18:2 n-6 c,c</t>
  </si>
  <si>
    <t>PUFA 18:3 n-3 c,c,c (ALA)</t>
  </si>
  <si>
    <t>PUFA 20:4</t>
  </si>
  <si>
    <t>PUFA 20:5 n-3 (EPA)</t>
  </si>
  <si>
    <t>PUFA 22:6 n-3 (DHA)</t>
  </si>
  <si>
    <t>Phenylalanine</t>
  </si>
  <si>
    <t>Alcohol, ethyl</t>
  </si>
  <si>
    <t>Spices, curry powder</t>
  </si>
  <si>
    <t>Seeds, pumpkin and squash seed kernels, dried</t>
  </si>
  <si>
    <t>Seeds, sunflower seed kernels, dried</t>
  </si>
  <si>
    <t>Seeds, chia seeds, dried</t>
  </si>
  <si>
    <t>Coriander (cilantro) leaves, raw</t>
  </si>
  <si>
    <t>Ginger root, raw</t>
  </si>
  <si>
    <t>Sauce, barbecue</t>
  </si>
  <si>
    <t>Sauce, worcestershire</t>
  </si>
  <si>
    <t>Sauce, teriyaki, ready-to-serve</t>
  </si>
  <si>
    <t>Catsup</t>
  </si>
  <si>
    <t>Mashed potatoes</t>
  </si>
  <si>
    <t>MILK, COW, WHOLE, PASTEURIZED</t>
  </si>
  <si>
    <t>Omelette</t>
  </si>
  <si>
    <t>Hummus</t>
  </si>
  <si>
    <t>tahina (sesamo)</t>
  </si>
  <si>
    <t>CHICK PEAS, canned</t>
  </si>
  <si>
    <t>JUICE, LEMON, fresh</t>
  </si>
  <si>
    <t>Seeds, sesame butter, tahini, from roasted and toasted kernels (most common type)</t>
  </si>
  <si>
    <t>Edamame, frozen, unprepared</t>
  </si>
  <si>
    <t>Energy</t>
  </si>
  <si>
    <t>Protein</t>
  </si>
  <si>
    <t>Total lipid (fat)</t>
  </si>
  <si>
    <t>Carbohydrate, by difference</t>
  </si>
  <si>
    <t>Sugars, total including NLEA</t>
  </si>
  <si>
    <t>Fiber, total dietary</t>
  </si>
  <si>
    <t>Iron, Fe</t>
  </si>
  <si>
    <t>Sodium, Na</t>
  </si>
  <si>
    <t>Potassium, K</t>
  </si>
  <si>
    <t>Phosphorus, P</t>
  </si>
  <si>
    <t>Zinc, Zn</t>
  </si>
  <si>
    <t>Magnesium, Mg</t>
  </si>
  <si>
    <t>Copper, Cu</t>
  </si>
  <si>
    <t>Manganese, Mn</t>
  </si>
  <si>
    <t>ATE</t>
  </si>
  <si>
    <t>Sum</t>
  </si>
  <si>
    <t>Mustard</t>
  </si>
  <si>
    <t>EGGS, CHICKEN, YOLK</t>
  </si>
  <si>
    <t>Chicken salad</t>
  </si>
  <si>
    <t>LETTUCE</t>
  </si>
  <si>
    <t>CROUTONS</t>
  </si>
  <si>
    <t>LEMON, PEEL</t>
  </si>
  <si>
    <t>CHICKEN BREAST, without skin, cooked, pan fried</t>
  </si>
  <si>
    <t>Caesar dressing</t>
  </si>
  <si>
    <t>Vinaigrette</t>
  </si>
  <si>
    <t>VINEGAR</t>
  </si>
  <si>
    <t>SUGAR, WHITE</t>
  </si>
  <si>
    <t>CHOCOLATE, MILK</t>
  </si>
  <si>
    <t>Waffles</t>
  </si>
  <si>
    <t>PEPPERS, SWEET type</t>
  </si>
  <si>
    <t>CUMIN, SEEDS</t>
  </si>
  <si>
    <t>BEANS, canned</t>
  </si>
  <si>
    <t>TOMATO PUREE' (dry matter 18%)</t>
  </si>
  <si>
    <t>PEPPER, BLACK</t>
  </si>
  <si>
    <t>AVOCADO</t>
  </si>
  <si>
    <t>Dumplings</t>
  </si>
  <si>
    <t>SAUSAGES, PORK MEAT, raw</t>
  </si>
  <si>
    <t>SWISS CHARD (bok choy)</t>
  </si>
  <si>
    <t>VEGETABLE OIL, SESAME</t>
  </si>
  <si>
    <t>TAMARI, SOYA SAUCE</t>
  </si>
  <si>
    <t>Crepes</t>
  </si>
  <si>
    <t>Coleslaw</t>
  </si>
  <si>
    <t>CABBAGE, JANUARY KING</t>
  </si>
  <si>
    <t>CHIVES, fresh</t>
  </si>
  <si>
    <t>MAYONNAISE</t>
  </si>
  <si>
    <t>FENNEL, SEEDS</t>
  </si>
  <si>
    <t>CUMIN SEEDS</t>
  </si>
  <si>
    <t>LINSEED</t>
  </si>
  <si>
    <t>seeds</t>
  </si>
  <si>
    <t>pinto beans</t>
  </si>
  <si>
    <t>Curries</t>
  </si>
  <si>
    <t>CHICKEN, LEG-LOWER PART, without skin</t>
  </si>
  <si>
    <t>CINNAMON</t>
  </si>
  <si>
    <t>Kimchi</t>
  </si>
  <si>
    <t>DAIKON</t>
  </si>
  <si>
    <t>FLOUR, RICE</t>
  </si>
  <si>
    <t>Succotash</t>
  </si>
  <si>
    <t>SWEETCORN, CANNED, drained</t>
  </si>
  <si>
    <t>VOCI N5K ASSENTI IN BDA</t>
  </si>
  <si>
    <t>VOCI BDA Più SIMILI</t>
  </si>
  <si>
    <t>RICE, VENERE, cooked</t>
  </si>
  <si>
    <t>PUMPKIN or SQUASH</t>
  </si>
  <si>
    <t>BACON (pork meat, salted, smoked)</t>
  </si>
  <si>
    <t>SWISS CHARD</t>
  </si>
  <si>
    <t>PASTA, WHITE, dried, cooked</t>
  </si>
  <si>
    <t>BREAD, prepared with milk</t>
  </si>
  <si>
    <t>MILK, COW, SKIMMED, PASTEURIZED</t>
  </si>
  <si>
    <t>SHALLOTS</t>
  </si>
  <si>
    <t>PRICKLY PEAR</t>
  </si>
  <si>
    <t>RAISINS</t>
  </si>
  <si>
    <t>RICE SALAD (prepared from recipe), da img è riso con verdure</t>
  </si>
  <si>
    <t>RICE, BROWN, WHOLEGRAIN, cooked</t>
  </si>
  <si>
    <t>tacos</t>
  </si>
  <si>
    <t>PIADINA (italian flatbread)</t>
  </si>
  <si>
    <t>PARSLEY, dried</t>
  </si>
  <si>
    <t>HERBS (SEEDS)</t>
  </si>
  <si>
    <t>PEAS, canned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</si>
</sst>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1" x14ac:knownFonts="1">
    <font>
      <sz val="11"/>
      <color theme="1"/>
      <name val="Calibri"/>
      <family val="2"/>
      <scheme val="minor"/>
    </font>
    <font>
      <b/>
      <sz val="10"/>
      <color indexed="8"/>
      <name val="Tahoma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9"/>
      <color rgb="FF212121"/>
      <name val="Helvetica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6" tint="-0.499984740745262"/>
      <name val="Calibri"/>
      <family val="2"/>
    </font>
    <font>
      <b/>
      <sz val="11"/>
      <color theme="3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name val="Calibri"/>
      <family val="2"/>
    </font>
    <font>
      <sz val="11"/>
      <color theme="9" tint="-0.499984740745262"/>
      <name val="Calibri"/>
      <family val="2"/>
    </font>
    <font>
      <sz val="1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theme="7" tint="-0.499984740745262"/>
      <name val="Calibri"/>
      <family val="2"/>
    </font>
    <font>
      <sz val="11"/>
      <color theme="1"/>
      <name val="Calibri"/>
      <family val="2"/>
    </font>
    <font>
      <sz val="11"/>
      <color theme="5" tint="-0.499984740745262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rgb="FF000000"/>
      <name val="Calibri"/>
      <family val="2"/>
    </font>
    <font>
      <sz val="11"/>
      <color theme="5" tint="-0.249977111117893"/>
      <name val="Calibri"/>
      <family val="2"/>
    </font>
    <font>
      <sz val="11"/>
      <color theme="5" tint="-0.499984740745262"/>
      <name val="Calibri"/>
      <family val="2"/>
      <scheme val="minor"/>
    </font>
    <font>
      <sz val="11"/>
      <color theme="7" tint="-0.249977111117893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AF8CA"/>
        <bgColor indexed="64"/>
      </patternFill>
    </fill>
    <fill>
      <patternFill patternType="solid">
        <fgColor rgb="FFE8D1FF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right" vertical="center"/>
    </xf>
    <xf numFmtId="1" fontId="2" fillId="0" borderId="2" xfId="0" applyNumberFormat="1" applyFont="1" applyFill="1" applyBorder="1" applyAlignment="1">
      <alignment horizontal="right" vertical="center"/>
    </xf>
    <xf numFmtId="0" fontId="0" fillId="0" borderId="0" xfId="0" applyFill="1"/>
    <xf numFmtId="0" fontId="2" fillId="0" borderId="2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/>
    <xf numFmtId="0" fontId="5" fillId="0" borderId="2" xfId="0" applyFont="1" applyFill="1" applyBorder="1" applyAlignment="1">
      <alignment vertical="center"/>
    </xf>
    <xf numFmtId="0" fontId="1" fillId="4" borderId="3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6" fillId="9" borderId="0" xfId="0" applyFont="1" applyFill="1" applyBorder="1" applyAlignment="1">
      <alignment vertical="top"/>
    </xf>
    <xf numFmtId="0" fontId="0" fillId="5" borderId="0" xfId="0" applyFill="1" applyBorder="1"/>
    <xf numFmtId="0" fontId="1" fillId="6" borderId="0" xfId="0" applyFont="1" applyFill="1" applyBorder="1"/>
    <xf numFmtId="0" fontId="7" fillId="6" borderId="0" xfId="0" applyFont="1" applyFill="1" applyBorder="1" applyAlignment="1">
      <alignment horizontal="center"/>
    </xf>
    <xf numFmtId="0" fontId="6" fillId="7" borderId="0" xfId="0" applyFont="1" applyFill="1" applyBorder="1" applyAlignment="1">
      <alignment vertical="top"/>
    </xf>
    <xf numFmtId="0" fontId="6" fillId="8" borderId="0" xfId="0" applyFont="1" applyFill="1" applyBorder="1" applyAlignment="1">
      <alignment vertical="top"/>
    </xf>
    <xf numFmtId="0" fontId="7" fillId="6" borderId="0" xfId="0" applyFont="1" applyFill="1" applyBorder="1"/>
    <xf numFmtId="0" fontId="0" fillId="6" borderId="0" xfId="0" applyFill="1" applyBorder="1"/>
    <xf numFmtId="0" fontId="6" fillId="9" borderId="0" xfId="0" applyFont="1" applyFill="1" applyBorder="1" applyAlignment="1">
      <alignment vertical="top" wrapText="1"/>
    </xf>
    <xf numFmtId="0" fontId="6" fillId="6" borderId="0" xfId="0" applyFont="1" applyFill="1" applyBorder="1" applyAlignment="1">
      <alignment vertical="top" wrapText="1"/>
    </xf>
    <xf numFmtId="0" fontId="6" fillId="7" borderId="0" xfId="0" applyFont="1" applyFill="1" applyBorder="1" applyAlignment="1">
      <alignment vertical="top" wrapText="1"/>
    </xf>
    <xf numFmtId="0" fontId="6" fillId="8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right" vertical="center"/>
    </xf>
    <xf numFmtId="1" fontId="2" fillId="0" borderId="0" xfId="0" applyNumberFormat="1" applyFont="1" applyFill="1" applyBorder="1" applyAlignment="1">
      <alignment horizontal="right" vertical="center"/>
    </xf>
    <xf numFmtId="0" fontId="8" fillId="0" borderId="2" xfId="0" applyFont="1" applyFill="1" applyBorder="1" applyAlignment="1">
      <alignment vertical="center"/>
    </xf>
    <xf numFmtId="0" fontId="7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6" fillId="0" borderId="0" xfId="0" applyFont="1"/>
    <xf numFmtId="0" fontId="17" fillId="13" borderId="2" xfId="0" applyFont="1" applyFill="1" applyBorder="1" applyAlignment="1">
      <alignment horizontal="right" vertical="center"/>
    </xf>
    <xf numFmtId="0" fontId="18" fillId="12" borderId="2" xfId="0" applyFont="1" applyFill="1" applyBorder="1" applyAlignment="1">
      <alignment horizontal="right" vertical="center"/>
    </xf>
    <xf numFmtId="0" fontId="0" fillId="0" borderId="0" xfId="0" applyFont="1" applyFill="1" applyBorder="1"/>
    <xf numFmtId="0" fontId="19" fillId="11" borderId="2" xfId="0" applyFont="1" applyFill="1" applyBorder="1" applyAlignment="1">
      <alignment horizontal="right" vertical="center"/>
    </xf>
    <xf numFmtId="0" fontId="12" fillId="4" borderId="2" xfId="0" applyFont="1" applyFill="1" applyBorder="1" applyAlignment="1">
      <alignment horizontal="right" vertical="center"/>
    </xf>
    <xf numFmtId="0" fontId="20" fillId="10" borderId="2" xfId="0" applyFont="1" applyFill="1" applyBorder="1" applyAlignment="1">
      <alignment horizontal="right" vertical="center"/>
    </xf>
    <xf numFmtId="0" fontId="21" fillId="0" borderId="0" xfId="0" applyFont="1" applyFill="1" applyBorder="1" applyAlignment="1">
      <alignment horizontal="right" vertical="top" wrapText="1"/>
    </xf>
    <xf numFmtId="0" fontId="20" fillId="10" borderId="0" xfId="0" applyFont="1" applyFill="1" applyBorder="1" applyAlignment="1">
      <alignment horizontal="right" vertical="top" wrapText="1"/>
    </xf>
    <xf numFmtId="0" fontId="17" fillId="13" borderId="0" xfId="0" applyFont="1" applyFill="1" applyBorder="1" applyAlignment="1">
      <alignment horizontal="right" vertical="top" wrapText="1"/>
    </xf>
    <xf numFmtId="0" fontId="15" fillId="14" borderId="2" xfId="0" applyFont="1" applyFill="1" applyBorder="1" applyAlignment="1">
      <alignment horizontal="right" vertical="center"/>
    </xf>
    <xf numFmtId="0" fontId="9" fillId="15" borderId="2" xfId="0" applyFont="1" applyFill="1" applyBorder="1" applyAlignment="1">
      <alignment horizontal="right" vertical="center"/>
    </xf>
    <xf numFmtId="0" fontId="0" fillId="17" borderId="0" xfId="0" applyFill="1"/>
    <xf numFmtId="0" fontId="2" fillId="0" borderId="2" xfId="0" applyFont="1" applyBorder="1" applyAlignment="1">
      <alignment horizontal="right" vertical="center"/>
    </xf>
    <xf numFmtId="0" fontId="22" fillId="3" borderId="2" xfId="0" applyFont="1" applyFill="1" applyBorder="1" applyAlignment="1">
      <alignment horizontal="right" vertical="center"/>
    </xf>
    <xf numFmtId="1" fontId="2" fillId="0" borderId="2" xfId="0" applyNumberFormat="1" applyFont="1" applyBorder="1" applyAlignment="1">
      <alignment horizontal="right" vertical="center"/>
    </xf>
    <xf numFmtId="0" fontId="23" fillId="0" borderId="2" xfId="0" applyFont="1" applyBorder="1" applyAlignment="1">
      <alignment horizontal="right" vertical="center"/>
    </xf>
    <xf numFmtId="0" fontId="23" fillId="14" borderId="2" xfId="0" applyFont="1" applyFill="1" applyBorder="1" applyAlignment="1">
      <alignment horizontal="right" vertical="center"/>
    </xf>
    <xf numFmtId="0" fontId="23" fillId="3" borderId="2" xfId="0" applyFont="1" applyFill="1" applyBorder="1" applyAlignment="1">
      <alignment horizontal="right" vertical="center"/>
    </xf>
    <xf numFmtId="1" fontId="23" fillId="0" borderId="2" xfId="0" applyNumberFormat="1" applyFont="1" applyBorder="1" applyAlignment="1">
      <alignment horizontal="right" vertical="center"/>
    </xf>
    <xf numFmtId="0" fontId="0" fillId="3" borderId="2" xfId="0" applyFont="1" applyFill="1" applyBorder="1"/>
    <xf numFmtId="0" fontId="19" fillId="15" borderId="2" xfId="0" applyFont="1" applyFill="1" applyBorder="1"/>
    <xf numFmtId="0" fontId="24" fillId="16" borderId="2" xfId="0" applyFont="1" applyFill="1" applyBorder="1" applyAlignment="1">
      <alignment horizontal="right" vertical="center"/>
    </xf>
    <xf numFmtId="0" fontId="2" fillId="18" borderId="2" xfId="0" applyFont="1" applyFill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" fontId="22" fillId="3" borderId="2" xfId="0" applyNumberFormat="1" applyFont="1" applyFill="1" applyBorder="1" applyAlignment="1">
      <alignment horizontal="right" vertical="center"/>
    </xf>
    <xf numFmtId="0" fontId="0" fillId="15" borderId="2" xfId="0" applyFont="1" applyFill="1" applyBorder="1"/>
    <xf numFmtId="0" fontId="23" fillId="16" borderId="2" xfId="0" applyFont="1" applyFill="1" applyBorder="1" applyAlignment="1">
      <alignment horizontal="right" vertical="center"/>
    </xf>
    <xf numFmtId="0" fontId="19" fillId="15" borderId="0" xfId="0" applyFont="1" applyFill="1" applyBorder="1"/>
    <xf numFmtId="0" fontId="23" fillId="0" borderId="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/>
    </xf>
    <xf numFmtId="0" fontId="27" fillId="0" borderId="2" xfId="0" applyFont="1" applyFill="1" applyBorder="1" applyAlignment="1">
      <alignment vertical="center"/>
    </xf>
    <xf numFmtId="0" fontId="7" fillId="2" borderId="0" xfId="0" applyFont="1" applyFill="1"/>
    <xf numFmtId="1" fontId="15" fillId="14" borderId="2" xfId="0" applyNumberFormat="1" applyFont="1" applyFill="1" applyBorder="1" applyAlignment="1">
      <alignment horizontal="right" vertical="center"/>
    </xf>
    <xf numFmtId="1" fontId="2" fillId="19" borderId="2" xfId="0" applyNumberFormat="1" applyFont="1" applyFill="1" applyBorder="1" applyAlignment="1">
      <alignment horizontal="right" vertical="center"/>
    </xf>
    <xf numFmtId="0" fontId="2" fillId="19" borderId="2" xfId="0" applyFont="1" applyFill="1" applyBorder="1" applyAlignment="1">
      <alignment horizontal="right" vertical="center"/>
    </xf>
    <xf numFmtId="0" fontId="14" fillId="19" borderId="2" xfId="0" applyFont="1" applyFill="1" applyBorder="1" applyAlignment="1">
      <alignment horizontal="right" vertical="center"/>
    </xf>
    <xf numFmtId="0" fontId="27" fillId="2" borderId="0" xfId="0" applyFont="1" applyFill="1" applyBorder="1" applyAlignment="1">
      <alignment vertical="center"/>
    </xf>
    <xf numFmtId="164" fontId="15" fillId="14" borderId="2" xfId="0" applyNumberFormat="1" applyFont="1" applyFill="1" applyBorder="1" applyAlignment="1">
      <alignment horizontal="right" vertical="center"/>
    </xf>
    <xf numFmtId="0" fontId="7" fillId="12" borderId="0" xfId="0" applyFont="1" applyFill="1"/>
    <xf numFmtId="0" fontId="2" fillId="5" borderId="2" xfId="0" applyFont="1" applyFill="1" applyBorder="1" applyAlignment="1">
      <alignment horizontal="right" vertical="center"/>
    </xf>
    <xf numFmtId="0" fontId="28" fillId="16" borderId="2" xfId="0" applyFont="1" applyFill="1" applyBorder="1" applyAlignment="1">
      <alignment horizontal="right" vertical="center"/>
    </xf>
    <xf numFmtId="0" fontId="20" fillId="17" borderId="0" xfId="0" applyFont="1" applyFill="1"/>
    <xf numFmtId="0" fontId="2" fillId="20" borderId="2" xfId="0" applyFont="1" applyFill="1" applyBorder="1" applyAlignment="1">
      <alignment horizontal="right" vertical="center"/>
    </xf>
    <xf numFmtId="0" fontId="22" fillId="20" borderId="2" xfId="0" applyFont="1" applyFill="1" applyBorder="1" applyAlignment="1">
      <alignment horizontal="right" vertical="center"/>
    </xf>
    <xf numFmtId="0" fontId="19" fillId="15" borderId="0" xfId="0" applyFont="1" applyFill="1"/>
    <xf numFmtId="0" fontId="29" fillId="16" borderId="0" xfId="0" applyFont="1" applyFill="1"/>
    <xf numFmtId="1" fontId="2" fillId="5" borderId="2" xfId="0" applyNumberFormat="1" applyFont="1" applyFill="1" applyBorder="1" applyAlignment="1" applyProtection="1">
      <alignment horizontal="right" vertical="center"/>
    </xf>
    <xf numFmtId="0" fontId="30" fillId="3" borderId="2" xfId="0" applyFont="1" applyFill="1" applyBorder="1" applyAlignment="1">
      <alignment horizontal="right" vertical="center"/>
    </xf>
    <xf numFmtId="0" fontId="28" fillId="12" borderId="2" xfId="0" applyFont="1" applyFill="1" applyBorder="1" applyAlignment="1">
      <alignment horizontal="right" vertical="center"/>
    </xf>
    <xf numFmtId="0" fontId="7" fillId="0" borderId="0" xfId="0" applyFont="1" applyFill="1"/>
    <xf numFmtId="0" fontId="7" fillId="6" borderId="0" xfId="0" applyFont="1" applyFill="1"/>
  </cellXfs>
  <cellStyles count="1">
    <cellStyle name="Normale" xfId="0" builtinId="0"/>
  </cellStyles>
  <dxfs count="10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28"/>
  <sheetViews>
    <sheetView tabSelected="1" workbookViewId="0">
      <selection activeCell="G16" sqref="G16"/>
    </sheetView>
  </sheetViews>
  <sheetFormatPr defaultRowHeight="14.5" x14ac:dyDescent="0.35"/>
  <cols>
    <col min="1" max="1" width="22.453125" style="91" bestFit="1" customWidth="1"/>
    <col min="2" max="2" width="52.7265625" style="36" bestFit="1" customWidth="1"/>
    <col min="3" max="16384" width="8.7265625" style="36"/>
  </cols>
  <sheetData>
    <row r="1" spans="1:2" x14ac:dyDescent="0.35">
      <c r="A1" s="92" t="s">
        <v>478</v>
      </c>
      <c r="B1" s="92" t="s">
        <v>479</v>
      </c>
    </row>
    <row r="2" spans="1:2" x14ac:dyDescent="0.35">
      <c r="A2" s="91" t="s">
        <v>21</v>
      </c>
      <c r="B2" s="36" t="s">
        <v>485</v>
      </c>
    </row>
    <row r="3" spans="1:2" x14ac:dyDescent="0.35">
      <c r="A3" s="91" t="s">
        <v>9</v>
      </c>
      <c r="B3" s="36" t="s">
        <v>451</v>
      </c>
    </row>
    <row r="4" spans="1:2" x14ac:dyDescent="0.35">
      <c r="A4" s="91" t="s">
        <v>19</v>
      </c>
      <c r="B4" s="36" t="s">
        <v>216</v>
      </c>
    </row>
    <row r="5" spans="1:2" x14ac:dyDescent="0.35">
      <c r="A5" s="91" t="s">
        <v>0</v>
      </c>
      <c r="B5" s="36" t="s">
        <v>483</v>
      </c>
    </row>
    <row r="6" spans="1:2" x14ac:dyDescent="0.35">
      <c r="A6" s="91" t="s">
        <v>27</v>
      </c>
      <c r="B6" s="36" t="s">
        <v>486</v>
      </c>
    </row>
    <row r="7" spans="1:2" x14ac:dyDescent="0.35">
      <c r="A7" s="91" t="s">
        <v>10</v>
      </c>
      <c r="B7" s="36" t="s">
        <v>481</v>
      </c>
    </row>
    <row r="8" spans="1:2" x14ac:dyDescent="0.35">
      <c r="A8" s="91" t="s">
        <v>17</v>
      </c>
      <c r="B8" s="36" t="s">
        <v>491</v>
      </c>
    </row>
    <row r="9" spans="1:2" x14ac:dyDescent="0.35">
      <c r="A9" s="91" t="s">
        <v>16</v>
      </c>
      <c r="B9" s="36" t="s">
        <v>489</v>
      </c>
    </row>
    <row r="10" spans="1:2" x14ac:dyDescent="0.35">
      <c r="A10" s="91" t="s">
        <v>7</v>
      </c>
      <c r="B10" s="36" t="s">
        <v>487</v>
      </c>
    </row>
    <row r="11" spans="1:2" x14ac:dyDescent="0.35">
      <c r="A11" s="91" t="s">
        <v>20</v>
      </c>
      <c r="B11" s="36" t="s">
        <v>477</v>
      </c>
    </row>
    <row r="12" spans="1:2" x14ac:dyDescent="0.35">
      <c r="A12" s="91" t="s">
        <v>2</v>
      </c>
      <c r="B12" s="36" t="s">
        <v>209</v>
      </c>
    </row>
    <row r="13" spans="1:2" x14ac:dyDescent="0.35">
      <c r="A13" s="91" t="s">
        <v>14</v>
      </c>
      <c r="B13" s="36" t="s">
        <v>210</v>
      </c>
    </row>
    <row r="14" spans="1:2" x14ac:dyDescent="0.35">
      <c r="A14" s="91" t="s">
        <v>8</v>
      </c>
      <c r="B14" s="36" t="s">
        <v>462</v>
      </c>
    </row>
    <row r="15" spans="1:2" x14ac:dyDescent="0.35">
      <c r="A15" s="91" t="s">
        <v>23</v>
      </c>
      <c r="B15" s="36" t="s">
        <v>484</v>
      </c>
    </row>
    <row r="16" spans="1:2" x14ac:dyDescent="0.35">
      <c r="A16" s="91" t="s">
        <v>15</v>
      </c>
      <c r="B16" s="36" t="s">
        <v>488</v>
      </c>
    </row>
    <row r="17" spans="1:2" x14ac:dyDescent="0.35">
      <c r="A17" s="91" t="s">
        <v>18</v>
      </c>
      <c r="B17" s="36" t="s">
        <v>355</v>
      </c>
    </row>
    <row r="18" spans="1:2" x14ac:dyDescent="0.35">
      <c r="A18" s="91" t="s">
        <v>24</v>
      </c>
      <c r="B18" s="36" t="s">
        <v>220</v>
      </c>
    </row>
    <row r="19" spans="1:2" x14ac:dyDescent="0.35">
      <c r="A19" s="91" t="s">
        <v>28</v>
      </c>
      <c r="B19" s="36" t="s">
        <v>490</v>
      </c>
    </row>
    <row r="20" spans="1:2" x14ac:dyDescent="0.35">
      <c r="A20" s="91" t="s">
        <v>469</v>
      </c>
      <c r="B20" s="36" t="s">
        <v>451</v>
      </c>
    </row>
    <row r="21" spans="1:2" x14ac:dyDescent="0.35">
      <c r="A21" s="91" t="s">
        <v>6</v>
      </c>
      <c r="B21" s="36" t="s">
        <v>484</v>
      </c>
    </row>
    <row r="22" spans="1:2" x14ac:dyDescent="0.35">
      <c r="A22" s="91" t="s">
        <v>25</v>
      </c>
      <c r="B22" s="36" t="s">
        <v>496</v>
      </c>
    </row>
    <row r="23" spans="1:2" x14ac:dyDescent="0.35">
      <c r="A23" s="91" t="s">
        <v>492</v>
      </c>
      <c r="B23" s="36" t="s">
        <v>493</v>
      </c>
    </row>
    <row r="24" spans="1:2" x14ac:dyDescent="0.35">
      <c r="A24" s="91" t="s">
        <v>11</v>
      </c>
      <c r="B24" s="36" t="s">
        <v>483</v>
      </c>
    </row>
    <row r="25" spans="1:2" x14ac:dyDescent="0.35">
      <c r="A25" s="91" t="s">
        <v>22</v>
      </c>
      <c r="B25" s="36" t="s">
        <v>226</v>
      </c>
    </row>
    <row r="26" spans="1:2" x14ac:dyDescent="0.35">
      <c r="A26" s="91" t="s">
        <v>13</v>
      </c>
      <c r="B26" s="36" t="s">
        <v>482</v>
      </c>
    </row>
    <row r="27" spans="1:2" x14ac:dyDescent="0.35">
      <c r="A27" s="91" t="s">
        <v>26</v>
      </c>
      <c r="B27" s="36" t="s">
        <v>480</v>
      </c>
    </row>
    <row r="28" spans="1:2" x14ac:dyDescent="0.35">
      <c r="A28" s="91" t="s">
        <v>3</v>
      </c>
      <c r="B28" s="36" t="s">
        <v>210</v>
      </c>
    </row>
  </sheetData>
  <sortState ref="A2:B28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59999389629810485"/>
  </sheetPr>
  <dimension ref="A1:FW257"/>
  <sheetViews>
    <sheetView zoomScale="83" workbookViewId="0">
      <pane ySplit="1" topLeftCell="A238" activePane="bottomLeft" state="frozen"/>
      <selection activeCell="AG1" sqref="AG1"/>
      <selection pane="bottomLeft" activeCell="B213" sqref="B213"/>
    </sheetView>
  </sheetViews>
  <sheetFormatPr defaultRowHeight="14.5" x14ac:dyDescent="0.35"/>
  <cols>
    <col min="1" max="1" width="15.08984375" bestFit="1" customWidth="1"/>
    <col min="2" max="2" width="38.26953125" customWidth="1"/>
    <col min="3" max="3" width="9.6328125" customWidth="1"/>
    <col min="4" max="4" width="15.08984375" customWidth="1"/>
    <col min="5" max="91" width="8.7265625" customWidth="1"/>
  </cols>
  <sheetData>
    <row r="1" spans="1:179" x14ac:dyDescent="0.35"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  <c r="Z1" s="2" t="s">
        <v>51</v>
      </c>
      <c r="AA1" s="2" t="s">
        <v>52</v>
      </c>
      <c r="AB1" s="2" t="s">
        <v>53</v>
      </c>
      <c r="AC1" s="2" t="s">
        <v>54</v>
      </c>
      <c r="AD1" s="2" t="s">
        <v>55</v>
      </c>
      <c r="AE1" s="2" t="s">
        <v>56</v>
      </c>
      <c r="AF1" s="2" t="s">
        <v>57</v>
      </c>
      <c r="AG1" s="2" t="s">
        <v>58</v>
      </c>
      <c r="AH1" s="2" t="s">
        <v>59</v>
      </c>
      <c r="AI1" s="2" t="s">
        <v>60</v>
      </c>
      <c r="AJ1" s="2" t="s">
        <v>61</v>
      </c>
      <c r="AK1" s="2" t="s">
        <v>62</v>
      </c>
      <c r="AL1" s="2" t="s">
        <v>63</v>
      </c>
      <c r="AM1" s="2" t="s">
        <v>64</v>
      </c>
      <c r="AN1" s="2" t="s">
        <v>65</v>
      </c>
      <c r="AO1" s="2" t="s">
        <v>66</v>
      </c>
      <c r="AP1" s="2" t="s">
        <v>67</v>
      </c>
      <c r="AQ1" s="2" t="s">
        <v>68</v>
      </c>
      <c r="AR1" s="2" t="s">
        <v>69</v>
      </c>
      <c r="AS1" s="2" t="s">
        <v>70</v>
      </c>
      <c r="AT1" s="2" t="s">
        <v>71</v>
      </c>
      <c r="AU1" s="2" t="s">
        <v>72</v>
      </c>
      <c r="AV1" s="2" t="s">
        <v>73</v>
      </c>
      <c r="AW1" s="2" t="s">
        <v>74</v>
      </c>
      <c r="AX1" s="2" t="s">
        <v>75</v>
      </c>
      <c r="AY1" s="2" t="s">
        <v>76</v>
      </c>
      <c r="AZ1" s="2" t="s">
        <v>77</v>
      </c>
      <c r="BA1" s="2" t="s">
        <v>78</v>
      </c>
      <c r="BB1" s="2" t="s">
        <v>79</v>
      </c>
      <c r="BC1" s="2" t="s">
        <v>80</v>
      </c>
      <c r="BD1" s="2" t="s">
        <v>81</v>
      </c>
      <c r="BE1" s="2" t="s">
        <v>82</v>
      </c>
      <c r="BF1" s="2" t="s">
        <v>83</v>
      </c>
      <c r="BG1" s="2" t="s">
        <v>84</v>
      </c>
      <c r="BH1" s="2" t="s">
        <v>85</v>
      </c>
      <c r="BI1" s="2" t="s">
        <v>86</v>
      </c>
      <c r="BJ1" s="2" t="s">
        <v>87</v>
      </c>
      <c r="BK1" s="2" t="s">
        <v>88</v>
      </c>
      <c r="BL1" s="2" t="s">
        <v>89</v>
      </c>
      <c r="BM1" s="2" t="s">
        <v>90</v>
      </c>
      <c r="BN1" s="2" t="s">
        <v>91</v>
      </c>
      <c r="BO1" s="2" t="s">
        <v>92</v>
      </c>
      <c r="BP1" s="2" t="s">
        <v>93</v>
      </c>
      <c r="BQ1" s="2" t="s">
        <v>94</v>
      </c>
      <c r="BR1" s="2" t="s">
        <v>95</v>
      </c>
      <c r="BS1" s="2" t="s">
        <v>96</v>
      </c>
      <c r="BT1" s="2" t="s">
        <v>97</v>
      </c>
      <c r="BU1" s="2" t="s">
        <v>98</v>
      </c>
      <c r="BV1" s="2" t="s">
        <v>99</v>
      </c>
      <c r="BW1" s="2" t="s">
        <v>100</v>
      </c>
      <c r="BX1" s="2" t="s">
        <v>101</v>
      </c>
      <c r="BY1" s="2" t="s">
        <v>102</v>
      </c>
      <c r="BZ1" s="2" t="s">
        <v>103</v>
      </c>
      <c r="CA1" s="2" t="s">
        <v>104</v>
      </c>
      <c r="CB1" s="2" t="s">
        <v>105</v>
      </c>
      <c r="CC1" s="2" t="s">
        <v>106</v>
      </c>
      <c r="CD1" s="2" t="s">
        <v>107</v>
      </c>
      <c r="CE1" s="2" t="s">
        <v>108</v>
      </c>
      <c r="CF1" s="2" t="s">
        <v>109</v>
      </c>
      <c r="CG1" s="2" t="s">
        <v>110</v>
      </c>
      <c r="CH1" s="2" t="s">
        <v>111</v>
      </c>
      <c r="CI1" s="2" t="s">
        <v>112</v>
      </c>
      <c r="CJ1" s="2" t="s">
        <v>113</v>
      </c>
      <c r="CK1" s="2" t="s">
        <v>114</v>
      </c>
      <c r="CL1" s="2" t="s">
        <v>115</v>
      </c>
      <c r="CM1" s="2" t="s">
        <v>116</v>
      </c>
      <c r="CN1" s="3" t="s">
        <v>29</v>
      </c>
      <c r="CO1" s="3" t="s">
        <v>30</v>
      </c>
      <c r="CP1" s="3" t="s">
        <v>31</v>
      </c>
      <c r="CQ1" s="3" t="s">
        <v>32</v>
      </c>
      <c r="CR1" s="3" t="s">
        <v>33</v>
      </c>
      <c r="CS1" s="3" t="s">
        <v>34</v>
      </c>
      <c r="CT1" s="3" t="s">
        <v>35</v>
      </c>
      <c r="CU1" s="3" t="s">
        <v>36</v>
      </c>
      <c r="CV1" s="3" t="s">
        <v>37</v>
      </c>
      <c r="CW1" s="3" t="s">
        <v>38</v>
      </c>
      <c r="CX1" s="3" t="s">
        <v>39</v>
      </c>
      <c r="CY1" s="3" t="s">
        <v>40</v>
      </c>
      <c r="CZ1" s="3" t="s">
        <v>41</v>
      </c>
      <c r="DA1" s="3" t="s">
        <v>42</v>
      </c>
      <c r="DB1" s="3" t="s">
        <v>43</v>
      </c>
      <c r="DC1" s="3" t="s">
        <v>44</v>
      </c>
      <c r="DD1" s="3" t="s">
        <v>45</v>
      </c>
      <c r="DE1" s="3" t="s">
        <v>46</v>
      </c>
      <c r="DF1" s="3" t="s">
        <v>47</v>
      </c>
      <c r="DG1" s="3" t="s">
        <v>48</v>
      </c>
      <c r="DH1" s="3" t="s">
        <v>49</v>
      </c>
      <c r="DI1" s="3" t="s">
        <v>50</v>
      </c>
      <c r="DJ1" s="3" t="s">
        <v>51</v>
      </c>
      <c r="DK1" s="3" t="s">
        <v>52</v>
      </c>
      <c r="DL1" s="3" t="s">
        <v>53</v>
      </c>
      <c r="DM1" s="3" t="s">
        <v>54</v>
      </c>
      <c r="DN1" s="3" t="s">
        <v>55</v>
      </c>
      <c r="DO1" s="3" t="s">
        <v>56</v>
      </c>
      <c r="DP1" s="3" t="s">
        <v>57</v>
      </c>
      <c r="DQ1" s="3" t="s">
        <v>58</v>
      </c>
      <c r="DR1" s="3" t="s">
        <v>59</v>
      </c>
      <c r="DS1" s="3" t="s">
        <v>60</v>
      </c>
      <c r="DT1" s="3" t="s">
        <v>61</v>
      </c>
      <c r="DU1" s="3" t="s">
        <v>62</v>
      </c>
      <c r="DV1" s="3" t="s">
        <v>63</v>
      </c>
      <c r="DW1" s="3" t="s">
        <v>64</v>
      </c>
      <c r="DX1" s="3" t="s">
        <v>65</v>
      </c>
      <c r="DY1" s="3" t="s">
        <v>66</v>
      </c>
      <c r="DZ1" s="3" t="s">
        <v>67</v>
      </c>
      <c r="EA1" s="3" t="s">
        <v>68</v>
      </c>
      <c r="EB1" s="3" t="s">
        <v>69</v>
      </c>
      <c r="EC1" s="3" t="s">
        <v>70</v>
      </c>
      <c r="ED1" s="3" t="s">
        <v>71</v>
      </c>
      <c r="EE1" s="3" t="s">
        <v>72</v>
      </c>
      <c r="EF1" s="3" t="s">
        <v>73</v>
      </c>
      <c r="EG1" s="3" t="s">
        <v>74</v>
      </c>
      <c r="EH1" s="3" t="s">
        <v>75</v>
      </c>
      <c r="EI1" s="3" t="s">
        <v>76</v>
      </c>
      <c r="EJ1" s="3" t="s">
        <v>77</v>
      </c>
      <c r="EK1" s="3" t="s">
        <v>78</v>
      </c>
      <c r="EL1" s="3" t="s">
        <v>79</v>
      </c>
      <c r="EM1" s="3" t="s">
        <v>80</v>
      </c>
      <c r="EN1" s="3" t="s">
        <v>81</v>
      </c>
      <c r="EO1" s="3" t="s">
        <v>82</v>
      </c>
      <c r="EP1" s="3" t="s">
        <v>83</v>
      </c>
      <c r="EQ1" s="3" t="s">
        <v>84</v>
      </c>
      <c r="ER1" s="3" t="s">
        <v>85</v>
      </c>
      <c r="ES1" s="3" t="s">
        <v>86</v>
      </c>
      <c r="ET1" s="3" t="s">
        <v>87</v>
      </c>
      <c r="EU1" s="3" t="s">
        <v>88</v>
      </c>
      <c r="EV1" s="3" t="s">
        <v>89</v>
      </c>
      <c r="EW1" s="3" t="s">
        <v>90</v>
      </c>
      <c r="EX1" s="3" t="s">
        <v>91</v>
      </c>
      <c r="EY1" s="3" t="s">
        <v>92</v>
      </c>
      <c r="EZ1" s="3" t="s">
        <v>93</v>
      </c>
      <c r="FA1" s="3" t="s">
        <v>94</v>
      </c>
      <c r="FB1" s="3" t="s">
        <v>95</v>
      </c>
      <c r="FC1" s="3" t="s">
        <v>96</v>
      </c>
      <c r="FD1" s="3" t="s">
        <v>97</v>
      </c>
      <c r="FE1" s="3" t="s">
        <v>98</v>
      </c>
      <c r="FF1" s="3" t="s">
        <v>99</v>
      </c>
      <c r="FG1" s="3" t="s">
        <v>100</v>
      </c>
      <c r="FH1" s="3" t="s">
        <v>101</v>
      </c>
      <c r="FI1" s="3" t="s">
        <v>102</v>
      </c>
      <c r="FJ1" s="3" t="s">
        <v>103</v>
      </c>
      <c r="FK1" s="3" t="s">
        <v>104</v>
      </c>
      <c r="FL1" s="3" t="s">
        <v>105</v>
      </c>
      <c r="FM1" s="3" t="s">
        <v>106</v>
      </c>
      <c r="FN1" s="3" t="s">
        <v>107</v>
      </c>
      <c r="FO1" s="3" t="s">
        <v>108</v>
      </c>
      <c r="FP1" s="3" t="s">
        <v>109</v>
      </c>
      <c r="FQ1" s="3" t="s">
        <v>110</v>
      </c>
      <c r="FR1" s="3" t="s">
        <v>111</v>
      </c>
      <c r="FS1" s="3" t="s">
        <v>112</v>
      </c>
      <c r="FT1" s="3" t="s">
        <v>113</v>
      </c>
      <c r="FU1" s="3" t="s">
        <v>114</v>
      </c>
      <c r="FV1" s="3" t="s">
        <v>115</v>
      </c>
      <c r="FW1" s="3" t="s">
        <v>116</v>
      </c>
    </row>
    <row r="2" spans="1:179" x14ac:dyDescent="0.35">
      <c r="D2" s="2" t="s">
        <v>117</v>
      </c>
      <c r="E2" s="2" t="s">
        <v>118</v>
      </c>
      <c r="F2" s="2" t="s">
        <v>119</v>
      </c>
      <c r="G2" s="2" t="s">
        <v>120</v>
      </c>
      <c r="H2" s="2" t="s">
        <v>121</v>
      </c>
      <c r="I2" s="2" t="s">
        <v>122</v>
      </c>
      <c r="J2" s="2" t="s">
        <v>123</v>
      </c>
      <c r="K2" s="2" t="s">
        <v>124</v>
      </c>
      <c r="L2" s="2" t="s">
        <v>125</v>
      </c>
      <c r="M2" s="2" t="s">
        <v>126</v>
      </c>
      <c r="N2" s="2" t="s">
        <v>127</v>
      </c>
      <c r="O2" s="2" t="s">
        <v>128</v>
      </c>
      <c r="P2" s="2" t="s">
        <v>129</v>
      </c>
      <c r="Q2" s="2" t="s">
        <v>130</v>
      </c>
      <c r="R2" s="2" t="s">
        <v>131</v>
      </c>
      <c r="S2" s="2" t="s">
        <v>132</v>
      </c>
      <c r="T2" s="2" t="s">
        <v>133</v>
      </c>
      <c r="U2" s="2" t="s">
        <v>134</v>
      </c>
      <c r="V2" s="2" t="s">
        <v>135</v>
      </c>
      <c r="W2" s="2" t="s">
        <v>136</v>
      </c>
      <c r="X2" s="2" t="s">
        <v>137</v>
      </c>
      <c r="Y2" s="2" t="s">
        <v>138</v>
      </c>
      <c r="Z2" s="2" t="s">
        <v>139</v>
      </c>
      <c r="AA2" s="2" t="s">
        <v>140</v>
      </c>
      <c r="AB2" s="2" t="s">
        <v>141</v>
      </c>
      <c r="AC2" s="2" t="s">
        <v>142</v>
      </c>
      <c r="AD2" s="2" t="s">
        <v>55</v>
      </c>
      <c r="AE2" s="2" t="s">
        <v>143</v>
      </c>
      <c r="AF2" s="2" t="s">
        <v>144</v>
      </c>
      <c r="AG2" s="2" t="s">
        <v>145</v>
      </c>
      <c r="AH2" s="2" t="s">
        <v>146</v>
      </c>
      <c r="AI2" s="2" t="s">
        <v>147</v>
      </c>
      <c r="AJ2" s="2" t="s">
        <v>148</v>
      </c>
      <c r="AK2" s="2" t="s">
        <v>149</v>
      </c>
      <c r="AL2" s="2" t="s">
        <v>150</v>
      </c>
      <c r="AM2" s="2" t="s">
        <v>151</v>
      </c>
      <c r="AN2" s="2" t="s">
        <v>152</v>
      </c>
      <c r="AO2" s="2" t="s">
        <v>153</v>
      </c>
      <c r="AP2" s="2" t="s">
        <v>154</v>
      </c>
      <c r="AQ2" s="2" t="s">
        <v>155</v>
      </c>
      <c r="AR2" s="2" t="s">
        <v>156</v>
      </c>
      <c r="AS2" s="2" t="s">
        <v>157</v>
      </c>
      <c r="AT2" s="2" t="s">
        <v>158</v>
      </c>
      <c r="AU2" s="2" t="s">
        <v>159</v>
      </c>
      <c r="AV2" s="2" t="s">
        <v>160</v>
      </c>
      <c r="AW2" s="2" t="s">
        <v>161</v>
      </c>
      <c r="AX2" s="2" t="s">
        <v>162</v>
      </c>
      <c r="AY2" s="2" t="s">
        <v>163</v>
      </c>
      <c r="AZ2" s="2" t="s">
        <v>164</v>
      </c>
      <c r="BA2" s="2" t="s">
        <v>165</v>
      </c>
      <c r="BB2" s="2" t="s">
        <v>166</v>
      </c>
      <c r="BC2" s="2" t="s">
        <v>167</v>
      </c>
      <c r="BD2" s="2" t="s">
        <v>168</v>
      </c>
      <c r="BE2" s="2" t="s">
        <v>169</v>
      </c>
      <c r="BF2" s="2" t="s">
        <v>170</v>
      </c>
      <c r="BG2" s="2" t="s">
        <v>171</v>
      </c>
      <c r="BH2" s="2" t="s">
        <v>172</v>
      </c>
      <c r="BI2" s="2" t="s">
        <v>173</v>
      </c>
      <c r="BJ2" s="2" t="s">
        <v>174</v>
      </c>
      <c r="BK2" s="2" t="s">
        <v>175</v>
      </c>
      <c r="BL2" s="2" t="s">
        <v>176</v>
      </c>
      <c r="BM2" s="2" t="s">
        <v>177</v>
      </c>
      <c r="BN2" s="2" t="s">
        <v>178</v>
      </c>
      <c r="BO2" s="2" t="s">
        <v>179</v>
      </c>
      <c r="BP2" s="2" t="s">
        <v>180</v>
      </c>
      <c r="BQ2" s="2" t="s">
        <v>181</v>
      </c>
      <c r="BR2" s="2" t="s">
        <v>182</v>
      </c>
      <c r="BS2" s="2" t="s">
        <v>183</v>
      </c>
      <c r="BT2" s="2" t="s">
        <v>184</v>
      </c>
      <c r="BU2" s="2" t="s">
        <v>185</v>
      </c>
      <c r="BV2" s="2" t="s">
        <v>186</v>
      </c>
      <c r="BW2" s="2" t="s">
        <v>187</v>
      </c>
      <c r="BX2" s="2" t="s">
        <v>188</v>
      </c>
      <c r="BY2" s="2" t="s">
        <v>189</v>
      </c>
      <c r="BZ2" s="2" t="s">
        <v>190</v>
      </c>
      <c r="CA2" s="2" t="s">
        <v>191</v>
      </c>
      <c r="CB2" s="2" t="s">
        <v>192</v>
      </c>
      <c r="CC2" s="2" t="s">
        <v>193</v>
      </c>
      <c r="CD2" s="2" t="s">
        <v>194</v>
      </c>
      <c r="CE2" s="2" t="s">
        <v>195</v>
      </c>
      <c r="CF2" s="2" t="s">
        <v>196</v>
      </c>
      <c r="CG2" s="2" t="s">
        <v>197</v>
      </c>
      <c r="CH2" s="2" t="s">
        <v>198</v>
      </c>
      <c r="CI2" s="2" t="s">
        <v>199</v>
      </c>
      <c r="CJ2" s="2" t="s">
        <v>200</v>
      </c>
      <c r="CK2" s="2" t="s">
        <v>201</v>
      </c>
      <c r="CL2" s="2" t="s">
        <v>202</v>
      </c>
      <c r="CM2" s="2" t="s">
        <v>203</v>
      </c>
      <c r="CN2" s="3" t="s">
        <v>117</v>
      </c>
      <c r="CO2" s="3" t="s">
        <v>118</v>
      </c>
      <c r="CP2" s="3" t="s">
        <v>119</v>
      </c>
      <c r="CQ2" s="3" t="s">
        <v>120</v>
      </c>
      <c r="CR2" s="3" t="s">
        <v>121</v>
      </c>
      <c r="CS2" s="3" t="s">
        <v>122</v>
      </c>
      <c r="CT2" s="3" t="s">
        <v>123</v>
      </c>
      <c r="CU2" s="3" t="s">
        <v>124</v>
      </c>
      <c r="CV2" s="3" t="s">
        <v>125</v>
      </c>
      <c r="CW2" s="3" t="s">
        <v>126</v>
      </c>
      <c r="CX2" s="3" t="s">
        <v>127</v>
      </c>
      <c r="CY2" s="3" t="s">
        <v>128</v>
      </c>
      <c r="CZ2" s="3" t="s">
        <v>129</v>
      </c>
      <c r="DA2" s="3" t="s">
        <v>130</v>
      </c>
      <c r="DB2" s="3" t="s">
        <v>131</v>
      </c>
      <c r="DC2" s="3" t="s">
        <v>132</v>
      </c>
      <c r="DD2" s="3" t="s">
        <v>133</v>
      </c>
      <c r="DE2" s="3" t="s">
        <v>134</v>
      </c>
      <c r="DF2" s="3" t="s">
        <v>135</v>
      </c>
      <c r="DG2" s="3" t="s">
        <v>136</v>
      </c>
      <c r="DH2" s="3" t="s">
        <v>137</v>
      </c>
      <c r="DI2" s="3" t="s">
        <v>138</v>
      </c>
      <c r="DJ2" s="3" t="s">
        <v>139</v>
      </c>
      <c r="DK2" s="3" t="s">
        <v>140</v>
      </c>
      <c r="DL2" s="3" t="s">
        <v>141</v>
      </c>
      <c r="DM2" s="3" t="s">
        <v>142</v>
      </c>
      <c r="DN2" s="3" t="s">
        <v>55</v>
      </c>
      <c r="DO2" s="3" t="s">
        <v>143</v>
      </c>
      <c r="DP2" s="3" t="s">
        <v>144</v>
      </c>
      <c r="DQ2" s="3" t="s">
        <v>145</v>
      </c>
      <c r="DR2" s="3" t="s">
        <v>146</v>
      </c>
      <c r="DS2" s="3" t="s">
        <v>147</v>
      </c>
      <c r="DT2" s="3" t="s">
        <v>148</v>
      </c>
      <c r="DU2" s="3" t="s">
        <v>149</v>
      </c>
      <c r="DV2" s="3" t="s">
        <v>150</v>
      </c>
      <c r="DW2" s="3" t="s">
        <v>151</v>
      </c>
      <c r="DX2" s="3" t="s">
        <v>152</v>
      </c>
      <c r="DY2" s="3" t="s">
        <v>153</v>
      </c>
      <c r="DZ2" s="3" t="s">
        <v>154</v>
      </c>
      <c r="EA2" s="3" t="s">
        <v>155</v>
      </c>
      <c r="EB2" s="3" t="s">
        <v>156</v>
      </c>
      <c r="EC2" s="3" t="s">
        <v>157</v>
      </c>
      <c r="ED2" s="3" t="s">
        <v>158</v>
      </c>
      <c r="EE2" s="3" t="s">
        <v>159</v>
      </c>
      <c r="EF2" s="3" t="s">
        <v>160</v>
      </c>
      <c r="EG2" s="3" t="s">
        <v>161</v>
      </c>
      <c r="EH2" s="3" t="s">
        <v>162</v>
      </c>
      <c r="EI2" s="3" t="s">
        <v>163</v>
      </c>
      <c r="EJ2" s="3" t="s">
        <v>164</v>
      </c>
      <c r="EK2" s="3" t="s">
        <v>165</v>
      </c>
      <c r="EL2" s="3" t="s">
        <v>166</v>
      </c>
      <c r="EM2" s="3" t="s">
        <v>167</v>
      </c>
      <c r="EN2" s="3" t="s">
        <v>168</v>
      </c>
      <c r="EO2" s="3" t="s">
        <v>169</v>
      </c>
      <c r="EP2" s="3" t="s">
        <v>170</v>
      </c>
      <c r="EQ2" s="3" t="s">
        <v>171</v>
      </c>
      <c r="ER2" s="3" t="s">
        <v>172</v>
      </c>
      <c r="ES2" s="3" t="s">
        <v>173</v>
      </c>
      <c r="ET2" s="3" t="s">
        <v>174</v>
      </c>
      <c r="EU2" s="3" t="s">
        <v>175</v>
      </c>
      <c r="EV2" s="3" t="s">
        <v>176</v>
      </c>
      <c r="EW2" s="3" t="s">
        <v>177</v>
      </c>
      <c r="EX2" s="3" t="s">
        <v>178</v>
      </c>
      <c r="EY2" s="3" t="s">
        <v>179</v>
      </c>
      <c r="EZ2" s="3" t="s">
        <v>180</v>
      </c>
      <c r="FA2" s="3" t="s">
        <v>181</v>
      </c>
      <c r="FB2" s="3" t="s">
        <v>182</v>
      </c>
      <c r="FC2" s="3" t="s">
        <v>183</v>
      </c>
      <c r="FD2" s="3" t="s">
        <v>184</v>
      </c>
      <c r="FE2" s="3" t="s">
        <v>185</v>
      </c>
      <c r="FF2" s="3" t="s">
        <v>186</v>
      </c>
      <c r="FG2" s="3" t="s">
        <v>187</v>
      </c>
      <c r="FH2" s="3" t="s">
        <v>188</v>
      </c>
      <c r="FI2" s="3" t="s">
        <v>189</v>
      </c>
      <c r="FJ2" s="3" t="s">
        <v>190</v>
      </c>
      <c r="FK2" s="3" t="s">
        <v>191</v>
      </c>
      <c r="FL2" s="3" t="s">
        <v>192</v>
      </c>
      <c r="FM2" s="3" t="s">
        <v>193</v>
      </c>
      <c r="FN2" s="3" t="s">
        <v>194</v>
      </c>
      <c r="FO2" s="3" t="s">
        <v>195</v>
      </c>
      <c r="FP2" s="3" t="s">
        <v>196</v>
      </c>
      <c r="FQ2" s="3" t="s">
        <v>197</v>
      </c>
      <c r="FR2" s="3" t="s">
        <v>198</v>
      </c>
      <c r="FS2" s="3" t="s">
        <v>199</v>
      </c>
      <c r="FT2" s="3" t="s">
        <v>200</v>
      </c>
      <c r="FU2" s="3" t="s">
        <v>201</v>
      </c>
      <c r="FV2" s="3" t="s">
        <v>202</v>
      </c>
      <c r="FW2" s="3" t="s">
        <v>203</v>
      </c>
    </row>
    <row r="3" spans="1:179" x14ac:dyDescent="0.35">
      <c r="C3" t="s">
        <v>212</v>
      </c>
      <c r="D3" s="4" t="s">
        <v>204</v>
      </c>
      <c r="E3" s="4" t="s">
        <v>205</v>
      </c>
      <c r="F3" s="4" t="s">
        <v>206</v>
      </c>
      <c r="G3" s="4" t="s">
        <v>206</v>
      </c>
      <c r="H3" s="4" t="s">
        <v>206</v>
      </c>
      <c r="I3" s="4" t="s">
        <v>206</v>
      </c>
      <c r="J3" s="4" t="s">
        <v>206</v>
      </c>
      <c r="K3" s="4" t="s">
        <v>206</v>
      </c>
      <c r="L3" s="4" t="s">
        <v>207</v>
      </c>
      <c r="M3" s="4" t="s">
        <v>206</v>
      </c>
      <c r="N3" s="4" t="s">
        <v>206</v>
      </c>
      <c r="O3" s="4" t="s">
        <v>206</v>
      </c>
      <c r="P3" s="4" t="s">
        <v>206</v>
      </c>
      <c r="Q3" s="4" t="s">
        <v>206</v>
      </c>
      <c r="R3" s="4" t="s">
        <v>206</v>
      </c>
      <c r="S3" s="4" t="s">
        <v>207</v>
      </c>
      <c r="T3" s="4" t="s">
        <v>207</v>
      </c>
      <c r="U3" s="4" t="s">
        <v>207</v>
      </c>
      <c r="V3" s="4" t="s">
        <v>207</v>
      </c>
      <c r="W3" s="4" t="s">
        <v>207</v>
      </c>
      <c r="X3" s="4" t="s">
        <v>207</v>
      </c>
      <c r="Y3" s="4" t="s">
        <v>207</v>
      </c>
      <c r="Z3" s="4" t="s">
        <v>207</v>
      </c>
      <c r="AA3" s="4" t="s">
        <v>208</v>
      </c>
      <c r="AB3" s="4" t="s">
        <v>207</v>
      </c>
      <c r="AC3" s="4" t="s">
        <v>208</v>
      </c>
      <c r="AD3" s="4" t="s">
        <v>207</v>
      </c>
      <c r="AE3" s="4" t="s">
        <v>207</v>
      </c>
      <c r="AF3" s="4" t="s">
        <v>207</v>
      </c>
      <c r="AG3" s="4" t="s">
        <v>207</v>
      </c>
      <c r="AH3" s="4" t="s">
        <v>207</v>
      </c>
      <c r="AI3" s="4" t="s">
        <v>207</v>
      </c>
      <c r="AJ3" s="4" t="s">
        <v>207</v>
      </c>
      <c r="AK3" s="4" t="s">
        <v>208</v>
      </c>
      <c r="AL3" s="4" t="s">
        <v>207</v>
      </c>
      <c r="AM3" s="4" t="s">
        <v>208</v>
      </c>
      <c r="AN3" s="4" t="s">
        <v>208</v>
      </c>
      <c r="AO3" s="4" t="s">
        <v>208</v>
      </c>
      <c r="AP3" s="4" t="s">
        <v>208</v>
      </c>
      <c r="AQ3" s="4" t="s">
        <v>208</v>
      </c>
      <c r="AR3" s="4" t="s">
        <v>207</v>
      </c>
      <c r="AS3" s="4" t="s">
        <v>208</v>
      </c>
      <c r="AT3" s="4" t="s">
        <v>208</v>
      </c>
      <c r="AU3" s="4" t="s">
        <v>206</v>
      </c>
      <c r="AV3" s="4" t="s">
        <v>206</v>
      </c>
      <c r="AW3" s="4" t="s">
        <v>206</v>
      </c>
      <c r="AX3" s="4" t="s">
        <v>206</v>
      </c>
      <c r="AY3" s="4" t="s">
        <v>206</v>
      </c>
      <c r="AZ3" s="4" t="s">
        <v>206</v>
      </c>
      <c r="BA3" s="4" t="s">
        <v>206</v>
      </c>
      <c r="BB3" s="4" t="s">
        <v>206</v>
      </c>
      <c r="BC3" s="4" t="s">
        <v>206</v>
      </c>
      <c r="BD3" s="4" t="s">
        <v>206</v>
      </c>
      <c r="BE3" s="4" t="s">
        <v>206</v>
      </c>
      <c r="BF3" s="4" t="s">
        <v>206</v>
      </c>
      <c r="BG3" s="4" t="s">
        <v>206</v>
      </c>
      <c r="BH3" s="4" t="s">
        <v>206</v>
      </c>
      <c r="BI3" s="4" t="s">
        <v>206</v>
      </c>
      <c r="BJ3" s="4" t="s">
        <v>206</v>
      </c>
      <c r="BK3" s="4" t="s">
        <v>206</v>
      </c>
      <c r="BL3" s="4" t="s">
        <v>206</v>
      </c>
      <c r="BM3" s="4" t="s">
        <v>206</v>
      </c>
      <c r="BN3" s="4" t="s">
        <v>206</v>
      </c>
      <c r="BO3" s="4" t="s">
        <v>206</v>
      </c>
      <c r="BP3" s="4" t="s">
        <v>207</v>
      </c>
      <c r="BQ3" s="4" t="s">
        <v>207</v>
      </c>
      <c r="BR3" s="4" t="s">
        <v>207</v>
      </c>
      <c r="BS3" s="4" t="s">
        <v>207</v>
      </c>
      <c r="BT3" s="4" t="s">
        <v>207</v>
      </c>
      <c r="BU3" s="4" t="s">
        <v>207</v>
      </c>
      <c r="BV3" s="4" t="s">
        <v>207</v>
      </c>
      <c r="BW3" s="4" t="s">
        <v>207</v>
      </c>
      <c r="BX3" s="4" t="s">
        <v>207</v>
      </c>
      <c r="BY3" s="4" t="s">
        <v>207</v>
      </c>
      <c r="BZ3" s="4" t="s">
        <v>207</v>
      </c>
      <c r="CA3" s="4" t="s">
        <v>207</v>
      </c>
      <c r="CB3" s="4" t="s">
        <v>207</v>
      </c>
      <c r="CC3" s="4" t="s">
        <v>207</v>
      </c>
      <c r="CD3" s="4" t="s">
        <v>207</v>
      </c>
      <c r="CE3" s="4" t="s">
        <v>207</v>
      </c>
      <c r="CF3" s="4" t="s">
        <v>207</v>
      </c>
      <c r="CG3" s="4" t="s">
        <v>207</v>
      </c>
      <c r="CH3" s="4" t="s">
        <v>206</v>
      </c>
      <c r="CI3" s="4" t="s">
        <v>206</v>
      </c>
      <c r="CJ3" s="4" t="s">
        <v>206</v>
      </c>
      <c r="CK3" s="4" t="s">
        <v>206</v>
      </c>
      <c r="CL3" s="4" t="s">
        <v>206</v>
      </c>
      <c r="CM3" s="4" t="s">
        <v>206</v>
      </c>
      <c r="CN3" s="5" t="s">
        <v>204</v>
      </c>
      <c r="CO3" s="5" t="s">
        <v>205</v>
      </c>
      <c r="CP3" s="5" t="s">
        <v>206</v>
      </c>
      <c r="CQ3" s="5" t="s">
        <v>206</v>
      </c>
      <c r="CR3" s="5" t="s">
        <v>206</v>
      </c>
      <c r="CS3" s="5" t="s">
        <v>206</v>
      </c>
      <c r="CT3" s="5" t="s">
        <v>206</v>
      </c>
      <c r="CU3" s="5" t="s">
        <v>206</v>
      </c>
      <c r="CV3" s="5" t="s">
        <v>207</v>
      </c>
      <c r="CW3" s="5" t="s">
        <v>206</v>
      </c>
      <c r="CX3" s="5" t="s">
        <v>206</v>
      </c>
      <c r="CY3" s="5" t="s">
        <v>206</v>
      </c>
      <c r="CZ3" s="5" t="s">
        <v>206</v>
      </c>
      <c r="DA3" s="5" t="s">
        <v>206</v>
      </c>
      <c r="DB3" s="5" t="s">
        <v>206</v>
      </c>
      <c r="DC3" s="5" t="s">
        <v>207</v>
      </c>
      <c r="DD3" s="5" t="s">
        <v>207</v>
      </c>
      <c r="DE3" s="5" t="s">
        <v>207</v>
      </c>
      <c r="DF3" s="5" t="s">
        <v>207</v>
      </c>
      <c r="DG3" s="5" t="s">
        <v>207</v>
      </c>
      <c r="DH3" s="5" t="s">
        <v>207</v>
      </c>
      <c r="DI3" s="5" t="s">
        <v>207</v>
      </c>
      <c r="DJ3" s="5" t="s">
        <v>207</v>
      </c>
      <c r="DK3" s="5" t="s">
        <v>208</v>
      </c>
      <c r="DL3" s="5" t="s">
        <v>207</v>
      </c>
      <c r="DM3" s="5" t="s">
        <v>208</v>
      </c>
      <c r="DN3" s="5" t="s">
        <v>207</v>
      </c>
      <c r="DO3" s="5" t="s">
        <v>207</v>
      </c>
      <c r="DP3" s="5" t="s">
        <v>207</v>
      </c>
      <c r="DQ3" s="5" t="s">
        <v>207</v>
      </c>
      <c r="DR3" s="5" t="s">
        <v>207</v>
      </c>
      <c r="DS3" s="5" t="s">
        <v>207</v>
      </c>
      <c r="DT3" s="5" t="s">
        <v>207</v>
      </c>
      <c r="DU3" s="5" t="s">
        <v>208</v>
      </c>
      <c r="DV3" s="5" t="s">
        <v>207</v>
      </c>
      <c r="DW3" s="5" t="s">
        <v>208</v>
      </c>
      <c r="DX3" s="5" t="s">
        <v>208</v>
      </c>
      <c r="DY3" s="5" t="s">
        <v>208</v>
      </c>
      <c r="DZ3" s="5" t="s">
        <v>208</v>
      </c>
      <c r="EA3" s="5" t="s">
        <v>208</v>
      </c>
      <c r="EB3" s="5" t="s">
        <v>207</v>
      </c>
      <c r="EC3" s="5" t="s">
        <v>208</v>
      </c>
      <c r="ED3" s="5" t="s">
        <v>208</v>
      </c>
      <c r="EE3" s="5" t="s">
        <v>206</v>
      </c>
      <c r="EF3" s="5" t="s">
        <v>206</v>
      </c>
      <c r="EG3" s="5" t="s">
        <v>206</v>
      </c>
      <c r="EH3" s="5" t="s">
        <v>206</v>
      </c>
      <c r="EI3" s="5" t="s">
        <v>206</v>
      </c>
      <c r="EJ3" s="5" t="s">
        <v>206</v>
      </c>
      <c r="EK3" s="5" t="s">
        <v>206</v>
      </c>
      <c r="EL3" s="5" t="s">
        <v>206</v>
      </c>
      <c r="EM3" s="5" t="s">
        <v>206</v>
      </c>
      <c r="EN3" s="5" t="s">
        <v>206</v>
      </c>
      <c r="EO3" s="5" t="s">
        <v>206</v>
      </c>
      <c r="EP3" s="5" t="s">
        <v>206</v>
      </c>
      <c r="EQ3" s="5" t="s">
        <v>206</v>
      </c>
      <c r="ER3" s="5" t="s">
        <v>206</v>
      </c>
      <c r="ES3" s="5" t="s">
        <v>206</v>
      </c>
      <c r="ET3" s="5" t="s">
        <v>206</v>
      </c>
      <c r="EU3" s="5" t="s">
        <v>206</v>
      </c>
      <c r="EV3" s="5" t="s">
        <v>206</v>
      </c>
      <c r="EW3" s="5" t="s">
        <v>206</v>
      </c>
      <c r="EX3" s="5" t="s">
        <v>206</v>
      </c>
      <c r="EY3" s="5" t="s">
        <v>206</v>
      </c>
      <c r="EZ3" s="5" t="s">
        <v>207</v>
      </c>
      <c r="FA3" s="5" t="s">
        <v>207</v>
      </c>
      <c r="FB3" s="5" t="s">
        <v>207</v>
      </c>
      <c r="FC3" s="5" t="s">
        <v>207</v>
      </c>
      <c r="FD3" s="5" t="s">
        <v>207</v>
      </c>
      <c r="FE3" s="5" t="s">
        <v>207</v>
      </c>
      <c r="FF3" s="5" t="s">
        <v>207</v>
      </c>
      <c r="FG3" s="5" t="s">
        <v>207</v>
      </c>
      <c r="FH3" s="5" t="s">
        <v>207</v>
      </c>
      <c r="FI3" s="5" t="s">
        <v>207</v>
      </c>
      <c r="FJ3" s="5" t="s">
        <v>207</v>
      </c>
      <c r="FK3" s="5" t="s">
        <v>207</v>
      </c>
      <c r="FL3" s="5" t="s">
        <v>207</v>
      </c>
      <c r="FM3" s="5" t="s">
        <v>207</v>
      </c>
      <c r="FN3" s="5" t="s">
        <v>207</v>
      </c>
      <c r="FO3" s="5" t="s">
        <v>207</v>
      </c>
      <c r="FP3" s="5" t="s">
        <v>207</v>
      </c>
      <c r="FQ3" s="5" t="s">
        <v>207</v>
      </c>
      <c r="FR3" s="5" t="s">
        <v>206</v>
      </c>
      <c r="FS3" s="5" t="s">
        <v>206</v>
      </c>
      <c r="FT3" s="5" t="s">
        <v>206</v>
      </c>
      <c r="FU3" s="5" t="s">
        <v>206</v>
      </c>
      <c r="FV3" s="5" t="s">
        <v>206</v>
      </c>
      <c r="FW3" s="5" t="s">
        <v>206</v>
      </c>
    </row>
    <row r="4" spans="1:179" x14ac:dyDescent="0.35">
      <c r="A4" s="80" t="s">
        <v>1</v>
      </c>
      <c r="B4" s="72" t="s">
        <v>210</v>
      </c>
      <c r="C4" s="9">
        <v>96</v>
      </c>
      <c r="D4" s="54">
        <v>80</v>
      </c>
      <c r="E4" s="54">
        <v>340</v>
      </c>
      <c r="F4" s="54">
        <v>2.1</v>
      </c>
      <c r="G4" s="54">
        <v>0</v>
      </c>
      <c r="H4" s="54">
        <v>2.1</v>
      </c>
      <c r="I4" s="54">
        <v>0.1</v>
      </c>
      <c r="J4" s="54">
        <v>0</v>
      </c>
      <c r="K4" s="54">
        <v>0.1</v>
      </c>
      <c r="L4" s="54">
        <v>0</v>
      </c>
      <c r="M4" s="54">
        <v>18</v>
      </c>
      <c r="N4" s="54">
        <v>17.600000000000001</v>
      </c>
      <c r="O4" s="54">
        <v>0.4</v>
      </c>
      <c r="P4" s="54">
        <v>1.6</v>
      </c>
      <c r="Q4" s="54">
        <v>0</v>
      </c>
      <c r="R4" s="54">
        <v>78.5</v>
      </c>
      <c r="S4" s="54">
        <v>0.6</v>
      </c>
      <c r="T4" s="54">
        <v>10</v>
      </c>
      <c r="U4" s="54">
        <v>7</v>
      </c>
      <c r="V4" s="54">
        <v>570</v>
      </c>
      <c r="W4" s="54">
        <v>54</v>
      </c>
      <c r="X4" s="54">
        <v>0.27</v>
      </c>
      <c r="Y4" s="81">
        <v>0</v>
      </c>
      <c r="Z4" s="81">
        <v>0</v>
      </c>
      <c r="AA4" s="81">
        <v>0</v>
      </c>
      <c r="AB4" s="81">
        <v>0</v>
      </c>
      <c r="AC4" s="81">
        <v>0</v>
      </c>
      <c r="AD4" s="81">
        <v>0</v>
      </c>
      <c r="AE4" s="81">
        <v>0</v>
      </c>
      <c r="AF4" s="54">
        <v>0.1</v>
      </c>
      <c r="AG4" s="54">
        <v>0.04</v>
      </c>
      <c r="AH4" s="54">
        <v>15</v>
      </c>
      <c r="AI4" s="54">
        <v>2.5</v>
      </c>
      <c r="AJ4" s="54">
        <v>0.44</v>
      </c>
      <c r="AK4" s="54">
        <v>35</v>
      </c>
      <c r="AL4" s="81">
        <v>0</v>
      </c>
      <c r="AM4" s="81">
        <v>0</v>
      </c>
      <c r="AN4" s="81">
        <v>0</v>
      </c>
      <c r="AO4" s="54">
        <v>3</v>
      </c>
      <c r="AP4" s="54">
        <v>0</v>
      </c>
      <c r="AQ4" s="54">
        <v>18</v>
      </c>
      <c r="AR4" s="54">
        <v>0.06</v>
      </c>
      <c r="AS4" s="54">
        <v>0</v>
      </c>
      <c r="AT4" s="81">
        <v>0</v>
      </c>
      <c r="AU4" s="54">
        <v>0.03</v>
      </c>
      <c r="AV4" s="81">
        <v>0</v>
      </c>
      <c r="AW4" s="81">
        <v>0</v>
      </c>
      <c r="AX4" s="81">
        <v>0</v>
      </c>
      <c r="AY4" s="81">
        <v>0</v>
      </c>
      <c r="AZ4" s="81">
        <v>0</v>
      </c>
      <c r="BA4" s="81">
        <v>0</v>
      </c>
      <c r="BB4" s="81">
        <v>0</v>
      </c>
      <c r="BC4" s="54">
        <v>0.01</v>
      </c>
      <c r="BD4" s="82">
        <v>0</v>
      </c>
      <c r="BE4" s="82">
        <v>0</v>
      </c>
      <c r="BF4" s="54">
        <v>0.01</v>
      </c>
      <c r="BG4" s="82">
        <v>0</v>
      </c>
      <c r="BH4" s="82">
        <v>0</v>
      </c>
      <c r="BI4" s="54">
        <v>0.01</v>
      </c>
      <c r="BJ4" s="54">
        <v>0.01</v>
      </c>
      <c r="BK4" s="51">
        <v>5.0000000000000001E-3</v>
      </c>
      <c r="BL4" s="82">
        <v>0</v>
      </c>
      <c r="BM4" s="82">
        <v>0</v>
      </c>
      <c r="BN4" s="82">
        <v>0</v>
      </c>
      <c r="BO4" s="54">
        <v>0</v>
      </c>
      <c r="BP4" s="56">
        <v>28</v>
      </c>
      <c r="BQ4" s="56">
        <v>83</v>
      </c>
      <c r="BR4" s="56">
        <v>92</v>
      </c>
      <c r="BS4" s="56">
        <v>122</v>
      </c>
      <c r="BT4" s="56">
        <v>115</v>
      </c>
      <c r="BU4" s="56">
        <v>34</v>
      </c>
      <c r="BV4" s="56">
        <v>22</v>
      </c>
      <c r="BW4" s="56">
        <v>93</v>
      </c>
      <c r="BX4" s="56">
        <v>61</v>
      </c>
      <c r="BY4" s="56">
        <v>116</v>
      </c>
      <c r="BZ4" s="56">
        <v>104</v>
      </c>
      <c r="CA4" s="56">
        <v>36</v>
      </c>
      <c r="CB4" s="56">
        <v>92</v>
      </c>
      <c r="CC4" s="56">
        <v>334</v>
      </c>
      <c r="CD4" s="56">
        <v>348</v>
      </c>
      <c r="CE4" s="56">
        <v>58</v>
      </c>
      <c r="CF4" s="56">
        <v>76</v>
      </c>
      <c r="CG4" s="56">
        <v>76</v>
      </c>
      <c r="CH4" s="81">
        <v>0</v>
      </c>
      <c r="CI4" s="81">
        <v>0</v>
      </c>
      <c r="CJ4" s="83">
        <v>0</v>
      </c>
      <c r="CK4" s="81">
        <v>0</v>
      </c>
      <c r="CL4" s="81">
        <v>0</v>
      </c>
      <c r="CM4" s="83">
        <v>0</v>
      </c>
      <c r="CN4">
        <f>($C4*D4)/100</f>
        <v>76.8</v>
      </c>
      <c r="CO4">
        <f t="shared" ref="CO4:EZ4" si="0">($C4*E4)/100</f>
        <v>326.39999999999998</v>
      </c>
      <c r="CP4">
        <f t="shared" si="0"/>
        <v>2.016</v>
      </c>
      <c r="CQ4">
        <f t="shared" si="0"/>
        <v>0</v>
      </c>
      <c r="CR4">
        <f t="shared" si="0"/>
        <v>2.016</v>
      </c>
      <c r="CS4">
        <f t="shared" si="0"/>
        <v>9.6000000000000016E-2</v>
      </c>
      <c r="CT4">
        <f t="shared" si="0"/>
        <v>0</v>
      </c>
      <c r="CU4">
        <f t="shared" si="0"/>
        <v>9.6000000000000016E-2</v>
      </c>
      <c r="CV4">
        <f t="shared" si="0"/>
        <v>0</v>
      </c>
      <c r="CW4">
        <f t="shared" si="0"/>
        <v>17.28</v>
      </c>
      <c r="CX4">
        <f t="shared" si="0"/>
        <v>16.896000000000001</v>
      </c>
      <c r="CY4">
        <f t="shared" si="0"/>
        <v>0.38400000000000006</v>
      </c>
      <c r="CZ4">
        <f t="shared" si="0"/>
        <v>1.5360000000000003</v>
      </c>
      <c r="DA4">
        <f t="shared" si="0"/>
        <v>0</v>
      </c>
      <c r="DB4">
        <f t="shared" si="0"/>
        <v>75.36</v>
      </c>
      <c r="DC4">
        <f t="shared" si="0"/>
        <v>0.57599999999999996</v>
      </c>
      <c r="DD4">
        <f t="shared" si="0"/>
        <v>9.6</v>
      </c>
      <c r="DE4">
        <f t="shared" si="0"/>
        <v>6.72</v>
      </c>
      <c r="DF4">
        <f t="shared" si="0"/>
        <v>547.20000000000005</v>
      </c>
      <c r="DG4">
        <f t="shared" si="0"/>
        <v>51.84</v>
      </c>
      <c r="DH4">
        <f t="shared" si="0"/>
        <v>0.25920000000000004</v>
      </c>
      <c r="DI4">
        <f t="shared" si="0"/>
        <v>0</v>
      </c>
      <c r="DJ4">
        <f t="shared" si="0"/>
        <v>0</v>
      </c>
      <c r="DK4">
        <f t="shared" si="0"/>
        <v>0</v>
      </c>
      <c r="DL4">
        <f t="shared" si="0"/>
        <v>0</v>
      </c>
      <c r="DM4">
        <f t="shared" si="0"/>
        <v>0</v>
      </c>
      <c r="DN4">
        <f t="shared" si="0"/>
        <v>0</v>
      </c>
      <c r="DO4">
        <f t="shared" si="0"/>
        <v>0</v>
      </c>
      <c r="DP4">
        <f t="shared" si="0"/>
        <v>9.6000000000000016E-2</v>
      </c>
      <c r="DQ4">
        <f t="shared" si="0"/>
        <v>3.8399999999999997E-2</v>
      </c>
      <c r="DR4">
        <f t="shared" si="0"/>
        <v>14.4</v>
      </c>
      <c r="DS4">
        <f t="shared" si="0"/>
        <v>2.4</v>
      </c>
      <c r="DT4">
        <f t="shared" si="0"/>
        <v>0.4224</v>
      </c>
      <c r="DU4">
        <f t="shared" si="0"/>
        <v>33.6</v>
      </c>
      <c r="DV4">
        <f t="shared" si="0"/>
        <v>0</v>
      </c>
      <c r="DW4">
        <f t="shared" si="0"/>
        <v>0</v>
      </c>
      <c r="DX4">
        <f t="shared" si="0"/>
        <v>0</v>
      </c>
      <c r="DY4">
        <f t="shared" si="0"/>
        <v>2.88</v>
      </c>
      <c r="DZ4">
        <f t="shared" si="0"/>
        <v>0</v>
      </c>
      <c r="EA4">
        <f t="shared" si="0"/>
        <v>17.28</v>
      </c>
      <c r="EB4">
        <f t="shared" si="0"/>
        <v>5.7599999999999998E-2</v>
      </c>
      <c r="EC4">
        <f t="shared" si="0"/>
        <v>0</v>
      </c>
      <c r="ED4">
        <f t="shared" si="0"/>
        <v>0</v>
      </c>
      <c r="EE4">
        <f t="shared" si="0"/>
        <v>2.8799999999999999E-2</v>
      </c>
      <c r="EF4">
        <f t="shared" si="0"/>
        <v>0</v>
      </c>
      <c r="EG4">
        <f t="shared" si="0"/>
        <v>0</v>
      </c>
      <c r="EH4">
        <f t="shared" si="0"/>
        <v>0</v>
      </c>
      <c r="EI4">
        <f t="shared" si="0"/>
        <v>0</v>
      </c>
      <c r="EJ4">
        <f t="shared" si="0"/>
        <v>0</v>
      </c>
      <c r="EK4">
        <f t="shared" si="0"/>
        <v>0</v>
      </c>
      <c r="EL4">
        <f t="shared" si="0"/>
        <v>0</v>
      </c>
      <c r="EM4">
        <f t="shared" si="0"/>
        <v>9.5999999999999992E-3</v>
      </c>
      <c r="EN4">
        <f t="shared" si="0"/>
        <v>0</v>
      </c>
      <c r="EO4">
        <f t="shared" si="0"/>
        <v>0</v>
      </c>
      <c r="EP4">
        <f t="shared" si="0"/>
        <v>9.5999999999999992E-3</v>
      </c>
      <c r="EQ4">
        <f t="shared" si="0"/>
        <v>0</v>
      </c>
      <c r="ER4">
        <f t="shared" si="0"/>
        <v>0</v>
      </c>
      <c r="ES4">
        <f t="shared" si="0"/>
        <v>9.5999999999999992E-3</v>
      </c>
      <c r="ET4">
        <f t="shared" si="0"/>
        <v>9.5999999999999992E-3</v>
      </c>
      <c r="EU4">
        <f t="shared" si="0"/>
        <v>4.7999999999999996E-3</v>
      </c>
      <c r="EV4">
        <f t="shared" si="0"/>
        <v>0</v>
      </c>
      <c r="EW4">
        <f t="shared" si="0"/>
        <v>0</v>
      </c>
      <c r="EX4">
        <f t="shared" si="0"/>
        <v>0</v>
      </c>
      <c r="EY4">
        <f t="shared" si="0"/>
        <v>0</v>
      </c>
      <c r="EZ4">
        <f t="shared" si="0"/>
        <v>26.88</v>
      </c>
      <c r="FA4">
        <f t="shared" ref="FA4:FW4" si="1">($C4*BQ4)/100</f>
        <v>79.680000000000007</v>
      </c>
      <c r="FB4">
        <f t="shared" si="1"/>
        <v>88.32</v>
      </c>
      <c r="FC4">
        <f t="shared" si="1"/>
        <v>117.12</v>
      </c>
      <c r="FD4">
        <f t="shared" si="1"/>
        <v>110.4</v>
      </c>
      <c r="FE4">
        <f t="shared" si="1"/>
        <v>32.64</v>
      </c>
      <c r="FF4">
        <f t="shared" si="1"/>
        <v>21.12</v>
      </c>
      <c r="FG4">
        <f t="shared" si="1"/>
        <v>89.28</v>
      </c>
      <c r="FH4">
        <f t="shared" si="1"/>
        <v>58.56</v>
      </c>
      <c r="FI4">
        <f t="shared" si="1"/>
        <v>111.36</v>
      </c>
      <c r="FJ4">
        <f t="shared" si="1"/>
        <v>99.84</v>
      </c>
      <c r="FK4">
        <f t="shared" si="1"/>
        <v>34.56</v>
      </c>
      <c r="FL4">
        <f t="shared" si="1"/>
        <v>88.32</v>
      </c>
      <c r="FM4">
        <f t="shared" si="1"/>
        <v>320.64</v>
      </c>
      <c r="FN4">
        <f t="shared" si="1"/>
        <v>334.08</v>
      </c>
      <c r="FO4">
        <f t="shared" si="1"/>
        <v>55.68</v>
      </c>
      <c r="FP4">
        <f t="shared" si="1"/>
        <v>72.959999999999994</v>
      </c>
      <c r="FQ4">
        <f t="shared" si="1"/>
        <v>72.959999999999994</v>
      </c>
      <c r="FR4">
        <f t="shared" si="1"/>
        <v>0</v>
      </c>
      <c r="FS4">
        <f t="shared" si="1"/>
        <v>0</v>
      </c>
      <c r="FT4">
        <f t="shared" si="1"/>
        <v>0</v>
      </c>
      <c r="FU4">
        <f t="shared" si="1"/>
        <v>0</v>
      </c>
      <c r="FV4">
        <f t="shared" si="1"/>
        <v>0</v>
      </c>
      <c r="FW4">
        <f t="shared" si="1"/>
        <v>0</v>
      </c>
    </row>
    <row r="5" spans="1:179" x14ac:dyDescent="0.35">
      <c r="B5" s="72" t="s">
        <v>211</v>
      </c>
      <c r="C5">
        <v>4</v>
      </c>
      <c r="D5" s="6">
        <v>899</v>
      </c>
      <c r="E5" s="6">
        <v>3696</v>
      </c>
      <c r="F5" s="6">
        <v>0</v>
      </c>
      <c r="G5" s="6">
        <v>0</v>
      </c>
      <c r="H5" s="6">
        <v>0</v>
      </c>
      <c r="I5" s="6">
        <v>99.9</v>
      </c>
      <c r="J5" s="6">
        <v>0</v>
      </c>
      <c r="K5" s="6">
        <v>99.9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0.2</v>
      </c>
      <c r="T5" s="6">
        <v>0</v>
      </c>
      <c r="U5" s="51">
        <v>0.5</v>
      </c>
      <c r="V5" s="51">
        <v>0.5</v>
      </c>
      <c r="W5" s="6">
        <v>0</v>
      </c>
      <c r="X5" s="51">
        <v>5.0000000000000001E-3</v>
      </c>
      <c r="Y5" s="51">
        <v>0.5</v>
      </c>
      <c r="Z5" s="6">
        <v>0.01</v>
      </c>
      <c r="AA5" s="51">
        <v>0.05</v>
      </c>
      <c r="AB5" s="51">
        <v>0.5</v>
      </c>
      <c r="AC5" s="51">
        <v>0.5</v>
      </c>
      <c r="AD5" s="51">
        <v>5.0000000000000001E-3</v>
      </c>
      <c r="AE5" s="51">
        <v>0.5</v>
      </c>
      <c r="AF5" s="6">
        <v>0</v>
      </c>
      <c r="AG5" s="6">
        <v>0</v>
      </c>
      <c r="AH5" s="6">
        <v>0</v>
      </c>
      <c r="AI5" s="6">
        <v>0</v>
      </c>
      <c r="AJ5" s="51">
        <v>5.0000000000000001E-3</v>
      </c>
      <c r="AK5" s="51">
        <v>0.5</v>
      </c>
      <c r="AL5" s="51">
        <v>5.0000000000000001E-3</v>
      </c>
      <c r="AM5" s="51">
        <v>0.05</v>
      </c>
      <c r="AN5" s="6">
        <v>0</v>
      </c>
      <c r="AO5" s="6">
        <v>36</v>
      </c>
      <c r="AP5" s="6">
        <v>0</v>
      </c>
      <c r="AQ5" s="6">
        <v>216</v>
      </c>
      <c r="AR5" s="6">
        <v>21.42</v>
      </c>
      <c r="AS5" s="6">
        <v>0</v>
      </c>
      <c r="AT5" s="6">
        <v>57.5</v>
      </c>
      <c r="AU5" s="6">
        <v>14.46</v>
      </c>
      <c r="AV5" s="6">
        <v>0</v>
      </c>
      <c r="AW5" s="6">
        <v>0</v>
      </c>
      <c r="AX5" s="6">
        <v>0</v>
      </c>
      <c r="AY5" s="6">
        <v>10.64</v>
      </c>
      <c r="AZ5" s="6">
        <v>3.06</v>
      </c>
      <c r="BA5" s="6">
        <v>0.76</v>
      </c>
      <c r="BB5" s="6">
        <v>0</v>
      </c>
      <c r="BC5" s="6">
        <v>72.95</v>
      </c>
      <c r="BD5" s="6">
        <v>0</v>
      </c>
      <c r="BE5" s="6">
        <v>0.79</v>
      </c>
      <c r="BF5" s="6">
        <v>71.87</v>
      </c>
      <c r="BG5" s="6">
        <v>0.28999999999999998</v>
      </c>
      <c r="BH5" s="6">
        <v>0</v>
      </c>
      <c r="BI5" s="6">
        <v>7.52</v>
      </c>
      <c r="BJ5" s="6">
        <v>6.79</v>
      </c>
      <c r="BK5" s="6">
        <v>0.73</v>
      </c>
      <c r="BL5" s="6">
        <v>0</v>
      </c>
      <c r="BM5" s="6">
        <v>0</v>
      </c>
      <c r="BN5" s="6">
        <v>0</v>
      </c>
      <c r="BO5" s="6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>
        <f>($C5*D5)/100</f>
        <v>35.96</v>
      </c>
      <c r="CO5">
        <f t="shared" ref="CO5" si="2">($C5*E5)/100</f>
        <v>147.84</v>
      </c>
      <c r="CP5">
        <f t="shared" ref="CP5" si="3">($C5*F5)/100</f>
        <v>0</v>
      </c>
      <c r="CQ5">
        <f t="shared" ref="CQ5" si="4">($C5*G5)/100</f>
        <v>0</v>
      </c>
      <c r="CR5">
        <f t="shared" ref="CR5" si="5">($C5*H5)/100</f>
        <v>0</v>
      </c>
      <c r="CS5">
        <f t="shared" ref="CS5" si="6">($C5*I5)/100</f>
        <v>3.9960000000000004</v>
      </c>
      <c r="CT5">
        <f t="shared" ref="CT5" si="7">($C5*J5)/100</f>
        <v>0</v>
      </c>
      <c r="CU5">
        <f t="shared" ref="CU5" si="8">($C5*K5)/100</f>
        <v>3.9960000000000004</v>
      </c>
      <c r="CV5">
        <f t="shared" ref="CV5" si="9">($C5*L5)/100</f>
        <v>0</v>
      </c>
      <c r="CW5">
        <f t="shared" ref="CW5" si="10">($C5*M5)/100</f>
        <v>0</v>
      </c>
      <c r="CX5">
        <f t="shared" ref="CX5" si="11">($C5*N5)/100</f>
        <v>0</v>
      </c>
      <c r="CY5">
        <f t="shared" ref="CY5" si="12">($C5*O5)/100</f>
        <v>0</v>
      </c>
      <c r="CZ5">
        <f t="shared" ref="CZ5" si="13">($C5*P5)/100</f>
        <v>0</v>
      </c>
      <c r="DA5">
        <f t="shared" ref="DA5" si="14">($C5*Q5)/100</f>
        <v>0</v>
      </c>
      <c r="DB5">
        <f t="shared" ref="DB5" si="15">($C5*R5)/100</f>
        <v>0</v>
      </c>
      <c r="DC5">
        <f t="shared" ref="DC5" si="16">($C5*S5)/100</f>
        <v>8.0000000000000002E-3</v>
      </c>
      <c r="DD5">
        <f t="shared" ref="DD5" si="17">($C5*T5)/100</f>
        <v>0</v>
      </c>
      <c r="DE5">
        <f t="shared" ref="DE5" si="18">($C5*U5)/100</f>
        <v>0.02</v>
      </c>
      <c r="DF5">
        <f t="shared" ref="DF5" si="19">($C5*V5)/100</f>
        <v>0.02</v>
      </c>
      <c r="DG5">
        <f t="shared" ref="DG5" si="20">($C5*W5)/100</f>
        <v>0</v>
      </c>
      <c r="DH5">
        <f t="shared" ref="DH5" si="21">($C5*X5)/100</f>
        <v>2.0000000000000001E-4</v>
      </c>
      <c r="DI5">
        <f t="shared" ref="DI5" si="22">($C5*Y5)/100</f>
        <v>0.02</v>
      </c>
      <c r="DJ5">
        <f t="shared" ref="DJ5" si="23">($C5*Z5)/100</f>
        <v>4.0000000000000002E-4</v>
      </c>
      <c r="DK5">
        <f t="shared" ref="DK5" si="24">($C5*AA5)/100</f>
        <v>2E-3</v>
      </c>
      <c r="DL5">
        <f t="shared" ref="DL5" si="25">($C5*AB5)/100</f>
        <v>0.02</v>
      </c>
      <c r="DM5">
        <f t="shared" ref="DM5" si="26">($C5*AC5)/100</f>
        <v>0.02</v>
      </c>
      <c r="DN5">
        <f t="shared" ref="DN5" si="27">($C5*AD5)/100</f>
        <v>2.0000000000000001E-4</v>
      </c>
      <c r="DO5">
        <f t="shared" ref="DO5" si="28">($C5*AE5)/100</f>
        <v>0.02</v>
      </c>
      <c r="DP5">
        <f t="shared" ref="DP5" si="29">($C5*AF5)/100</f>
        <v>0</v>
      </c>
      <c r="DQ5">
        <f t="shared" ref="DQ5" si="30">($C5*AG5)/100</f>
        <v>0</v>
      </c>
      <c r="DR5">
        <f t="shared" ref="DR5" si="31">($C5*AH5)/100</f>
        <v>0</v>
      </c>
      <c r="DS5">
        <f t="shared" ref="DS5" si="32">($C5*AI5)/100</f>
        <v>0</v>
      </c>
      <c r="DT5">
        <f t="shared" ref="DT5" si="33">($C5*AJ5)/100</f>
        <v>2.0000000000000001E-4</v>
      </c>
      <c r="DU5">
        <f t="shared" ref="DU5" si="34">($C5*AK5)/100</f>
        <v>0.02</v>
      </c>
      <c r="DV5">
        <f t="shared" ref="DV5" si="35">($C5*AL5)/100</f>
        <v>2.0000000000000001E-4</v>
      </c>
      <c r="DW5">
        <f t="shared" ref="DW5" si="36">($C5*AM5)/100</f>
        <v>2E-3</v>
      </c>
      <c r="DX5">
        <f t="shared" ref="DX5" si="37">($C5*AN5)/100</f>
        <v>0</v>
      </c>
      <c r="DY5">
        <f t="shared" ref="DY5" si="38">($C5*AO5)/100</f>
        <v>1.44</v>
      </c>
      <c r="DZ5">
        <f t="shared" ref="DZ5" si="39">($C5*AP5)/100</f>
        <v>0</v>
      </c>
      <c r="EA5">
        <f t="shared" ref="EA5" si="40">($C5*AQ5)/100</f>
        <v>8.64</v>
      </c>
      <c r="EB5">
        <f t="shared" ref="EB5" si="41">($C5*AR5)/100</f>
        <v>0.85680000000000012</v>
      </c>
      <c r="EC5">
        <f t="shared" ref="EC5" si="42">($C5*AS5)/100</f>
        <v>0</v>
      </c>
      <c r="ED5">
        <f t="shared" ref="ED5" si="43">($C5*AT5)/100</f>
        <v>2.2999999999999998</v>
      </c>
      <c r="EE5">
        <f t="shared" ref="EE5" si="44">($C5*AU5)/100</f>
        <v>0.57840000000000003</v>
      </c>
      <c r="EF5">
        <f t="shared" ref="EF5" si="45">($C5*AV5)/100</f>
        <v>0</v>
      </c>
      <c r="EG5">
        <f t="shared" ref="EG5" si="46">($C5*AW5)/100</f>
        <v>0</v>
      </c>
      <c r="EH5">
        <f t="shared" ref="EH5" si="47">($C5*AX5)/100</f>
        <v>0</v>
      </c>
      <c r="EI5">
        <f t="shared" ref="EI5" si="48">($C5*AY5)/100</f>
        <v>0.42560000000000003</v>
      </c>
      <c r="EJ5">
        <f t="shared" ref="EJ5" si="49">($C5*AZ5)/100</f>
        <v>0.12240000000000001</v>
      </c>
      <c r="EK5">
        <f t="shared" ref="EK5" si="50">($C5*BA5)/100</f>
        <v>3.04E-2</v>
      </c>
      <c r="EL5">
        <f t="shared" ref="EL5" si="51">($C5*BB5)/100</f>
        <v>0</v>
      </c>
      <c r="EM5">
        <f t="shared" ref="EM5" si="52">($C5*BC5)/100</f>
        <v>2.9180000000000001</v>
      </c>
      <c r="EN5">
        <f t="shared" ref="EN5" si="53">($C5*BD5)/100</f>
        <v>0</v>
      </c>
      <c r="EO5">
        <f t="shared" ref="EO5" si="54">($C5*BE5)/100</f>
        <v>3.1600000000000003E-2</v>
      </c>
      <c r="EP5">
        <f t="shared" ref="EP5" si="55">($C5*BF5)/100</f>
        <v>2.8748</v>
      </c>
      <c r="EQ5">
        <f t="shared" ref="EQ5" si="56">($C5*BG5)/100</f>
        <v>1.1599999999999999E-2</v>
      </c>
      <c r="ER5">
        <f t="shared" ref="ER5" si="57">($C5*BH5)/100</f>
        <v>0</v>
      </c>
      <c r="ES5">
        <f t="shared" ref="ES5" si="58">($C5*BI5)/100</f>
        <v>0.30079999999999996</v>
      </c>
      <c r="ET5">
        <f t="shared" ref="ET5" si="59">($C5*BJ5)/100</f>
        <v>0.27160000000000001</v>
      </c>
      <c r="EU5">
        <f t="shared" ref="EU5" si="60">($C5*BK5)/100</f>
        <v>2.92E-2</v>
      </c>
      <c r="EV5">
        <f t="shared" ref="EV5" si="61">($C5*BL5)/100</f>
        <v>0</v>
      </c>
      <c r="EW5">
        <f t="shared" ref="EW5" si="62">($C5*BM5)/100</f>
        <v>0</v>
      </c>
      <c r="EX5">
        <f t="shared" ref="EX5" si="63">($C5*BN5)/100</f>
        <v>0</v>
      </c>
      <c r="EY5">
        <f t="shared" ref="EY5" si="64">($C5*BO5)/100</f>
        <v>0</v>
      </c>
      <c r="EZ5">
        <f t="shared" ref="EZ5" si="65">($C5*BP5)/100</f>
        <v>0</v>
      </c>
      <c r="FA5">
        <f t="shared" ref="FA5" si="66">($C5*BQ5)/100</f>
        <v>0</v>
      </c>
      <c r="FB5">
        <f t="shared" ref="FB5" si="67">($C5*BR5)/100</f>
        <v>0</v>
      </c>
      <c r="FC5">
        <f t="shared" ref="FC5" si="68">($C5*BS5)/100</f>
        <v>0</v>
      </c>
      <c r="FD5">
        <f t="shared" ref="FD5" si="69">($C5*BT5)/100</f>
        <v>0</v>
      </c>
      <c r="FE5">
        <f t="shared" ref="FE5" si="70">($C5*BU5)/100</f>
        <v>0</v>
      </c>
      <c r="FF5">
        <f t="shared" ref="FF5" si="71">($C5*BV5)/100</f>
        <v>0</v>
      </c>
      <c r="FG5">
        <f t="shared" ref="FG5" si="72">($C5*BW5)/100</f>
        <v>0</v>
      </c>
      <c r="FH5">
        <f t="shared" ref="FH5" si="73">($C5*BX5)/100</f>
        <v>0</v>
      </c>
      <c r="FI5">
        <f t="shared" ref="FI5" si="74">($C5*BY5)/100</f>
        <v>0</v>
      </c>
      <c r="FJ5">
        <f t="shared" ref="FJ5" si="75">($C5*BZ5)/100</f>
        <v>0</v>
      </c>
      <c r="FK5">
        <f t="shared" ref="FK5" si="76">($C5*CA5)/100</f>
        <v>0</v>
      </c>
      <c r="FL5">
        <f t="shared" ref="FL5" si="77">($C5*CB5)/100</f>
        <v>0</v>
      </c>
      <c r="FM5">
        <f t="shared" ref="FM5" si="78">($C5*CC5)/100</f>
        <v>0</v>
      </c>
      <c r="FN5">
        <f t="shared" ref="FN5" si="79">($C5*CD5)/100</f>
        <v>0</v>
      </c>
      <c r="FO5">
        <f t="shared" ref="FO5" si="80">($C5*CE5)/100</f>
        <v>0</v>
      </c>
      <c r="FP5">
        <f t="shared" ref="FP5" si="81">($C5*CF5)/100</f>
        <v>0</v>
      </c>
      <c r="FQ5">
        <f t="shared" ref="FQ5" si="82">($C5*CG5)/100</f>
        <v>0</v>
      </c>
      <c r="FR5">
        <f t="shared" ref="FR5" si="83">($C5*CH5)/100</f>
        <v>0</v>
      </c>
      <c r="FS5">
        <f t="shared" ref="FS5" si="84">($C5*CI5)/100</f>
        <v>0</v>
      </c>
      <c r="FT5">
        <f t="shared" ref="FT5" si="85">($C5*CJ5)/100</f>
        <v>0</v>
      </c>
      <c r="FU5">
        <f t="shared" ref="FU5" si="86">($C5*CK5)/100</f>
        <v>0</v>
      </c>
      <c r="FV5">
        <f t="shared" ref="FV5" si="87">($C5*CL5)/100</f>
        <v>0</v>
      </c>
      <c r="FW5">
        <f t="shared" ref="FW5" si="88">($C5*CM5)/100</f>
        <v>0</v>
      </c>
    </row>
    <row r="6" spans="1:179" x14ac:dyDescent="0.35">
      <c r="C6">
        <f>SUM(C4:C5)</f>
        <v>100</v>
      </c>
      <c r="CN6">
        <f>SUM(CN4:CN5)</f>
        <v>112.75999999999999</v>
      </c>
      <c r="CO6">
        <f t="shared" ref="CO6:EZ6" si="89">SUM(CO4:CO5)</f>
        <v>474.24</v>
      </c>
      <c r="CP6">
        <f t="shared" si="89"/>
        <v>2.016</v>
      </c>
      <c r="CQ6">
        <f t="shared" si="89"/>
        <v>0</v>
      </c>
      <c r="CR6">
        <f t="shared" si="89"/>
        <v>2.016</v>
      </c>
      <c r="CS6">
        <f t="shared" si="89"/>
        <v>4.0920000000000005</v>
      </c>
      <c r="CT6">
        <f t="shared" si="89"/>
        <v>0</v>
      </c>
      <c r="CU6">
        <f t="shared" si="89"/>
        <v>4.0920000000000005</v>
      </c>
      <c r="CV6">
        <f t="shared" si="89"/>
        <v>0</v>
      </c>
      <c r="CW6">
        <f t="shared" si="89"/>
        <v>17.28</v>
      </c>
      <c r="CX6">
        <f t="shared" si="89"/>
        <v>16.896000000000001</v>
      </c>
      <c r="CY6">
        <f t="shared" si="89"/>
        <v>0.38400000000000006</v>
      </c>
      <c r="CZ6">
        <f t="shared" si="89"/>
        <v>1.5360000000000003</v>
      </c>
      <c r="DA6">
        <f t="shared" si="89"/>
        <v>0</v>
      </c>
      <c r="DB6">
        <f t="shared" si="89"/>
        <v>75.36</v>
      </c>
      <c r="DC6">
        <f t="shared" si="89"/>
        <v>0.58399999999999996</v>
      </c>
      <c r="DD6">
        <f t="shared" si="89"/>
        <v>9.6</v>
      </c>
      <c r="DE6">
        <f t="shared" si="89"/>
        <v>6.7399999999999993</v>
      </c>
      <c r="DF6">
        <f t="shared" si="89"/>
        <v>547.22</v>
      </c>
      <c r="DG6">
        <f t="shared" si="89"/>
        <v>51.84</v>
      </c>
      <c r="DH6">
        <f t="shared" si="89"/>
        <v>0.25940000000000002</v>
      </c>
      <c r="DI6">
        <f t="shared" si="89"/>
        <v>0.02</v>
      </c>
      <c r="DJ6">
        <f t="shared" si="89"/>
        <v>4.0000000000000002E-4</v>
      </c>
      <c r="DK6">
        <f t="shared" si="89"/>
        <v>2E-3</v>
      </c>
      <c r="DL6">
        <f t="shared" si="89"/>
        <v>0.02</v>
      </c>
      <c r="DM6">
        <f t="shared" si="89"/>
        <v>0.02</v>
      </c>
      <c r="DN6">
        <f t="shared" si="89"/>
        <v>2.0000000000000001E-4</v>
      </c>
      <c r="DO6">
        <f t="shared" si="89"/>
        <v>0.02</v>
      </c>
      <c r="DP6">
        <f t="shared" si="89"/>
        <v>9.6000000000000016E-2</v>
      </c>
      <c r="DQ6">
        <f t="shared" si="89"/>
        <v>3.8399999999999997E-2</v>
      </c>
      <c r="DR6">
        <f t="shared" si="89"/>
        <v>14.4</v>
      </c>
      <c r="DS6">
        <f t="shared" si="89"/>
        <v>2.4</v>
      </c>
      <c r="DT6">
        <f t="shared" si="89"/>
        <v>0.42259999999999998</v>
      </c>
      <c r="DU6">
        <f t="shared" si="89"/>
        <v>33.620000000000005</v>
      </c>
      <c r="DV6">
        <f t="shared" si="89"/>
        <v>2.0000000000000001E-4</v>
      </c>
      <c r="DW6">
        <f t="shared" si="89"/>
        <v>2E-3</v>
      </c>
      <c r="DX6">
        <f t="shared" si="89"/>
        <v>0</v>
      </c>
      <c r="DY6">
        <f t="shared" si="89"/>
        <v>4.32</v>
      </c>
      <c r="DZ6">
        <f t="shared" si="89"/>
        <v>0</v>
      </c>
      <c r="EA6">
        <f t="shared" si="89"/>
        <v>25.92</v>
      </c>
      <c r="EB6">
        <f t="shared" si="89"/>
        <v>0.9144000000000001</v>
      </c>
      <c r="EC6">
        <f t="shared" si="89"/>
        <v>0</v>
      </c>
      <c r="ED6">
        <f t="shared" si="89"/>
        <v>2.2999999999999998</v>
      </c>
      <c r="EE6">
        <f t="shared" si="89"/>
        <v>0.60720000000000007</v>
      </c>
      <c r="EF6">
        <f t="shared" si="89"/>
        <v>0</v>
      </c>
      <c r="EG6">
        <f t="shared" si="89"/>
        <v>0</v>
      </c>
      <c r="EH6">
        <f t="shared" si="89"/>
        <v>0</v>
      </c>
      <c r="EI6">
        <f t="shared" si="89"/>
        <v>0.42560000000000003</v>
      </c>
      <c r="EJ6">
        <f t="shared" si="89"/>
        <v>0.12240000000000001</v>
      </c>
      <c r="EK6">
        <f t="shared" si="89"/>
        <v>3.04E-2</v>
      </c>
      <c r="EL6">
        <f t="shared" si="89"/>
        <v>0</v>
      </c>
      <c r="EM6">
        <f t="shared" si="89"/>
        <v>2.9276</v>
      </c>
      <c r="EN6">
        <f t="shared" si="89"/>
        <v>0</v>
      </c>
      <c r="EO6">
        <f t="shared" si="89"/>
        <v>3.1600000000000003E-2</v>
      </c>
      <c r="EP6">
        <f t="shared" si="89"/>
        <v>2.8843999999999999</v>
      </c>
      <c r="EQ6">
        <f t="shared" si="89"/>
        <v>1.1599999999999999E-2</v>
      </c>
      <c r="ER6">
        <f t="shared" si="89"/>
        <v>0</v>
      </c>
      <c r="ES6">
        <f t="shared" si="89"/>
        <v>0.31039999999999995</v>
      </c>
      <c r="ET6">
        <f t="shared" si="89"/>
        <v>0.28120000000000001</v>
      </c>
      <c r="EU6">
        <f t="shared" si="89"/>
        <v>3.4000000000000002E-2</v>
      </c>
      <c r="EV6">
        <f t="shared" si="89"/>
        <v>0</v>
      </c>
      <c r="EW6">
        <f t="shared" si="89"/>
        <v>0</v>
      </c>
      <c r="EX6">
        <f t="shared" si="89"/>
        <v>0</v>
      </c>
      <c r="EY6">
        <f t="shared" si="89"/>
        <v>0</v>
      </c>
      <c r="EZ6">
        <f t="shared" si="89"/>
        <v>26.88</v>
      </c>
      <c r="FA6">
        <f t="shared" ref="FA6:FW6" si="90">SUM(FA4:FA5)</f>
        <v>79.680000000000007</v>
      </c>
      <c r="FB6">
        <f t="shared" si="90"/>
        <v>88.32</v>
      </c>
      <c r="FC6">
        <f t="shared" si="90"/>
        <v>117.12</v>
      </c>
      <c r="FD6">
        <f t="shared" si="90"/>
        <v>110.4</v>
      </c>
      <c r="FE6">
        <f t="shared" si="90"/>
        <v>32.64</v>
      </c>
      <c r="FF6">
        <f t="shared" si="90"/>
        <v>21.12</v>
      </c>
      <c r="FG6">
        <f t="shared" si="90"/>
        <v>89.28</v>
      </c>
      <c r="FH6">
        <f t="shared" si="90"/>
        <v>58.56</v>
      </c>
      <c r="FI6">
        <f t="shared" si="90"/>
        <v>111.36</v>
      </c>
      <c r="FJ6">
        <f t="shared" si="90"/>
        <v>99.84</v>
      </c>
      <c r="FK6">
        <f t="shared" si="90"/>
        <v>34.56</v>
      </c>
      <c r="FL6">
        <f t="shared" si="90"/>
        <v>88.32</v>
      </c>
      <c r="FM6">
        <f t="shared" si="90"/>
        <v>320.64</v>
      </c>
      <c r="FN6">
        <f t="shared" si="90"/>
        <v>334.08</v>
      </c>
      <c r="FO6">
        <f t="shared" si="90"/>
        <v>55.68</v>
      </c>
      <c r="FP6">
        <f t="shared" si="90"/>
        <v>72.959999999999994</v>
      </c>
      <c r="FQ6">
        <f t="shared" si="90"/>
        <v>72.959999999999994</v>
      </c>
      <c r="FR6">
        <f t="shared" si="90"/>
        <v>0</v>
      </c>
      <c r="FS6">
        <f t="shared" si="90"/>
        <v>0</v>
      </c>
      <c r="FT6">
        <f t="shared" si="90"/>
        <v>0</v>
      </c>
      <c r="FU6">
        <f t="shared" si="90"/>
        <v>0</v>
      </c>
      <c r="FV6">
        <f t="shared" si="90"/>
        <v>0</v>
      </c>
      <c r="FW6">
        <f t="shared" si="90"/>
        <v>0</v>
      </c>
    </row>
    <row r="8" spans="1:179" x14ac:dyDescent="0.35">
      <c r="A8" s="80" t="s">
        <v>213</v>
      </c>
      <c r="B8" s="72" t="s">
        <v>215</v>
      </c>
      <c r="C8">
        <v>85</v>
      </c>
      <c r="D8" s="75">
        <v>255</v>
      </c>
      <c r="E8" s="75">
        <v>1075</v>
      </c>
      <c r="F8" s="76">
        <v>12.1</v>
      </c>
      <c r="G8" s="76">
        <v>4.3600000000000003</v>
      </c>
      <c r="H8" s="76">
        <v>7.74</v>
      </c>
      <c r="I8" s="76">
        <v>7.6</v>
      </c>
      <c r="J8" s="76">
        <v>3.47</v>
      </c>
      <c r="K8" s="76">
        <v>4.13</v>
      </c>
      <c r="L8" s="76">
        <v>9</v>
      </c>
      <c r="M8" s="76">
        <v>35.5</v>
      </c>
      <c r="N8" s="76">
        <v>33</v>
      </c>
      <c r="O8" s="76">
        <v>2.5</v>
      </c>
      <c r="P8" s="76">
        <v>2.5</v>
      </c>
      <c r="Q8" s="76">
        <v>0</v>
      </c>
      <c r="R8" s="76">
        <v>41</v>
      </c>
      <c r="S8" s="77">
        <v>1.5</v>
      </c>
      <c r="T8" s="76">
        <v>122</v>
      </c>
      <c r="U8" s="76">
        <v>775</v>
      </c>
      <c r="V8" s="76">
        <v>209</v>
      </c>
      <c r="W8" s="76">
        <v>40</v>
      </c>
      <c r="X8" s="76">
        <v>0.67</v>
      </c>
      <c r="Y8" s="76">
        <v>60</v>
      </c>
      <c r="Z8" s="76">
        <v>56.48</v>
      </c>
      <c r="AA8" s="76">
        <v>2.2999999999999998</v>
      </c>
      <c r="AB8" s="76">
        <v>459</v>
      </c>
      <c r="AC8" s="76">
        <v>1</v>
      </c>
      <c r="AD8" s="76">
        <v>0.36</v>
      </c>
      <c r="AE8" s="76">
        <v>93</v>
      </c>
      <c r="AF8" s="76">
        <v>0.16</v>
      </c>
      <c r="AG8" s="76">
        <v>0.13</v>
      </c>
      <c r="AH8" s="76">
        <v>2</v>
      </c>
      <c r="AI8" s="76">
        <v>1.2</v>
      </c>
      <c r="AJ8" s="76">
        <v>0.12</v>
      </c>
      <c r="AK8" s="76">
        <v>31</v>
      </c>
      <c r="AL8" s="76">
        <v>0.24</v>
      </c>
      <c r="AM8" s="76">
        <v>2.9</v>
      </c>
      <c r="AN8" s="76">
        <v>0.3</v>
      </c>
      <c r="AO8" s="76">
        <v>40</v>
      </c>
      <c r="AP8" s="76">
        <v>36</v>
      </c>
      <c r="AQ8" s="76">
        <v>25</v>
      </c>
      <c r="AR8" s="76">
        <v>1.87</v>
      </c>
      <c r="AS8" s="76">
        <v>0.04</v>
      </c>
      <c r="AT8" s="76">
        <v>3</v>
      </c>
      <c r="AU8" s="76">
        <v>2.67</v>
      </c>
      <c r="AV8" s="76">
        <v>0.31</v>
      </c>
      <c r="AW8" s="76">
        <v>0.1</v>
      </c>
      <c r="AX8" s="76">
        <v>0.36</v>
      </c>
      <c r="AY8" s="76">
        <v>1.44</v>
      </c>
      <c r="AZ8" s="76">
        <v>0.46</v>
      </c>
      <c r="BA8" s="76">
        <v>0.01</v>
      </c>
      <c r="BB8" s="76">
        <v>0</v>
      </c>
      <c r="BC8" s="76">
        <v>3.77</v>
      </c>
      <c r="BD8" s="76">
        <v>7.0000000000000007E-2</v>
      </c>
      <c r="BE8" s="76">
        <v>0.13</v>
      </c>
      <c r="BF8" s="76">
        <v>3.57</v>
      </c>
      <c r="BG8" s="76">
        <v>0</v>
      </c>
      <c r="BH8" s="76">
        <v>0</v>
      </c>
      <c r="BI8" s="76">
        <v>0.63</v>
      </c>
      <c r="BJ8" s="76">
        <v>0.53</v>
      </c>
      <c r="BK8" s="76">
        <v>0.09</v>
      </c>
      <c r="BL8" s="76">
        <v>0</v>
      </c>
      <c r="BM8" s="76">
        <v>0</v>
      </c>
      <c r="BN8" s="76">
        <v>0</v>
      </c>
      <c r="BO8" s="76">
        <v>0</v>
      </c>
      <c r="BP8" s="75">
        <v>115.98768083279674</v>
      </c>
      <c r="BQ8" s="75">
        <v>362.47395256492803</v>
      </c>
      <c r="BR8" s="75">
        <v>405.16391607641117</v>
      </c>
      <c r="BS8" s="75">
        <v>854.30493024254133</v>
      </c>
      <c r="BT8" s="75">
        <v>480.08587465121263</v>
      </c>
      <c r="BU8" s="75">
        <v>248.78472633612364</v>
      </c>
      <c r="BV8" s="75">
        <v>206.00282464048078</v>
      </c>
      <c r="BW8" s="75">
        <v>578.31416291049561</v>
      </c>
      <c r="BX8" s="75">
        <v>448.12969414037332</v>
      </c>
      <c r="BY8" s="75">
        <v>486.23040995921866</v>
      </c>
      <c r="BZ8" s="75">
        <v>414.58757995277949</v>
      </c>
      <c r="CA8" s="75">
        <v>273.50843635973388</v>
      </c>
      <c r="CB8" s="75">
        <v>371.55284825069754</v>
      </c>
      <c r="CC8" s="75">
        <v>701.38874543893519</v>
      </c>
      <c r="CD8" s="75">
        <v>3583.9189718823773</v>
      </c>
      <c r="CE8" s="75">
        <v>350.26915861772909</v>
      </c>
      <c r="CF8" s="75">
        <v>1209.0024447306289</v>
      </c>
      <c r="CG8" s="75">
        <v>578.67425413178785</v>
      </c>
      <c r="CH8" s="76">
        <v>1</v>
      </c>
      <c r="CI8" s="76">
        <v>1</v>
      </c>
      <c r="CJ8" s="76">
        <v>0</v>
      </c>
      <c r="CK8" s="76">
        <v>0.4</v>
      </c>
      <c r="CL8" s="76">
        <v>0.1</v>
      </c>
      <c r="CM8" s="76">
        <v>0.1</v>
      </c>
      <c r="CN8">
        <f>($C8*D8)/100</f>
        <v>216.75</v>
      </c>
      <c r="CO8">
        <f t="shared" ref="CO8" si="91">($C8*E8)/100</f>
        <v>913.75</v>
      </c>
      <c r="CP8">
        <f t="shared" ref="CP8" si="92">($C8*F8)/100</f>
        <v>10.285</v>
      </c>
      <c r="CQ8">
        <f t="shared" ref="CQ8" si="93">($C8*G8)/100</f>
        <v>3.7060000000000004</v>
      </c>
      <c r="CR8">
        <f t="shared" ref="CR8" si="94">($C8*H8)/100</f>
        <v>6.5789999999999997</v>
      </c>
      <c r="CS8">
        <f t="shared" ref="CS8" si="95">($C8*I8)/100</f>
        <v>6.46</v>
      </c>
      <c r="CT8">
        <f t="shared" ref="CT8" si="96">($C8*J8)/100</f>
        <v>2.9495</v>
      </c>
      <c r="CU8">
        <f t="shared" ref="CU8" si="97">($C8*K8)/100</f>
        <v>3.5105</v>
      </c>
      <c r="CV8">
        <f t="shared" ref="CV8" si="98">($C8*L8)/100</f>
        <v>7.65</v>
      </c>
      <c r="CW8">
        <f t="shared" ref="CW8" si="99">($C8*M8)/100</f>
        <v>30.175000000000001</v>
      </c>
      <c r="CX8">
        <f t="shared" ref="CX8" si="100">($C8*N8)/100</f>
        <v>28.05</v>
      </c>
      <c r="CY8">
        <f t="shared" ref="CY8" si="101">($C8*O8)/100</f>
        <v>2.125</v>
      </c>
      <c r="CZ8">
        <f t="shared" ref="CZ8" si="102">($C8*P8)/100</f>
        <v>2.125</v>
      </c>
      <c r="DA8">
        <f t="shared" ref="DA8" si="103">($C8*Q8)/100</f>
        <v>0</v>
      </c>
      <c r="DB8">
        <f t="shared" ref="DB8" si="104">($C8*R8)/100</f>
        <v>34.85</v>
      </c>
      <c r="DC8">
        <f t="shared" ref="DC8" si="105">($C8*S8)/100</f>
        <v>1.2749999999999999</v>
      </c>
      <c r="DD8">
        <f t="shared" ref="DD8" si="106">($C8*T8)/100</f>
        <v>103.7</v>
      </c>
      <c r="DE8">
        <f t="shared" ref="DE8" si="107">($C8*U8)/100</f>
        <v>658.75</v>
      </c>
      <c r="DF8">
        <f t="shared" ref="DF8" si="108">($C8*V8)/100</f>
        <v>177.65</v>
      </c>
      <c r="DG8">
        <f t="shared" ref="DG8" si="109">($C8*W8)/100</f>
        <v>34</v>
      </c>
      <c r="DH8">
        <f t="shared" ref="DH8" si="110">($C8*X8)/100</f>
        <v>0.56950000000000001</v>
      </c>
      <c r="DI8">
        <f t="shared" ref="DI8" si="111">($C8*Y8)/100</f>
        <v>51</v>
      </c>
      <c r="DJ8">
        <f t="shared" ref="DJ8" si="112">($C8*Z8)/100</f>
        <v>48.008000000000003</v>
      </c>
      <c r="DK8">
        <f t="shared" ref="DK8" si="113">($C8*AA8)/100</f>
        <v>1.9549999999999996</v>
      </c>
      <c r="DL8">
        <f t="shared" ref="DL8" si="114">($C8*AB8)/100</f>
        <v>390.15</v>
      </c>
      <c r="DM8">
        <f t="shared" ref="DM8" si="115">($C8*AC8)/100</f>
        <v>0.85</v>
      </c>
      <c r="DN8">
        <f t="shared" ref="DN8" si="116">($C8*AD8)/100</f>
        <v>0.30599999999999999</v>
      </c>
      <c r="DO8">
        <f t="shared" ref="DO8" si="117">($C8*AE8)/100</f>
        <v>79.05</v>
      </c>
      <c r="DP8">
        <f t="shared" ref="DP8" si="118">($C8*AF8)/100</f>
        <v>0.13600000000000001</v>
      </c>
      <c r="DQ8">
        <f t="shared" ref="DQ8" si="119">($C8*AG8)/100</f>
        <v>0.1105</v>
      </c>
      <c r="DR8">
        <f t="shared" ref="DR8" si="120">($C8*AH8)/100</f>
        <v>1.7</v>
      </c>
      <c r="DS8">
        <f t="shared" ref="DS8" si="121">($C8*AI8)/100</f>
        <v>1.02</v>
      </c>
      <c r="DT8">
        <f t="shared" ref="DT8" si="122">($C8*AJ8)/100</f>
        <v>0.10199999999999999</v>
      </c>
      <c r="DU8">
        <f t="shared" ref="DU8" si="123">($C8*AK8)/100</f>
        <v>26.35</v>
      </c>
      <c r="DV8">
        <f t="shared" ref="DV8" si="124">($C8*AL8)/100</f>
        <v>0.20399999999999999</v>
      </c>
      <c r="DW8">
        <f t="shared" ref="DW8" si="125">($C8*AM8)/100</f>
        <v>2.4649999999999999</v>
      </c>
      <c r="DX8">
        <f t="shared" ref="DX8" si="126">($C8*AN8)/100</f>
        <v>0.255</v>
      </c>
      <c r="DY8">
        <f t="shared" ref="DY8" si="127">($C8*AO8)/100</f>
        <v>34</v>
      </c>
      <c r="DZ8">
        <f t="shared" ref="DZ8" si="128">($C8*AP8)/100</f>
        <v>30.6</v>
      </c>
      <c r="EA8">
        <f t="shared" ref="EA8" si="129">($C8*AQ8)/100</f>
        <v>21.25</v>
      </c>
      <c r="EB8">
        <f t="shared" ref="EB8" si="130">($C8*AR8)/100</f>
        <v>1.5895000000000001</v>
      </c>
      <c r="EC8">
        <f t="shared" ref="EC8" si="131">($C8*AS8)/100</f>
        <v>3.4000000000000002E-2</v>
      </c>
      <c r="ED8">
        <f t="shared" ref="ED8" si="132">($C8*AT8)/100</f>
        <v>2.5499999999999998</v>
      </c>
      <c r="EE8">
        <f t="shared" ref="EE8" si="133">($C8*AU8)/100</f>
        <v>2.2694999999999999</v>
      </c>
      <c r="EF8">
        <f t="shared" ref="EF8" si="134">($C8*AV8)/100</f>
        <v>0.26350000000000001</v>
      </c>
      <c r="EG8">
        <f t="shared" ref="EG8" si="135">($C8*AW8)/100</f>
        <v>8.5000000000000006E-2</v>
      </c>
      <c r="EH8">
        <f t="shared" ref="EH8" si="136">($C8*AX8)/100</f>
        <v>0.30599999999999999</v>
      </c>
      <c r="EI8">
        <f t="shared" ref="EI8" si="137">($C8*AY8)/100</f>
        <v>1.224</v>
      </c>
      <c r="EJ8">
        <f t="shared" ref="EJ8" si="138">($C8*AZ8)/100</f>
        <v>0.39100000000000001</v>
      </c>
      <c r="EK8">
        <f t="shared" ref="EK8" si="139">($C8*BA8)/100</f>
        <v>8.5000000000000006E-3</v>
      </c>
      <c r="EL8">
        <f t="shared" ref="EL8" si="140">($C8*BB8)/100</f>
        <v>0</v>
      </c>
      <c r="EM8">
        <f t="shared" ref="EM8" si="141">($C8*BC8)/100</f>
        <v>3.2044999999999999</v>
      </c>
      <c r="EN8">
        <f t="shared" ref="EN8" si="142">($C8*BD8)/100</f>
        <v>5.9500000000000004E-2</v>
      </c>
      <c r="EO8">
        <f t="shared" ref="EO8" si="143">($C8*BE8)/100</f>
        <v>0.1105</v>
      </c>
      <c r="EP8">
        <f t="shared" ref="EP8" si="144">($C8*BF8)/100</f>
        <v>3.0345</v>
      </c>
      <c r="EQ8">
        <f t="shared" ref="EQ8" si="145">($C8*BG8)/100</f>
        <v>0</v>
      </c>
      <c r="ER8">
        <f t="shared" ref="ER8" si="146">($C8*BH8)/100</f>
        <v>0</v>
      </c>
      <c r="ES8">
        <f t="shared" ref="ES8" si="147">($C8*BI8)/100</f>
        <v>0.53549999999999998</v>
      </c>
      <c r="ET8">
        <f t="shared" ref="ET8" si="148">($C8*BJ8)/100</f>
        <v>0.45050000000000007</v>
      </c>
      <c r="EU8">
        <f t="shared" ref="EU8" si="149">($C8*BK8)/100</f>
        <v>7.6499999999999999E-2</v>
      </c>
      <c r="EV8">
        <f t="shared" ref="EV8" si="150">($C8*BL8)/100</f>
        <v>0</v>
      </c>
      <c r="EW8">
        <f t="shared" ref="EW8" si="151">($C8*BM8)/100</f>
        <v>0</v>
      </c>
      <c r="EX8">
        <f t="shared" ref="EX8" si="152">($C8*BN8)/100</f>
        <v>0</v>
      </c>
      <c r="EY8">
        <f t="shared" ref="EY8" si="153">($C8*BO8)/100</f>
        <v>0</v>
      </c>
      <c r="EZ8">
        <f t="shared" ref="EZ8" si="154">($C8*BP8)/100</f>
        <v>98.589528707877236</v>
      </c>
      <c r="FA8">
        <f t="shared" ref="FA8" si="155">($C8*BQ8)/100</f>
        <v>308.10285968018883</v>
      </c>
      <c r="FB8">
        <f t="shared" ref="FB8" si="156">($C8*BR8)/100</f>
        <v>344.38932866494952</v>
      </c>
      <c r="FC8">
        <f t="shared" ref="FC8" si="157">($C8*BS8)/100</f>
        <v>726.15919070616019</v>
      </c>
      <c r="FD8">
        <f t="shared" ref="FD8" si="158">($C8*BT8)/100</f>
        <v>408.07299345353073</v>
      </c>
      <c r="FE8">
        <f t="shared" ref="FE8" si="159">($C8*BU8)/100</f>
        <v>211.46701738570511</v>
      </c>
      <c r="FF8">
        <f t="shared" ref="FF8" si="160">($C8*BV8)/100</f>
        <v>175.10240094440866</v>
      </c>
      <c r="FG8">
        <f t="shared" ref="FG8" si="161">($C8*BW8)/100</f>
        <v>491.56703847392129</v>
      </c>
      <c r="FH8">
        <f t="shared" ref="FH8" si="162">($C8*BX8)/100</f>
        <v>380.91024001931737</v>
      </c>
      <c r="FI8">
        <f t="shared" ref="FI8" si="163">($C8*BY8)/100</f>
        <v>413.29584846533589</v>
      </c>
      <c r="FJ8">
        <f t="shared" ref="FJ8" si="164">($C8*BZ8)/100</f>
        <v>352.3994429598626</v>
      </c>
      <c r="FK8">
        <f t="shared" ref="FK8" si="165">($C8*CA8)/100</f>
        <v>232.48217090577378</v>
      </c>
      <c r="FL8">
        <f t="shared" ref="FL8" si="166">($C8*CB8)/100</f>
        <v>315.81992101309288</v>
      </c>
      <c r="FM8">
        <f t="shared" ref="FM8" si="167">($C8*CC8)/100</f>
        <v>596.18043362309493</v>
      </c>
      <c r="FN8">
        <f t="shared" ref="FN8" si="168">($C8*CD8)/100</f>
        <v>3046.3311261000204</v>
      </c>
      <c r="FO8">
        <f t="shared" ref="FO8" si="169">($C8*CE8)/100</f>
        <v>297.72878482506974</v>
      </c>
      <c r="FP8">
        <f t="shared" ref="FP8" si="170">($C8*CF8)/100</f>
        <v>1027.6520780210346</v>
      </c>
      <c r="FQ8">
        <f t="shared" ref="FQ8" si="171">($C8*CG8)/100</f>
        <v>491.87311601201969</v>
      </c>
      <c r="FR8">
        <f t="shared" ref="FR8" si="172">($C8*CH8)/100</f>
        <v>0.85</v>
      </c>
      <c r="FS8">
        <f t="shared" ref="FS8" si="173">($C8*CI8)/100</f>
        <v>0.85</v>
      </c>
      <c r="FT8">
        <f t="shared" ref="FT8" si="174">($C8*CJ8)/100</f>
        <v>0</v>
      </c>
      <c r="FU8">
        <f t="shared" ref="FU8" si="175">($C8*CK8)/100</f>
        <v>0.34</v>
      </c>
      <c r="FV8">
        <f t="shared" ref="FV8" si="176">($C8*CL8)/100</f>
        <v>8.5000000000000006E-2</v>
      </c>
      <c r="FW8">
        <f t="shared" ref="FW8" si="177">($C8*CM8)/100</f>
        <v>8.5000000000000006E-2</v>
      </c>
    </row>
    <row r="9" spans="1:179" x14ac:dyDescent="0.35">
      <c r="B9" s="36" t="s">
        <v>217</v>
      </c>
      <c r="C9">
        <v>6</v>
      </c>
      <c r="D9" s="6">
        <v>253</v>
      </c>
      <c r="E9" s="6">
        <v>1051</v>
      </c>
      <c r="F9" s="6">
        <v>18.7</v>
      </c>
      <c r="G9" s="6">
        <v>18.7</v>
      </c>
      <c r="H9" s="6">
        <v>0</v>
      </c>
      <c r="I9" s="6">
        <v>19.5</v>
      </c>
      <c r="J9" s="6">
        <v>19.5</v>
      </c>
      <c r="K9" s="6">
        <v>0</v>
      </c>
      <c r="L9" s="6">
        <v>46</v>
      </c>
      <c r="M9" s="6">
        <v>0.7</v>
      </c>
      <c r="N9" s="6">
        <v>0</v>
      </c>
      <c r="O9" s="6">
        <v>0.7</v>
      </c>
      <c r="P9" s="6">
        <v>0</v>
      </c>
      <c r="Q9" s="6">
        <v>0</v>
      </c>
      <c r="R9" s="6">
        <v>58.8</v>
      </c>
      <c r="S9" s="6">
        <v>0.4</v>
      </c>
      <c r="T9" s="6">
        <v>160</v>
      </c>
      <c r="U9" s="6">
        <v>200</v>
      </c>
      <c r="V9" s="6">
        <v>145</v>
      </c>
      <c r="W9" s="6">
        <v>350</v>
      </c>
      <c r="X9" s="6">
        <v>2.6</v>
      </c>
      <c r="Y9" s="6">
        <v>10</v>
      </c>
      <c r="Z9" s="51">
        <v>5.0000000000000001E-3</v>
      </c>
      <c r="AA9" s="6">
        <v>3</v>
      </c>
      <c r="AB9" s="6">
        <v>813</v>
      </c>
      <c r="AC9" s="6">
        <v>4</v>
      </c>
      <c r="AD9" s="51">
        <v>5.0000000000000001E-3</v>
      </c>
      <c r="AE9" s="6">
        <v>110</v>
      </c>
      <c r="AF9" s="6">
        <v>0.03</v>
      </c>
      <c r="AG9" s="6">
        <v>0.27</v>
      </c>
      <c r="AH9" s="6">
        <v>0</v>
      </c>
      <c r="AI9" s="6">
        <v>0.4</v>
      </c>
      <c r="AJ9" s="6">
        <v>7.0000000000000007E-2</v>
      </c>
      <c r="AK9" s="6">
        <v>16</v>
      </c>
      <c r="AL9" s="6">
        <v>0.21</v>
      </c>
      <c r="AM9" s="6">
        <v>1.8</v>
      </c>
      <c r="AN9" s="6">
        <v>1.7</v>
      </c>
      <c r="AO9" s="6">
        <v>205</v>
      </c>
      <c r="AP9" s="6">
        <v>183</v>
      </c>
      <c r="AQ9" s="6">
        <v>130</v>
      </c>
      <c r="AR9" s="6">
        <v>0.39</v>
      </c>
      <c r="AS9" s="6">
        <v>0.12</v>
      </c>
      <c r="AT9" s="6">
        <v>2.2999999999999998</v>
      </c>
      <c r="AU9" s="6">
        <v>11.429</v>
      </c>
      <c r="AV9" s="6">
        <v>1.7330000000000001</v>
      </c>
      <c r="AW9" s="6">
        <v>0.59599999999999997</v>
      </c>
      <c r="AX9" s="6">
        <v>2.004</v>
      </c>
      <c r="AY9" s="6">
        <v>4.9829999999999997</v>
      </c>
      <c r="AZ9" s="6">
        <v>2.113</v>
      </c>
      <c r="BA9" s="6">
        <v>0</v>
      </c>
      <c r="BB9" s="6">
        <v>0</v>
      </c>
      <c r="BC9" s="6">
        <v>5.9580000000000002</v>
      </c>
      <c r="BD9" s="6">
        <v>0.379</v>
      </c>
      <c r="BE9" s="6">
        <v>0.54200000000000004</v>
      </c>
      <c r="BF9" s="6">
        <v>5.0380000000000003</v>
      </c>
      <c r="BG9" s="6">
        <v>0</v>
      </c>
      <c r="BH9" s="6">
        <v>0</v>
      </c>
      <c r="BI9" s="6">
        <v>0.65</v>
      </c>
      <c r="BJ9" s="6">
        <v>0.379</v>
      </c>
      <c r="BK9" s="6">
        <v>0.27100000000000002</v>
      </c>
      <c r="BL9" s="6">
        <v>0</v>
      </c>
      <c r="BM9" s="6">
        <v>0</v>
      </c>
      <c r="BN9" s="6">
        <v>0</v>
      </c>
      <c r="BO9" s="6">
        <v>0</v>
      </c>
      <c r="BP9" s="7">
        <v>180</v>
      </c>
      <c r="BQ9" s="7">
        <v>540</v>
      </c>
      <c r="BR9" s="7">
        <v>480</v>
      </c>
      <c r="BS9" s="7">
        <v>1400</v>
      </c>
      <c r="BT9" s="7">
        <v>1200</v>
      </c>
      <c r="BU9" s="7">
        <v>570</v>
      </c>
      <c r="BV9" s="7">
        <v>140</v>
      </c>
      <c r="BW9" s="7">
        <v>820</v>
      </c>
      <c r="BX9" s="7">
        <v>880</v>
      </c>
      <c r="BY9" s="7">
        <v>630</v>
      </c>
      <c r="BZ9" s="7">
        <v>550</v>
      </c>
      <c r="CA9" s="7">
        <v>460</v>
      </c>
      <c r="CB9" s="7">
        <v>530</v>
      </c>
      <c r="CC9" s="7">
        <v>1150</v>
      </c>
      <c r="CD9" s="7">
        <v>3000</v>
      </c>
      <c r="CE9" s="7">
        <v>330</v>
      </c>
      <c r="CF9" s="7">
        <v>1650</v>
      </c>
      <c r="CG9" s="7">
        <v>900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0.7</v>
      </c>
      <c r="CN9">
        <f t="shared" ref="CN9:CN12" si="178">($C9*D9)/100</f>
        <v>15.18</v>
      </c>
      <c r="CO9">
        <f t="shared" ref="CO9:CO12" si="179">($C9*E9)/100</f>
        <v>63.06</v>
      </c>
      <c r="CP9">
        <f t="shared" ref="CP9:CP12" si="180">($C9*F9)/100</f>
        <v>1.1219999999999999</v>
      </c>
      <c r="CQ9">
        <f t="shared" ref="CQ9:CQ12" si="181">($C9*G9)/100</f>
        <v>1.1219999999999999</v>
      </c>
      <c r="CR9">
        <f t="shared" ref="CR9:CR12" si="182">($C9*H9)/100</f>
        <v>0</v>
      </c>
      <c r="CS9">
        <f t="shared" ref="CS9:CS12" si="183">($C9*I9)/100</f>
        <v>1.17</v>
      </c>
      <c r="CT9">
        <f t="shared" ref="CT9:CT12" si="184">($C9*J9)/100</f>
        <v>1.17</v>
      </c>
      <c r="CU9">
        <f t="shared" ref="CU9:CU12" si="185">($C9*K9)/100</f>
        <v>0</v>
      </c>
      <c r="CV9">
        <f t="shared" ref="CV9:CV12" si="186">($C9*L9)/100</f>
        <v>2.76</v>
      </c>
      <c r="CW9">
        <f t="shared" ref="CW9:CW12" si="187">($C9*M9)/100</f>
        <v>4.1999999999999996E-2</v>
      </c>
      <c r="CX9">
        <f t="shared" ref="CX9:CX12" si="188">($C9*N9)/100</f>
        <v>0</v>
      </c>
      <c r="CY9">
        <f t="shared" ref="CY9:CY12" si="189">($C9*O9)/100</f>
        <v>4.1999999999999996E-2</v>
      </c>
      <c r="CZ9">
        <f t="shared" ref="CZ9:CZ12" si="190">($C9*P9)/100</f>
        <v>0</v>
      </c>
      <c r="DA9">
        <f t="shared" ref="DA9:DA12" si="191">($C9*Q9)/100</f>
        <v>0</v>
      </c>
      <c r="DB9">
        <f t="shared" ref="DB9:DB12" si="192">($C9*R9)/100</f>
        <v>3.5279999999999996</v>
      </c>
      <c r="DC9">
        <f t="shared" ref="DC9:DC12" si="193">($C9*S9)/100</f>
        <v>2.4000000000000004E-2</v>
      </c>
      <c r="DD9">
        <f t="shared" ref="DD9:DD12" si="194">($C9*T9)/100</f>
        <v>9.6</v>
      </c>
      <c r="DE9">
        <f t="shared" ref="DE9:DE12" si="195">($C9*U9)/100</f>
        <v>12</v>
      </c>
      <c r="DF9">
        <f t="shared" ref="DF9:DF12" si="196">($C9*V9)/100</f>
        <v>8.6999999999999993</v>
      </c>
      <c r="DG9">
        <f t="shared" ref="DG9:DG12" si="197">($C9*W9)/100</f>
        <v>21</v>
      </c>
      <c r="DH9">
        <f t="shared" ref="DH9:DH12" si="198">($C9*X9)/100</f>
        <v>0.15600000000000003</v>
      </c>
      <c r="DI9">
        <f t="shared" ref="DI9:DI12" si="199">($C9*Y9)/100</f>
        <v>0.6</v>
      </c>
      <c r="DJ9">
        <f t="shared" ref="DJ9:DJ12" si="200">($C9*Z9)/100</f>
        <v>2.9999999999999997E-4</v>
      </c>
      <c r="DK9">
        <f t="shared" ref="DK9:DK12" si="201">($C9*AA9)/100</f>
        <v>0.18</v>
      </c>
      <c r="DL9">
        <f t="shared" ref="DL9:DL12" si="202">($C9*AB9)/100</f>
        <v>48.78</v>
      </c>
      <c r="DM9">
        <f t="shared" ref="DM9:DM12" si="203">($C9*AC9)/100</f>
        <v>0.24</v>
      </c>
      <c r="DN9">
        <f t="shared" ref="DN9:DN12" si="204">($C9*AD9)/100</f>
        <v>2.9999999999999997E-4</v>
      </c>
      <c r="DO9">
        <f t="shared" ref="DO9:DO12" si="205">($C9*AE9)/100</f>
        <v>6.6</v>
      </c>
      <c r="DP9">
        <f t="shared" ref="DP9:DP12" si="206">($C9*AF9)/100</f>
        <v>1.8E-3</v>
      </c>
      <c r="DQ9">
        <f t="shared" ref="DQ9:DQ12" si="207">($C9*AG9)/100</f>
        <v>1.6200000000000003E-2</v>
      </c>
      <c r="DR9">
        <f t="shared" ref="DR9:DR12" si="208">($C9*AH9)/100</f>
        <v>0</v>
      </c>
      <c r="DS9">
        <f t="shared" ref="DS9:DS12" si="209">($C9*AI9)/100</f>
        <v>2.4000000000000004E-2</v>
      </c>
      <c r="DT9">
        <f t="shared" ref="DT9:DT12" si="210">($C9*AJ9)/100</f>
        <v>4.2000000000000006E-3</v>
      </c>
      <c r="DU9">
        <f t="shared" ref="DU9:DU12" si="211">($C9*AK9)/100</f>
        <v>0.96</v>
      </c>
      <c r="DV9">
        <f t="shared" ref="DV9:DV12" si="212">($C9*AL9)/100</f>
        <v>1.26E-2</v>
      </c>
      <c r="DW9">
        <f t="shared" ref="DW9:DW12" si="213">($C9*AM9)/100</f>
        <v>0.10800000000000001</v>
      </c>
      <c r="DX9">
        <f t="shared" ref="DX9:DX12" si="214">($C9*AN9)/100</f>
        <v>0.10199999999999999</v>
      </c>
      <c r="DY9">
        <f t="shared" ref="DY9:DY12" si="215">($C9*AO9)/100</f>
        <v>12.3</v>
      </c>
      <c r="DZ9">
        <f t="shared" ref="DZ9:DZ12" si="216">($C9*AP9)/100</f>
        <v>10.98</v>
      </c>
      <c r="EA9">
        <f t="shared" ref="EA9:EA12" si="217">($C9*AQ9)/100</f>
        <v>7.8</v>
      </c>
      <c r="EB9">
        <f t="shared" ref="EB9:EB12" si="218">($C9*AR9)/100</f>
        <v>2.3399999999999997E-2</v>
      </c>
      <c r="EC9">
        <f t="shared" ref="EC9:EC12" si="219">($C9*AS9)/100</f>
        <v>7.1999999999999998E-3</v>
      </c>
      <c r="ED9">
        <f t="shared" ref="ED9:ED12" si="220">($C9*AT9)/100</f>
        <v>0.13799999999999998</v>
      </c>
      <c r="EE9">
        <f t="shared" ref="EE9:EE12" si="221">($C9*AU9)/100</f>
        <v>0.68574000000000002</v>
      </c>
      <c r="EF9">
        <f t="shared" ref="EF9:EF12" si="222">($C9*AV9)/100</f>
        <v>0.10398</v>
      </c>
      <c r="EG9">
        <f t="shared" ref="EG9:EG12" si="223">($C9*AW9)/100</f>
        <v>3.5759999999999993E-2</v>
      </c>
      <c r="EH9">
        <f t="shared" ref="EH9:EH12" si="224">($C9*AX9)/100</f>
        <v>0.12024000000000001</v>
      </c>
      <c r="EI9">
        <f t="shared" ref="EI9:EI12" si="225">($C9*AY9)/100</f>
        <v>0.29897999999999997</v>
      </c>
      <c r="EJ9">
        <f t="shared" ref="EJ9:EJ12" si="226">($C9*AZ9)/100</f>
        <v>0.12678</v>
      </c>
      <c r="EK9">
        <f t="shared" ref="EK9:EK12" si="227">($C9*BA9)/100</f>
        <v>0</v>
      </c>
      <c r="EL9">
        <f t="shared" ref="EL9:EL12" si="228">($C9*BB9)/100</f>
        <v>0</v>
      </c>
      <c r="EM9">
        <f t="shared" ref="EM9:EM12" si="229">($C9*BC9)/100</f>
        <v>0.35748000000000002</v>
      </c>
      <c r="EN9">
        <f t="shared" ref="EN9:EN12" si="230">($C9*BD9)/100</f>
        <v>2.274E-2</v>
      </c>
      <c r="EO9">
        <f t="shared" ref="EO9:EO12" si="231">($C9*BE9)/100</f>
        <v>3.252E-2</v>
      </c>
      <c r="EP9">
        <f t="shared" ref="EP9:EP12" si="232">($C9*BF9)/100</f>
        <v>0.30227999999999999</v>
      </c>
      <c r="EQ9">
        <f t="shared" ref="EQ9:EQ12" si="233">($C9*BG9)/100</f>
        <v>0</v>
      </c>
      <c r="ER9">
        <f t="shared" ref="ER9:ER12" si="234">($C9*BH9)/100</f>
        <v>0</v>
      </c>
      <c r="ES9">
        <f t="shared" ref="ES9:ES12" si="235">($C9*BI9)/100</f>
        <v>3.9000000000000007E-2</v>
      </c>
      <c r="ET9">
        <f t="shared" ref="ET9:ET12" si="236">($C9*BJ9)/100</f>
        <v>2.274E-2</v>
      </c>
      <c r="EU9">
        <f t="shared" ref="EU9:EU12" si="237">($C9*BK9)/100</f>
        <v>1.626E-2</v>
      </c>
      <c r="EV9">
        <f t="shared" ref="EV9:EV12" si="238">($C9*BL9)/100</f>
        <v>0</v>
      </c>
      <c r="EW9">
        <f t="shared" ref="EW9:EW12" si="239">($C9*BM9)/100</f>
        <v>0</v>
      </c>
      <c r="EX9">
        <f t="shared" ref="EX9:EX12" si="240">($C9*BN9)/100</f>
        <v>0</v>
      </c>
      <c r="EY9">
        <f t="shared" ref="EY9:EY12" si="241">($C9*BO9)/100</f>
        <v>0</v>
      </c>
      <c r="EZ9">
        <f t="shared" ref="EZ9:EZ12" si="242">($C9*BP9)/100</f>
        <v>10.8</v>
      </c>
      <c r="FA9">
        <f t="shared" ref="FA9:FA12" si="243">($C9*BQ9)/100</f>
        <v>32.4</v>
      </c>
      <c r="FB9">
        <f t="shared" ref="FB9:FB12" si="244">($C9*BR9)/100</f>
        <v>28.8</v>
      </c>
      <c r="FC9">
        <f t="shared" ref="FC9:FC12" si="245">($C9*BS9)/100</f>
        <v>84</v>
      </c>
      <c r="FD9">
        <f t="shared" ref="FD9:FD12" si="246">($C9*BT9)/100</f>
        <v>72</v>
      </c>
      <c r="FE9">
        <f t="shared" ref="FE9:FE12" si="247">($C9*BU9)/100</f>
        <v>34.200000000000003</v>
      </c>
      <c r="FF9">
        <f t="shared" ref="FF9:FF12" si="248">($C9*BV9)/100</f>
        <v>8.4</v>
      </c>
      <c r="FG9">
        <f t="shared" ref="FG9:FG12" si="249">($C9*BW9)/100</f>
        <v>49.2</v>
      </c>
      <c r="FH9">
        <f t="shared" ref="FH9:FH12" si="250">($C9*BX9)/100</f>
        <v>52.8</v>
      </c>
      <c r="FI9">
        <f t="shared" ref="FI9:FI12" si="251">($C9*BY9)/100</f>
        <v>37.799999999999997</v>
      </c>
      <c r="FJ9">
        <f t="shared" ref="FJ9:FJ12" si="252">($C9*BZ9)/100</f>
        <v>33</v>
      </c>
      <c r="FK9">
        <f t="shared" ref="FK9:FK12" si="253">($C9*CA9)/100</f>
        <v>27.6</v>
      </c>
      <c r="FL9">
        <f t="shared" ref="FL9:FL12" si="254">($C9*CB9)/100</f>
        <v>31.8</v>
      </c>
      <c r="FM9">
        <f t="shared" ref="FM9:FM12" si="255">($C9*CC9)/100</f>
        <v>69</v>
      </c>
      <c r="FN9">
        <f t="shared" ref="FN9:FN12" si="256">($C9*CD9)/100</f>
        <v>180</v>
      </c>
      <c r="FO9">
        <f t="shared" ref="FO9:FO12" si="257">($C9*CE9)/100</f>
        <v>19.8</v>
      </c>
      <c r="FP9">
        <f t="shared" ref="FP9:FP12" si="258">($C9*CF9)/100</f>
        <v>99</v>
      </c>
      <c r="FQ9">
        <f t="shared" ref="FQ9:FQ12" si="259">($C9*CG9)/100</f>
        <v>54</v>
      </c>
      <c r="FR9">
        <f t="shared" ref="FR9:FR12" si="260">($C9*CH9)/100</f>
        <v>0</v>
      </c>
      <c r="FS9">
        <f t="shared" ref="FS9:FS12" si="261">($C9*CI9)/100</f>
        <v>0</v>
      </c>
      <c r="FT9">
        <f t="shared" ref="FT9:FT12" si="262">($C9*CJ9)/100</f>
        <v>0</v>
      </c>
      <c r="FU9">
        <f t="shared" ref="FU9:FU12" si="263">($C9*CK9)/100</f>
        <v>0</v>
      </c>
      <c r="FV9">
        <f t="shared" ref="FV9:FV12" si="264">($C9*CL9)/100</f>
        <v>0</v>
      </c>
      <c r="FW9">
        <f t="shared" ref="FW9:FW12" si="265">($C9*CM9)/100</f>
        <v>4.1999999999999996E-2</v>
      </c>
    </row>
    <row r="10" spans="1:179" x14ac:dyDescent="0.35">
      <c r="B10" s="72" t="s">
        <v>216</v>
      </c>
      <c r="C10">
        <v>3</v>
      </c>
      <c r="D10" s="54">
        <v>324</v>
      </c>
      <c r="E10" s="54">
        <v>1343</v>
      </c>
      <c r="F10" s="54">
        <v>19.100000000000001</v>
      </c>
      <c r="G10" s="54">
        <v>19.100000000000001</v>
      </c>
      <c r="H10" s="54">
        <v>0</v>
      </c>
      <c r="I10" s="54">
        <v>27.1</v>
      </c>
      <c r="J10" s="54">
        <v>27.1</v>
      </c>
      <c r="K10" s="54">
        <v>0</v>
      </c>
      <c r="L10" s="54">
        <v>70</v>
      </c>
      <c r="M10" s="54">
        <v>1</v>
      </c>
      <c r="N10" s="54">
        <v>0</v>
      </c>
      <c r="O10" s="54">
        <v>1</v>
      </c>
      <c r="P10" s="54">
        <v>0</v>
      </c>
      <c r="Q10" s="54">
        <v>0</v>
      </c>
      <c r="R10" s="54">
        <v>50.8</v>
      </c>
      <c r="S10" s="54">
        <v>0.3</v>
      </c>
      <c r="T10" s="54">
        <v>401</v>
      </c>
      <c r="U10" s="54">
        <v>600</v>
      </c>
      <c r="V10" s="54">
        <v>111</v>
      </c>
      <c r="W10" s="54">
        <v>326</v>
      </c>
      <c r="X10" s="54">
        <v>2.81</v>
      </c>
      <c r="Y10" s="54">
        <v>20</v>
      </c>
      <c r="Z10" s="51">
        <v>5.0000000000000001E-3</v>
      </c>
      <c r="AA10" s="54">
        <v>7</v>
      </c>
      <c r="AB10" s="54">
        <v>1310</v>
      </c>
      <c r="AC10" s="54">
        <v>46</v>
      </c>
      <c r="AD10" s="51">
        <v>5.0000000000000001E-3</v>
      </c>
      <c r="AE10" s="54">
        <v>230</v>
      </c>
      <c r="AF10" s="54">
        <v>0.01</v>
      </c>
      <c r="AG10" s="54">
        <v>0.18</v>
      </c>
      <c r="AH10" s="54">
        <v>0</v>
      </c>
      <c r="AI10" s="54">
        <v>0.9</v>
      </c>
      <c r="AJ10" s="54">
        <v>7.0000000000000007E-2</v>
      </c>
      <c r="AK10" s="54">
        <v>52</v>
      </c>
      <c r="AL10" s="54">
        <v>0.23</v>
      </c>
      <c r="AM10" s="54">
        <v>2.9</v>
      </c>
      <c r="AN10" s="54">
        <v>1.3</v>
      </c>
      <c r="AO10" s="54">
        <v>190</v>
      </c>
      <c r="AP10" s="54">
        <v>175</v>
      </c>
      <c r="AQ10" s="54">
        <v>88</v>
      </c>
      <c r="AR10" s="54">
        <v>0.52</v>
      </c>
      <c r="AS10" s="54">
        <v>0.24</v>
      </c>
      <c r="AT10" s="55">
        <v>2.4</v>
      </c>
      <c r="AU10" s="54">
        <v>13.1</v>
      </c>
      <c r="AV10" s="54">
        <v>1.91</v>
      </c>
      <c r="AW10" s="54">
        <v>0.59</v>
      </c>
      <c r="AX10" s="54">
        <v>2.0299999999999998</v>
      </c>
      <c r="AY10" s="54">
        <v>5.64</v>
      </c>
      <c r="AZ10" s="54">
        <v>2.93</v>
      </c>
      <c r="BA10" s="54">
        <v>0</v>
      </c>
      <c r="BB10" s="54">
        <v>0</v>
      </c>
      <c r="BC10" s="54">
        <v>7.1</v>
      </c>
      <c r="BD10" s="54">
        <v>0</v>
      </c>
      <c r="BE10" s="54">
        <v>0.74</v>
      </c>
      <c r="BF10" s="54">
        <v>6.36</v>
      </c>
      <c r="BG10" s="54">
        <v>0</v>
      </c>
      <c r="BH10" s="54">
        <v>0</v>
      </c>
      <c r="BI10" s="54">
        <v>0.73</v>
      </c>
      <c r="BJ10" s="54">
        <v>0.45</v>
      </c>
      <c r="BK10" s="54">
        <v>0.28000000000000003</v>
      </c>
      <c r="BL10" s="54">
        <v>0</v>
      </c>
      <c r="BM10" s="54">
        <v>0</v>
      </c>
      <c r="BN10" s="54">
        <v>0</v>
      </c>
      <c r="BO10" s="54">
        <v>0</v>
      </c>
      <c r="BP10" s="56">
        <v>210</v>
      </c>
      <c r="BQ10" s="56">
        <v>710</v>
      </c>
      <c r="BR10" s="56">
        <v>900</v>
      </c>
      <c r="BS10" s="56">
        <v>1530</v>
      </c>
      <c r="BT10" s="56">
        <v>1390</v>
      </c>
      <c r="BU10" s="56">
        <v>600</v>
      </c>
      <c r="BV10" s="56">
        <v>140</v>
      </c>
      <c r="BW10" s="56">
        <v>920</v>
      </c>
      <c r="BX10" s="56">
        <v>1030</v>
      </c>
      <c r="BY10" s="56">
        <v>1060</v>
      </c>
      <c r="BZ10" s="56">
        <v>530</v>
      </c>
      <c r="CA10" s="56">
        <v>490</v>
      </c>
      <c r="CB10" s="56">
        <v>600</v>
      </c>
      <c r="CC10" s="56">
        <v>1390</v>
      </c>
      <c r="CD10" s="56">
        <v>3160</v>
      </c>
      <c r="CE10" s="56">
        <v>360</v>
      </c>
      <c r="CF10" s="56">
        <v>1800</v>
      </c>
      <c r="CG10" s="56">
        <v>930</v>
      </c>
      <c r="CH10" s="54">
        <v>0</v>
      </c>
      <c r="CI10" s="54">
        <v>0</v>
      </c>
      <c r="CJ10" s="54">
        <v>0</v>
      </c>
      <c r="CK10" s="54">
        <v>0</v>
      </c>
      <c r="CL10" s="54">
        <v>0</v>
      </c>
      <c r="CM10" s="54">
        <v>1</v>
      </c>
      <c r="CN10">
        <f t="shared" si="178"/>
        <v>9.7200000000000006</v>
      </c>
      <c r="CO10">
        <f t="shared" si="179"/>
        <v>40.29</v>
      </c>
      <c r="CP10">
        <f t="shared" si="180"/>
        <v>0.57300000000000006</v>
      </c>
      <c r="CQ10">
        <f t="shared" si="181"/>
        <v>0.57300000000000006</v>
      </c>
      <c r="CR10">
        <f t="shared" si="182"/>
        <v>0</v>
      </c>
      <c r="CS10">
        <f t="shared" si="183"/>
        <v>0.81300000000000017</v>
      </c>
      <c r="CT10">
        <f t="shared" si="184"/>
        <v>0.81300000000000017</v>
      </c>
      <c r="CU10">
        <f t="shared" si="185"/>
        <v>0</v>
      </c>
      <c r="CV10">
        <f t="shared" si="186"/>
        <v>2.1</v>
      </c>
      <c r="CW10">
        <f t="shared" si="187"/>
        <v>0.03</v>
      </c>
      <c r="CX10">
        <f t="shared" si="188"/>
        <v>0</v>
      </c>
      <c r="CY10">
        <f t="shared" si="189"/>
        <v>0.03</v>
      </c>
      <c r="CZ10">
        <f t="shared" si="190"/>
        <v>0</v>
      </c>
      <c r="DA10">
        <f t="shared" si="191"/>
        <v>0</v>
      </c>
      <c r="DB10">
        <f t="shared" si="192"/>
        <v>1.5239999999999998</v>
      </c>
      <c r="DC10">
        <f t="shared" si="193"/>
        <v>8.9999999999999993E-3</v>
      </c>
      <c r="DD10">
        <f t="shared" si="194"/>
        <v>12.03</v>
      </c>
      <c r="DE10">
        <f t="shared" si="195"/>
        <v>18</v>
      </c>
      <c r="DF10">
        <f t="shared" si="196"/>
        <v>3.33</v>
      </c>
      <c r="DG10">
        <f t="shared" si="197"/>
        <v>9.7799999999999994</v>
      </c>
      <c r="DH10">
        <f t="shared" si="198"/>
        <v>8.43E-2</v>
      </c>
      <c r="DI10">
        <f t="shared" si="199"/>
        <v>0.6</v>
      </c>
      <c r="DJ10">
        <f t="shared" si="200"/>
        <v>1.4999999999999999E-4</v>
      </c>
      <c r="DK10">
        <f t="shared" si="201"/>
        <v>0.21</v>
      </c>
      <c r="DL10">
        <f t="shared" si="202"/>
        <v>39.299999999999997</v>
      </c>
      <c r="DM10">
        <f t="shared" si="203"/>
        <v>1.38</v>
      </c>
      <c r="DN10">
        <f t="shared" si="204"/>
        <v>1.4999999999999999E-4</v>
      </c>
      <c r="DO10">
        <f t="shared" si="205"/>
        <v>6.9</v>
      </c>
      <c r="DP10">
        <f t="shared" si="206"/>
        <v>2.9999999999999997E-4</v>
      </c>
      <c r="DQ10">
        <f t="shared" si="207"/>
        <v>5.4000000000000003E-3</v>
      </c>
      <c r="DR10">
        <f t="shared" si="208"/>
        <v>0</v>
      </c>
      <c r="DS10">
        <f t="shared" si="209"/>
        <v>2.7000000000000003E-2</v>
      </c>
      <c r="DT10">
        <f t="shared" si="210"/>
        <v>2.1000000000000003E-3</v>
      </c>
      <c r="DU10">
        <f t="shared" si="211"/>
        <v>1.56</v>
      </c>
      <c r="DV10">
        <f t="shared" si="212"/>
        <v>6.9000000000000008E-3</v>
      </c>
      <c r="DW10">
        <f t="shared" si="213"/>
        <v>8.6999999999999994E-2</v>
      </c>
      <c r="DX10">
        <f t="shared" si="214"/>
        <v>3.9000000000000007E-2</v>
      </c>
      <c r="DY10">
        <f t="shared" si="215"/>
        <v>5.7</v>
      </c>
      <c r="DZ10">
        <f t="shared" si="216"/>
        <v>5.25</v>
      </c>
      <c r="EA10">
        <f t="shared" si="217"/>
        <v>2.64</v>
      </c>
      <c r="EB10">
        <f t="shared" si="218"/>
        <v>1.5600000000000001E-2</v>
      </c>
      <c r="EC10">
        <f t="shared" si="219"/>
        <v>7.1999999999999998E-3</v>
      </c>
      <c r="ED10">
        <f t="shared" si="220"/>
        <v>7.1999999999999995E-2</v>
      </c>
      <c r="EE10">
        <f t="shared" si="221"/>
        <v>0.39299999999999996</v>
      </c>
      <c r="EF10">
        <f t="shared" si="222"/>
        <v>5.7299999999999997E-2</v>
      </c>
      <c r="EG10">
        <f t="shared" si="223"/>
        <v>1.77E-2</v>
      </c>
      <c r="EH10">
        <f t="shared" si="224"/>
        <v>6.0899999999999996E-2</v>
      </c>
      <c r="EI10">
        <f t="shared" si="225"/>
        <v>0.16919999999999999</v>
      </c>
      <c r="EJ10">
        <f t="shared" si="226"/>
        <v>8.7900000000000006E-2</v>
      </c>
      <c r="EK10">
        <f t="shared" si="227"/>
        <v>0</v>
      </c>
      <c r="EL10">
        <f t="shared" si="228"/>
        <v>0</v>
      </c>
      <c r="EM10">
        <f t="shared" si="229"/>
        <v>0.21299999999999997</v>
      </c>
      <c r="EN10">
        <f t="shared" si="230"/>
        <v>0</v>
      </c>
      <c r="EO10">
        <f t="shared" si="231"/>
        <v>2.2199999999999998E-2</v>
      </c>
      <c r="EP10">
        <f t="shared" si="232"/>
        <v>0.19080000000000003</v>
      </c>
      <c r="EQ10">
        <f t="shared" si="233"/>
        <v>0</v>
      </c>
      <c r="ER10">
        <f t="shared" si="234"/>
        <v>0</v>
      </c>
      <c r="ES10">
        <f t="shared" si="235"/>
        <v>2.1899999999999999E-2</v>
      </c>
      <c r="ET10">
        <f t="shared" si="236"/>
        <v>1.3500000000000002E-2</v>
      </c>
      <c r="EU10">
        <f t="shared" si="237"/>
        <v>8.4000000000000012E-3</v>
      </c>
      <c r="EV10">
        <f t="shared" si="238"/>
        <v>0</v>
      </c>
      <c r="EW10">
        <f t="shared" si="239"/>
        <v>0</v>
      </c>
      <c r="EX10">
        <f t="shared" si="240"/>
        <v>0</v>
      </c>
      <c r="EY10">
        <f t="shared" si="241"/>
        <v>0</v>
      </c>
      <c r="EZ10">
        <f t="shared" si="242"/>
        <v>6.3</v>
      </c>
      <c r="FA10">
        <f t="shared" si="243"/>
        <v>21.3</v>
      </c>
      <c r="FB10">
        <f t="shared" si="244"/>
        <v>27</v>
      </c>
      <c r="FC10">
        <f t="shared" si="245"/>
        <v>45.9</v>
      </c>
      <c r="FD10">
        <f t="shared" si="246"/>
        <v>41.7</v>
      </c>
      <c r="FE10">
        <f t="shared" si="247"/>
        <v>18</v>
      </c>
      <c r="FF10">
        <f t="shared" si="248"/>
        <v>4.2</v>
      </c>
      <c r="FG10">
        <f t="shared" si="249"/>
        <v>27.6</v>
      </c>
      <c r="FH10">
        <f t="shared" si="250"/>
        <v>30.9</v>
      </c>
      <c r="FI10">
        <f t="shared" si="251"/>
        <v>31.8</v>
      </c>
      <c r="FJ10">
        <f t="shared" si="252"/>
        <v>15.9</v>
      </c>
      <c r="FK10">
        <f t="shared" si="253"/>
        <v>14.7</v>
      </c>
      <c r="FL10">
        <f t="shared" si="254"/>
        <v>18</v>
      </c>
      <c r="FM10">
        <f t="shared" si="255"/>
        <v>41.7</v>
      </c>
      <c r="FN10">
        <f t="shared" si="256"/>
        <v>94.8</v>
      </c>
      <c r="FO10">
        <f t="shared" si="257"/>
        <v>10.8</v>
      </c>
      <c r="FP10">
        <f t="shared" si="258"/>
        <v>54</v>
      </c>
      <c r="FQ10">
        <f t="shared" si="259"/>
        <v>27.9</v>
      </c>
      <c r="FR10">
        <f t="shared" si="260"/>
        <v>0</v>
      </c>
      <c r="FS10">
        <f t="shared" si="261"/>
        <v>0</v>
      </c>
      <c r="FT10">
        <f t="shared" si="262"/>
        <v>0</v>
      </c>
      <c r="FU10">
        <f t="shared" si="263"/>
        <v>0</v>
      </c>
      <c r="FV10">
        <f t="shared" si="264"/>
        <v>0</v>
      </c>
      <c r="FW10">
        <f t="shared" si="265"/>
        <v>0.03</v>
      </c>
    </row>
    <row r="11" spans="1:179" x14ac:dyDescent="0.35">
      <c r="B11" s="72" t="s">
        <v>218</v>
      </c>
      <c r="C11">
        <v>3</v>
      </c>
      <c r="D11" s="54">
        <v>334</v>
      </c>
      <c r="E11" s="54">
        <v>1388</v>
      </c>
      <c r="F11" s="54">
        <v>25</v>
      </c>
      <c r="G11" s="54">
        <v>25</v>
      </c>
      <c r="H11" s="54">
        <v>0</v>
      </c>
      <c r="I11" s="54">
        <v>25.6</v>
      </c>
      <c r="J11" s="54">
        <v>25.6</v>
      </c>
      <c r="K11" s="54">
        <v>0</v>
      </c>
      <c r="L11" s="54">
        <v>101</v>
      </c>
      <c r="M11" s="54">
        <v>1</v>
      </c>
      <c r="N11" s="54">
        <v>0</v>
      </c>
      <c r="O11" s="54">
        <v>1</v>
      </c>
      <c r="P11" s="54">
        <v>0</v>
      </c>
      <c r="Q11" s="54">
        <v>0</v>
      </c>
      <c r="R11" s="54">
        <v>44.9</v>
      </c>
      <c r="S11" s="54">
        <v>0.3</v>
      </c>
      <c r="T11" s="54">
        <v>512</v>
      </c>
      <c r="U11" s="54">
        <v>699</v>
      </c>
      <c r="V11" s="54">
        <v>108</v>
      </c>
      <c r="W11" s="54">
        <v>299</v>
      </c>
      <c r="X11" s="54">
        <v>3.4</v>
      </c>
      <c r="Y11" s="54">
        <v>10</v>
      </c>
      <c r="Z11" s="54">
        <v>0.23</v>
      </c>
      <c r="AA11" s="54">
        <v>3</v>
      </c>
      <c r="AB11" s="54">
        <v>990</v>
      </c>
      <c r="AC11" s="54">
        <v>4</v>
      </c>
      <c r="AD11" s="51">
        <v>5.0000000000000001E-3</v>
      </c>
      <c r="AE11" s="54">
        <v>110</v>
      </c>
      <c r="AF11" s="54">
        <v>0.02</v>
      </c>
      <c r="AG11" s="54">
        <v>0.32</v>
      </c>
      <c r="AH11" s="51">
        <v>0.5</v>
      </c>
      <c r="AI11" s="54">
        <v>0.6</v>
      </c>
      <c r="AJ11" s="54">
        <v>0.09</v>
      </c>
      <c r="AK11" s="54">
        <v>19</v>
      </c>
      <c r="AL11" s="54">
        <v>0.25</v>
      </c>
      <c r="AM11" s="54">
        <v>2.21</v>
      </c>
      <c r="AN11" s="54">
        <v>2.1</v>
      </c>
      <c r="AO11" s="54">
        <v>363</v>
      </c>
      <c r="AP11" s="54">
        <v>335</v>
      </c>
      <c r="AQ11" s="54">
        <v>167</v>
      </c>
      <c r="AR11" s="54">
        <v>0.48</v>
      </c>
      <c r="AS11" s="54">
        <v>0.16</v>
      </c>
      <c r="AT11" s="52">
        <v>2.2000000000000002</v>
      </c>
      <c r="AU11" s="54">
        <v>15.004</v>
      </c>
      <c r="AV11" s="54">
        <v>2.2759999999999998</v>
      </c>
      <c r="AW11" s="54">
        <v>0.78200000000000003</v>
      </c>
      <c r="AX11" s="54">
        <v>2.6309999999999998</v>
      </c>
      <c r="AY11" s="54">
        <v>6.5419999999999998</v>
      </c>
      <c r="AZ11" s="54">
        <v>2.7730000000000001</v>
      </c>
      <c r="BA11" s="54">
        <v>0</v>
      </c>
      <c r="BB11" s="54">
        <v>0</v>
      </c>
      <c r="BC11" s="54">
        <v>7.8220000000000001</v>
      </c>
      <c r="BD11" s="54">
        <v>0.498</v>
      </c>
      <c r="BE11" s="54">
        <v>0.71099999999999997</v>
      </c>
      <c r="BF11" s="54">
        <v>6.6130000000000004</v>
      </c>
      <c r="BG11" s="54">
        <v>0</v>
      </c>
      <c r="BH11" s="54">
        <v>0</v>
      </c>
      <c r="BI11" s="54">
        <v>0.85299999999999998</v>
      </c>
      <c r="BJ11" s="54">
        <v>0.498</v>
      </c>
      <c r="BK11" s="54">
        <v>0.35599999999999998</v>
      </c>
      <c r="BL11" s="54">
        <v>0</v>
      </c>
      <c r="BM11" s="54">
        <v>0</v>
      </c>
      <c r="BN11" s="54">
        <v>0</v>
      </c>
      <c r="BO11" s="54">
        <v>0</v>
      </c>
      <c r="BP11" s="56">
        <v>241</v>
      </c>
      <c r="BQ11" s="56">
        <v>722</v>
      </c>
      <c r="BR11" s="56">
        <v>642</v>
      </c>
      <c r="BS11" s="56">
        <v>1872</v>
      </c>
      <c r="BT11" s="56">
        <v>1604</v>
      </c>
      <c r="BU11" s="56">
        <v>762</v>
      </c>
      <c r="BV11" s="56">
        <v>187</v>
      </c>
      <c r="BW11" s="56">
        <v>1096</v>
      </c>
      <c r="BX11" s="56">
        <v>1176</v>
      </c>
      <c r="BY11" s="56">
        <v>842</v>
      </c>
      <c r="BZ11" s="56">
        <v>735</v>
      </c>
      <c r="CA11" s="56">
        <v>615</v>
      </c>
      <c r="CB11" s="56">
        <v>709</v>
      </c>
      <c r="CC11" s="56">
        <v>1537</v>
      </c>
      <c r="CD11" s="56">
        <v>4011</v>
      </c>
      <c r="CE11" s="56">
        <v>441</v>
      </c>
      <c r="CF11" s="56">
        <v>2206</v>
      </c>
      <c r="CG11" s="56">
        <v>1203</v>
      </c>
      <c r="CH11" s="54">
        <v>0</v>
      </c>
      <c r="CI11" s="54">
        <v>0</v>
      </c>
      <c r="CJ11" s="54">
        <v>0</v>
      </c>
      <c r="CK11" s="54">
        <v>0</v>
      </c>
      <c r="CL11" s="54">
        <v>0</v>
      </c>
      <c r="CM11" s="54">
        <v>1</v>
      </c>
      <c r="CN11">
        <f t="shared" si="178"/>
        <v>10.02</v>
      </c>
      <c r="CO11">
        <f t="shared" si="179"/>
        <v>41.64</v>
      </c>
      <c r="CP11">
        <f t="shared" si="180"/>
        <v>0.75</v>
      </c>
      <c r="CQ11">
        <f t="shared" si="181"/>
        <v>0.75</v>
      </c>
      <c r="CR11">
        <f t="shared" si="182"/>
        <v>0</v>
      </c>
      <c r="CS11">
        <f t="shared" si="183"/>
        <v>0.76800000000000013</v>
      </c>
      <c r="CT11">
        <f t="shared" si="184"/>
        <v>0.76800000000000013</v>
      </c>
      <c r="CU11">
        <f t="shared" si="185"/>
        <v>0</v>
      </c>
      <c r="CV11">
        <f t="shared" si="186"/>
        <v>3.03</v>
      </c>
      <c r="CW11">
        <f t="shared" si="187"/>
        <v>0.03</v>
      </c>
      <c r="CX11">
        <f t="shared" si="188"/>
        <v>0</v>
      </c>
      <c r="CY11">
        <f t="shared" si="189"/>
        <v>0.03</v>
      </c>
      <c r="CZ11">
        <f t="shared" si="190"/>
        <v>0</v>
      </c>
      <c r="DA11">
        <f t="shared" si="191"/>
        <v>0</v>
      </c>
      <c r="DB11">
        <f t="shared" si="192"/>
        <v>1.347</v>
      </c>
      <c r="DC11">
        <f t="shared" si="193"/>
        <v>8.9999999999999993E-3</v>
      </c>
      <c r="DD11">
        <f t="shared" si="194"/>
        <v>15.36</v>
      </c>
      <c r="DE11">
        <f t="shared" si="195"/>
        <v>20.97</v>
      </c>
      <c r="DF11">
        <f t="shared" si="196"/>
        <v>3.24</v>
      </c>
      <c r="DG11">
        <f t="shared" si="197"/>
        <v>8.9700000000000006</v>
      </c>
      <c r="DH11">
        <f t="shared" si="198"/>
        <v>0.10199999999999999</v>
      </c>
      <c r="DI11">
        <f t="shared" si="199"/>
        <v>0.3</v>
      </c>
      <c r="DJ11">
        <f t="shared" si="200"/>
        <v>6.9000000000000008E-3</v>
      </c>
      <c r="DK11">
        <f t="shared" si="201"/>
        <v>0.09</v>
      </c>
      <c r="DL11">
        <f t="shared" si="202"/>
        <v>29.7</v>
      </c>
      <c r="DM11">
        <f t="shared" si="203"/>
        <v>0.12</v>
      </c>
      <c r="DN11">
        <f t="shared" si="204"/>
        <v>1.4999999999999999E-4</v>
      </c>
      <c r="DO11">
        <f t="shared" si="205"/>
        <v>3.3</v>
      </c>
      <c r="DP11">
        <f t="shared" si="206"/>
        <v>5.9999999999999995E-4</v>
      </c>
      <c r="DQ11">
        <f t="shared" si="207"/>
        <v>9.5999999999999992E-3</v>
      </c>
      <c r="DR11">
        <f t="shared" si="208"/>
        <v>1.4999999999999999E-2</v>
      </c>
      <c r="DS11">
        <f t="shared" si="209"/>
        <v>1.7999999999999999E-2</v>
      </c>
      <c r="DT11">
        <f t="shared" si="210"/>
        <v>2.7000000000000001E-3</v>
      </c>
      <c r="DU11">
        <f t="shared" si="211"/>
        <v>0.56999999999999995</v>
      </c>
      <c r="DV11">
        <f t="shared" si="212"/>
        <v>7.4999999999999997E-3</v>
      </c>
      <c r="DW11">
        <f t="shared" si="213"/>
        <v>6.6299999999999998E-2</v>
      </c>
      <c r="DX11">
        <f t="shared" si="214"/>
        <v>6.3E-2</v>
      </c>
      <c r="DY11">
        <f t="shared" si="215"/>
        <v>10.89</v>
      </c>
      <c r="DZ11">
        <f t="shared" si="216"/>
        <v>10.050000000000001</v>
      </c>
      <c r="EA11">
        <f t="shared" si="217"/>
        <v>5.01</v>
      </c>
      <c r="EB11">
        <f t="shared" si="218"/>
        <v>1.44E-2</v>
      </c>
      <c r="EC11">
        <f t="shared" si="219"/>
        <v>4.7999999999999996E-3</v>
      </c>
      <c r="ED11">
        <f t="shared" si="220"/>
        <v>6.6000000000000003E-2</v>
      </c>
      <c r="EE11">
        <f t="shared" si="221"/>
        <v>0.45012000000000002</v>
      </c>
      <c r="EF11">
        <f t="shared" si="222"/>
        <v>6.8279999999999993E-2</v>
      </c>
      <c r="EG11">
        <f t="shared" si="223"/>
        <v>2.3460000000000002E-2</v>
      </c>
      <c r="EH11">
        <f t="shared" si="224"/>
        <v>7.8929999999999986E-2</v>
      </c>
      <c r="EI11">
        <f t="shared" si="225"/>
        <v>0.19625999999999999</v>
      </c>
      <c r="EJ11">
        <f t="shared" si="226"/>
        <v>8.3190000000000014E-2</v>
      </c>
      <c r="EK11">
        <f t="shared" si="227"/>
        <v>0</v>
      </c>
      <c r="EL11">
        <f t="shared" si="228"/>
        <v>0</v>
      </c>
      <c r="EM11">
        <f t="shared" si="229"/>
        <v>0.23466000000000001</v>
      </c>
      <c r="EN11">
        <f t="shared" si="230"/>
        <v>1.494E-2</v>
      </c>
      <c r="EO11">
        <f t="shared" si="231"/>
        <v>2.1330000000000002E-2</v>
      </c>
      <c r="EP11">
        <f t="shared" si="232"/>
        <v>0.19839000000000001</v>
      </c>
      <c r="EQ11">
        <f t="shared" si="233"/>
        <v>0</v>
      </c>
      <c r="ER11">
        <f t="shared" si="234"/>
        <v>0</v>
      </c>
      <c r="ES11">
        <f t="shared" si="235"/>
        <v>2.5590000000000002E-2</v>
      </c>
      <c r="ET11">
        <f t="shared" si="236"/>
        <v>1.494E-2</v>
      </c>
      <c r="EU11">
        <f t="shared" si="237"/>
        <v>1.068E-2</v>
      </c>
      <c r="EV11">
        <f t="shared" si="238"/>
        <v>0</v>
      </c>
      <c r="EW11">
        <f t="shared" si="239"/>
        <v>0</v>
      </c>
      <c r="EX11">
        <f t="shared" si="240"/>
        <v>0</v>
      </c>
      <c r="EY11">
        <f t="shared" si="241"/>
        <v>0</v>
      </c>
      <c r="EZ11">
        <f t="shared" si="242"/>
        <v>7.23</v>
      </c>
      <c r="FA11">
        <f t="shared" si="243"/>
        <v>21.66</v>
      </c>
      <c r="FB11">
        <f t="shared" si="244"/>
        <v>19.260000000000002</v>
      </c>
      <c r="FC11">
        <f t="shared" si="245"/>
        <v>56.16</v>
      </c>
      <c r="FD11">
        <f t="shared" si="246"/>
        <v>48.12</v>
      </c>
      <c r="FE11">
        <f t="shared" si="247"/>
        <v>22.86</v>
      </c>
      <c r="FF11">
        <f t="shared" si="248"/>
        <v>5.61</v>
      </c>
      <c r="FG11">
        <f t="shared" si="249"/>
        <v>32.880000000000003</v>
      </c>
      <c r="FH11">
        <f t="shared" si="250"/>
        <v>35.28</v>
      </c>
      <c r="FI11">
        <f t="shared" si="251"/>
        <v>25.26</v>
      </c>
      <c r="FJ11">
        <f t="shared" si="252"/>
        <v>22.05</v>
      </c>
      <c r="FK11">
        <f t="shared" si="253"/>
        <v>18.45</v>
      </c>
      <c r="FL11">
        <f t="shared" si="254"/>
        <v>21.27</v>
      </c>
      <c r="FM11">
        <f t="shared" si="255"/>
        <v>46.11</v>
      </c>
      <c r="FN11">
        <f t="shared" si="256"/>
        <v>120.33</v>
      </c>
      <c r="FO11">
        <f t="shared" si="257"/>
        <v>13.23</v>
      </c>
      <c r="FP11">
        <f t="shared" si="258"/>
        <v>66.180000000000007</v>
      </c>
      <c r="FQ11">
        <f t="shared" si="259"/>
        <v>36.090000000000003</v>
      </c>
      <c r="FR11">
        <f t="shared" si="260"/>
        <v>0</v>
      </c>
      <c r="FS11">
        <f t="shared" si="261"/>
        <v>0</v>
      </c>
      <c r="FT11">
        <f t="shared" si="262"/>
        <v>0</v>
      </c>
      <c r="FU11">
        <f t="shared" si="263"/>
        <v>0</v>
      </c>
      <c r="FV11">
        <f t="shared" si="264"/>
        <v>0</v>
      </c>
      <c r="FW11">
        <f t="shared" si="265"/>
        <v>0.03</v>
      </c>
    </row>
    <row r="12" spans="1:179" x14ac:dyDescent="0.35">
      <c r="B12" s="72" t="s">
        <v>219</v>
      </c>
      <c r="C12">
        <v>3</v>
      </c>
      <c r="D12" s="54">
        <v>315</v>
      </c>
      <c r="E12" s="54">
        <v>1307</v>
      </c>
      <c r="F12" s="54">
        <v>19</v>
      </c>
      <c r="G12" s="54">
        <v>19</v>
      </c>
      <c r="H12" s="54">
        <v>0</v>
      </c>
      <c r="I12" s="54">
        <v>26.2</v>
      </c>
      <c r="J12" s="54">
        <v>26.2</v>
      </c>
      <c r="K12" s="54">
        <v>0</v>
      </c>
      <c r="L12" s="54">
        <v>90</v>
      </c>
      <c r="M12" s="54">
        <v>0.9</v>
      </c>
      <c r="N12" s="54">
        <v>0</v>
      </c>
      <c r="O12" s="54">
        <v>0.9</v>
      </c>
      <c r="P12" s="54">
        <v>0</v>
      </c>
      <c r="Q12" s="54">
        <v>0</v>
      </c>
      <c r="R12" s="54">
        <v>51.8</v>
      </c>
      <c r="S12" s="54">
        <v>0.1</v>
      </c>
      <c r="T12" s="54">
        <v>433</v>
      </c>
      <c r="U12" s="54">
        <v>873</v>
      </c>
      <c r="V12" s="54">
        <v>89</v>
      </c>
      <c r="W12" s="54">
        <v>328</v>
      </c>
      <c r="X12" s="54">
        <v>2</v>
      </c>
      <c r="Y12" s="54">
        <v>22</v>
      </c>
      <c r="Z12" s="54">
        <v>0.4</v>
      </c>
      <c r="AA12" s="54">
        <v>3</v>
      </c>
      <c r="AB12" s="54">
        <v>1120</v>
      </c>
      <c r="AC12" s="54">
        <v>46</v>
      </c>
      <c r="AD12" s="51">
        <v>5.0000000000000001E-3</v>
      </c>
      <c r="AE12" s="54">
        <v>230</v>
      </c>
      <c r="AF12" s="54">
        <v>0.05</v>
      </c>
      <c r="AG12" s="54">
        <v>0.22</v>
      </c>
      <c r="AH12" s="54">
        <v>0</v>
      </c>
      <c r="AI12" s="54">
        <v>1</v>
      </c>
      <c r="AJ12" s="54">
        <v>0.13</v>
      </c>
      <c r="AK12" s="54">
        <v>102</v>
      </c>
      <c r="AL12" s="54">
        <v>0.36</v>
      </c>
      <c r="AM12" s="54">
        <v>7.6</v>
      </c>
      <c r="AN12" s="54">
        <v>1.1000000000000001</v>
      </c>
      <c r="AO12" s="54">
        <v>450</v>
      </c>
      <c r="AP12" s="54">
        <v>443</v>
      </c>
      <c r="AQ12" s="54">
        <v>46</v>
      </c>
      <c r="AR12" s="54">
        <v>0.62</v>
      </c>
      <c r="AS12" s="54">
        <v>0.18</v>
      </c>
      <c r="AT12" s="55">
        <v>4.5</v>
      </c>
      <c r="AU12" s="54">
        <v>15.356</v>
      </c>
      <c r="AV12" s="54">
        <v>2.3290000000000002</v>
      </c>
      <c r="AW12" s="54">
        <v>0.80100000000000005</v>
      </c>
      <c r="AX12" s="54">
        <v>2.6930000000000001</v>
      </c>
      <c r="AY12" s="54">
        <v>6.6959999999999997</v>
      </c>
      <c r="AZ12" s="54">
        <v>2.8380000000000001</v>
      </c>
      <c r="BA12" s="65">
        <v>0</v>
      </c>
      <c r="BB12" s="65">
        <v>0</v>
      </c>
      <c r="BC12" s="54">
        <v>8.0060000000000002</v>
      </c>
      <c r="BD12" s="54">
        <v>0.50900000000000001</v>
      </c>
      <c r="BE12" s="54">
        <v>0.72799999999999998</v>
      </c>
      <c r="BF12" s="54">
        <v>6.7679999999999998</v>
      </c>
      <c r="BG12" s="54">
        <v>0</v>
      </c>
      <c r="BH12" s="54">
        <v>0</v>
      </c>
      <c r="BI12" s="54">
        <v>0.873</v>
      </c>
      <c r="BJ12" s="54">
        <v>0.50900000000000001</v>
      </c>
      <c r="BK12" s="54">
        <v>0.36399999999999999</v>
      </c>
      <c r="BL12" s="54">
        <v>0</v>
      </c>
      <c r="BM12" s="54">
        <v>0</v>
      </c>
      <c r="BN12" s="54">
        <v>0</v>
      </c>
      <c r="BO12" s="54">
        <v>0</v>
      </c>
      <c r="BP12" s="56">
        <v>229</v>
      </c>
      <c r="BQ12" s="56">
        <v>632</v>
      </c>
      <c r="BR12" s="56">
        <v>955</v>
      </c>
      <c r="BS12" s="56">
        <v>1690</v>
      </c>
      <c r="BT12" s="56">
        <v>1424</v>
      </c>
      <c r="BU12" s="56">
        <v>566</v>
      </c>
      <c r="BV12" s="56">
        <v>88</v>
      </c>
      <c r="BW12" s="56">
        <v>901</v>
      </c>
      <c r="BX12" s="56">
        <v>987</v>
      </c>
      <c r="BY12" s="56">
        <v>1187</v>
      </c>
      <c r="BZ12" s="56">
        <v>667</v>
      </c>
      <c r="CA12" s="56">
        <v>535</v>
      </c>
      <c r="CB12" s="56">
        <v>540</v>
      </c>
      <c r="CC12" s="56">
        <v>1245</v>
      </c>
      <c r="CD12" s="56">
        <v>4151</v>
      </c>
      <c r="CE12" s="56">
        <v>374</v>
      </c>
      <c r="CF12" s="56">
        <v>1742</v>
      </c>
      <c r="CG12" s="56">
        <v>894</v>
      </c>
      <c r="CH12" s="54">
        <v>0</v>
      </c>
      <c r="CI12" s="54">
        <v>0</v>
      </c>
      <c r="CJ12" s="54">
        <v>0</v>
      </c>
      <c r="CK12" s="54">
        <v>0</v>
      </c>
      <c r="CL12" s="54">
        <v>0</v>
      </c>
      <c r="CM12" s="54">
        <v>0.9</v>
      </c>
      <c r="CN12">
        <f t="shared" si="178"/>
        <v>9.4499999999999993</v>
      </c>
      <c r="CO12">
        <f t="shared" si="179"/>
        <v>39.21</v>
      </c>
      <c r="CP12">
        <f t="shared" si="180"/>
        <v>0.56999999999999995</v>
      </c>
      <c r="CQ12">
        <f t="shared" si="181"/>
        <v>0.56999999999999995</v>
      </c>
      <c r="CR12">
        <f t="shared" si="182"/>
        <v>0</v>
      </c>
      <c r="CS12">
        <f t="shared" si="183"/>
        <v>0.78599999999999992</v>
      </c>
      <c r="CT12">
        <f t="shared" si="184"/>
        <v>0.78599999999999992</v>
      </c>
      <c r="CU12">
        <f t="shared" si="185"/>
        <v>0</v>
      </c>
      <c r="CV12">
        <f t="shared" si="186"/>
        <v>2.7</v>
      </c>
      <c r="CW12">
        <f t="shared" si="187"/>
        <v>2.7000000000000003E-2</v>
      </c>
      <c r="CX12">
        <f t="shared" si="188"/>
        <v>0</v>
      </c>
      <c r="CY12">
        <f t="shared" si="189"/>
        <v>2.7000000000000003E-2</v>
      </c>
      <c r="CZ12">
        <f t="shared" si="190"/>
        <v>0</v>
      </c>
      <c r="DA12">
        <f t="shared" si="191"/>
        <v>0</v>
      </c>
      <c r="DB12">
        <f t="shared" si="192"/>
        <v>1.5539999999999998</v>
      </c>
      <c r="DC12">
        <f t="shared" si="193"/>
        <v>3.0000000000000005E-3</v>
      </c>
      <c r="DD12">
        <f t="shared" si="194"/>
        <v>12.99</v>
      </c>
      <c r="DE12">
        <f t="shared" si="195"/>
        <v>26.19</v>
      </c>
      <c r="DF12">
        <f t="shared" si="196"/>
        <v>2.67</v>
      </c>
      <c r="DG12">
        <f t="shared" si="197"/>
        <v>9.84</v>
      </c>
      <c r="DH12">
        <f t="shared" si="198"/>
        <v>0.06</v>
      </c>
      <c r="DI12">
        <f t="shared" si="199"/>
        <v>0.66</v>
      </c>
      <c r="DJ12">
        <f t="shared" si="200"/>
        <v>1.2000000000000002E-2</v>
      </c>
      <c r="DK12">
        <f t="shared" si="201"/>
        <v>0.09</v>
      </c>
      <c r="DL12">
        <f t="shared" si="202"/>
        <v>33.6</v>
      </c>
      <c r="DM12">
        <f t="shared" si="203"/>
        <v>1.38</v>
      </c>
      <c r="DN12">
        <f t="shared" si="204"/>
        <v>1.4999999999999999E-4</v>
      </c>
      <c r="DO12">
        <f t="shared" si="205"/>
        <v>6.9</v>
      </c>
      <c r="DP12">
        <f t="shared" si="206"/>
        <v>1.5000000000000002E-3</v>
      </c>
      <c r="DQ12">
        <f t="shared" si="207"/>
        <v>6.6E-3</v>
      </c>
      <c r="DR12">
        <f t="shared" si="208"/>
        <v>0</v>
      </c>
      <c r="DS12">
        <f t="shared" si="209"/>
        <v>0.03</v>
      </c>
      <c r="DT12">
        <f t="shared" si="210"/>
        <v>3.9000000000000003E-3</v>
      </c>
      <c r="DU12">
        <f t="shared" si="211"/>
        <v>3.06</v>
      </c>
      <c r="DV12">
        <f t="shared" si="212"/>
        <v>1.0800000000000001E-2</v>
      </c>
      <c r="DW12">
        <f t="shared" si="213"/>
        <v>0.22799999999999998</v>
      </c>
      <c r="DX12">
        <f t="shared" si="214"/>
        <v>3.3000000000000002E-2</v>
      </c>
      <c r="DY12">
        <f t="shared" si="215"/>
        <v>13.5</v>
      </c>
      <c r="DZ12">
        <f t="shared" si="216"/>
        <v>13.29</v>
      </c>
      <c r="EA12">
        <f t="shared" si="217"/>
        <v>1.38</v>
      </c>
      <c r="EB12">
        <f t="shared" si="218"/>
        <v>1.8599999999999998E-2</v>
      </c>
      <c r="EC12">
        <f t="shared" si="219"/>
        <v>5.4000000000000003E-3</v>
      </c>
      <c r="ED12">
        <f t="shared" si="220"/>
        <v>0.13500000000000001</v>
      </c>
      <c r="EE12">
        <f t="shared" si="221"/>
        <v>0.46067999999999998</v>
      </c>
      <c r="EF12">
        <f t="shared" si="222"/>
        <v>6.9870000000000002E-2</v>
      </c>
      <c r="EG12">
        <f t="shared" si="223"/>
        <v>2.4029999999999999E-2</v>
      </c>
      <c r="EH12">
        <f t="shared" si="224"/>
        <v>8.0790000000000001E-2</v>
      </c>
      <c r="EI12">
        <f t="shared" si="225"/>
        <v>0.20088</v>
      </c>
      <c r="EJ12">
        <f t="shared" si="226"/>
        <v>8.5139999999999993E-2</v>
      </c>
      <c r="EK12">
        <f t="shared" si="227"/>
        <v>0</v>
      </c>
      <c r="EL12">
        <f t="shared" si="228"/>
        <v>0</v>
      </c>
      <c r="EM12">
        <f t="shared" si="229"/>
        <v>0.24018</v>
      </c>
      <c r="EN12">
        <f t="shared" si="230"/>
        <v>1.5270000000000001E-2</v>
      </c>
      <c r="EO12">
        <f t="shared" si="231"/>
        <v>2.1840000000000002E-2</v>
      </c>
      <c r="EP12">
        <f t="shared" si="232"/>
        <v>0.20304</v>
      </c>
      <c r="EQ12">
        <f t="shared" si="233"/>
        <v>0</v>
      </c>
      <c r="ER12">
        <f t="shared" si="234"/>
        <v>0</v>
      </c>
      <c r="ES12">
        <f t="shared" si="235"/>
        <v>2.6189999999999998E-2</v>
      </c>
      <c r="ET12">
        <f t="shared" si="236"/>
        <v>1.5270000000000001E-2</v>
      </c>
      <c r="EU12">
        <f t="shared" si="237"/>
        <v>1.0920000000000001E-2</v>
      </c>
      <c r="EV12">
        <f t="shared" si="238"/>
        <v>0</v>
      </c>
      <c r="EW12">
        <f t="shared" si="239"/>
        <v>0</v>
      </c>
      <c r="EX12">
        <f t="shared" si="240"/>
        <v>0</v>
      </c>
      <c r="EY12">
        <f t="shared" si="241"/>
        <v>0</v>
      </c>
      <c r="EZ12">
        <f t="shared" si="242"/>
        <v>6.87</v>
      </c>
      <c r="FA12">
        <f t="shared" si="243"/>
        <v>18.96</v>
      </c>
      <c r="FB12">
        <f t="shared" si="244"/>
        <v>28.65</v>
      </c>
      <c r="FC12">
        <f t="shared" si="245"/>
        <v>50.7</v>
      </c>
      <c r="FD12">
        <f t="shared" si="246"/>
        <v>42.72</v>
      </c>
      <c r="FE12">
        <f t="shared" si="247"/>
        <v>16.98</v>
      </c>
      <c r="FF12">
        <f t="shared" si="248"/>
        <v>2.64</v>
      </c>
      <c r="FG12">
        <f t="shared" si="249"/>
        <v>27.03</v>
      </c>
      <c r="FH12">
        <f t="shared" si="250"/>
        <v>29.61</v>
      </c>
      <c r="FI12">
        <f t="shared" si="251"/>
        <v>35.61</v>
      </c>
      <c r="FJ12">
        <f t="shared" si="252"/>
        <v>20.010000000000002</v>
      </c>
      <c r="FK12">
        <f t="shared" si="253"/>
        <v>16.05</v>
      </c>
      <c r="FL12">
        <f t="shared" si="254"/>
        <v>16.2</v>
      </c>
      <c r="FM12">
        <f t="shared" si="255"/>
        <v>37.35</v>
      </c>
      <c r="FN12">
        <f t="shared" si="256"/>
        <v>124.53</v>
      </c>
      <c r="FO12">
        <f t="shared" si="257"/>
        <v>11.22</v>
      </c>
      <c r="FP12">
        <f t="shared" si="258"/>
        <v>52.26</v>
      </c>
      <c r="FQ12">
        <f t="shared" si="259"/>
        <v>26.82</v>
      </c>
      <c r="FR12">
        <f t="shared" si="260"/>
        <v>0</v>
      </c>
      <c r="FS12">
        <f t="shared" si="261"/>
        <v>0</v>
      </c>
      <c r="FT12">
        <f t="shared" si="262"/>
        <v>0</v>
      </c>
      <c r="FU12">
        <f t="shared" si="263"/>
        <v>0</v>
      </c>
      <c r="FV12">
        <f t="shared" si="264"/>
        <v>0</v>
      </c>
      <c r="FW12">
        <f t="shared" si="265"/>
        <v>2.7000000000000003E-2</v>
      </c>
    </row>
    <row r="13" spans="1:179" x14ac:dyDescent="0.35">
      <c r="C13">
        <f>SUM(C8:C12)</f>
        <v>100</v>
      </c>
      <c r="CN13">
        <f>SUM(CN8:CN12)</f>
        <v>261.12</v>
      </c>
      <c r="CO13">
        <f t="shared" ref="CO13:EZ13" si="266">SUM(CO8:CO12)</f>
        <v>1097.95</v>
      </c>
      <c r="CP13">
        <f t="shared" si="266"/>
        <v>13.3</v>
      </c>
      <c r="CQ13">
        <f t="shared" si="266"/>
        <v>6.721000000000001</v>
      </c>
      <c r="CR13">
        <f t="shared" si="266"/>
        <v>6.5789999999999997</v>
      </c>
      <c r="CS13">
        <f t="shared" si="266"/>
        <v>9.9969999999999999</v>
      </c>
      <c r="CT13">
        <f t="shared" si="266"/>
        <v>6.4865000000000004</v>
      </c>
      <c r="CU13">
        <f t="shared" si="266"/>
        <v>3.5105</v>
      </c>
      <c r="CV13">
        <f t="shared" si="266"/>
        <v>18.239999999999998</v>
      </c>
      <c r="CW13">
        <f t="shared" si="266"/>
        <v>30.304000000000006</v>
      </c>
      <c r="CX13">
        <f t="shared" si="266"/>
        <v>28.05</v>
      </c>
      <c r="CY13">
        <f t="shared" si="266"/>
        <v>2.2539999999999996</v>
      </c>
      <c r="CZ13">
        <f t="shared" si="266"/>
        <v>2.125</v>
      </c>
      <c r="DA13">
        <f t="shared" si="266"/>
        <v>0</v>
      </c>
      <c r="DB13">
        <f t="shared" si="266"/>
        <v>42.803000000000004</v>
      </c>
      <c r="DC13">
        <f t="shared" si="266"/>
        <v>1.3199999999999996</v>
      </c>
      <c r="DD13">
        <f t="shared" si="266"/>
        <v>153.68</v>
      </c>
      <c r="DE13">
        <f t="shared" si="266"/>
        <v>735.91000000000008</v>
      </c>
      <c r="DF13">
        <f t="shared" si="266"/>
        <v>195.59</v>
      </c>
      <c r="DG13">
        <f t="shared" si="266"/>
        <v>83.59</v>
      </c>
      <c r="DH13">
        <f t="shared" si="266"/>
        <v>0.9718</v>
      </c>
      <c r="DI13">
        <f t="shared" si="266"/>
        <v>53.16</v>
      </c>
      <c r="DJ13">
        <f t="shared" si="266"/>
        <v>48.027350000000006</v>
      </c>
      <c r="DK13">
        <f t="shared" si="266"/>
        <v>2.5249999999999995</v>
      </c>
      <c r="DL13">
        <f t="shared" si="266"/>
        <v>541.53</v>
      </c>
      <c r="DM13">
        <f t="shared" si="266"/>
        <v>3.9699999999999998</v>
      </c>
      <c r="DN13">
        <f t="shared" si="266"/>
        <v>0.30674999999999997</v>
      </c>
      <c r="DO13">
        <f t="shared" si="266"/>
        <v>102.75</v>
      </c>
      <c r="DP13">
        <f t="shared" si="266"/>
        <v>0.14019999999999999</v>
      </c>
      <c r="DQ13">
        <f t="shared" si="266"/>
        <v>0.14829999999999999</v>
      </c>
      <c r="DR13">
        <f t="shared" si="266"/>
        <v>1.7149999999999999</v>
      </c>
      <c r="DS13">
        <f t="shared" si="266"/>
        <v>1.119</v>
      </c>
      <c r="DT13">
        <f t="shared" si="266"/>
        <v>0.11489999999999999</v>
      </c>
      <c r="DU13">
        <f t="shared" si="266"/>
        <v>32.5</v>
      </c>
      <c r="DV13">
        <f t="shared" si="266"/>
        <v>0.24179999999999999</v>
      </c>
      <c r="DW13">
        <f t="shared" si="266"/>
        <v>2.9542999999999999</v>
      </c>
      <c r="DX13">
        <f t="shared" si="266"/>
        <v>0.49199999999999999</v>
      </c>
      <c r="DY13">
        <f t="shared" si="266"/>
        <v>76.39</v>
      </c>
      <c r="DZ13">
        <f t="shared" si="266"/>
        <v>70.169999999999987</v>
      </c>
      <c r="EA13">
        <f t="shared" si="266"/>
        <v>38.080000000000005</v>
      </c>
      <c r="EB13">
        <f t="shared" si="266"/>
        <v>1.6615000000000002</v>
      </c>
      <c r="EC13">
        <f t="shared" si="266"/>
        <v>5.8599999999999999E-2</v>
      </c>
      <c r="ED13">
        <f t="shared" si="266"/>
        <v>2.9609999999999994</v>
      </c>
      <c r="EE13">
        <f t="shared" si="266"/>
        <v>4.2590399999999997</v>
      </c>
      <c r="EF13">
        <f t="shared" si="266"/>
        <v>0.56293000000000004</v>
      </c>
      <c r="EG13">
        <f t="shared" si="266"/>
        <v>0.18595</v>
      </c>
      <c r="EH13">
        <f t="shared" si="266"/>
        <v>0.64685999999999999</v>
      </c>
      <c r="EI13">
        <f t="shared" si="266"/>
        <v>2.0893200000000003</v>
      </c>
      <c r="EJ13">
        <f t="shared" si="266"/>
        <v>0.77400999999999998</v>
      </c>
      <c r="EK13">
        <f t="shared" si="266"/>
        <v>8.5000000000000006E-3</v>
      </c>
      <c r="EL13">
        <f t="shared" si="266"/>
        <v>0</v>
      </c>
      <c r="EM13">
        <f t="shared" si="266"/>
        <v>4.2498199999999997</v>
      </c>
      <c r="EN13">
        <f t="shared" si="266"/>
        <v>0.11245000000000001</v>
      </c>
      <c r="EO13">
        <f t="shared" si="266"/>
        <v>0.20838999999999999</v>
      </c>
      <c r="EP13">
        <f t="shared" si="266"/>
        <v>3.9290099999999999</v>
      </c>
      <c r="EQ13">
        <f t="shared" si="266"/>
        <v>0</v>
      </c>
      <c r="ER13">
        <f t="shared" si="266"/>
        <v>0</v>
      </c>
      <c r="ES13">
        <f t="shared" si="266"/>
        <v>0.64818000000000009</v>
      </c>
      <c r="ET13">
        <f t="shared" si="266"/>
        <v>0.51695000000000002</v>
      </c>
      <c r="EU13">
        <f t="shared" si="266"/>
        <v>0.12275999999999999</v>
      </c>
      <c r="EV13">
        <f t="shared" si="266"/>
        <v>0</v>
      </c>
      <c r="EW13">
        <f t="shared" si="266"/>
        <v>0</v>
      </c>
      <c r="EX13">
        <f t="shared" si="266"/>
        <v>0</v>
      </c>
      <c r="EY13">
        <f t="shared" si="266"/>
        <v>0</v>
      </c>
      <c r="EZ13">
        <f t="shared" si="266"/>
        <v>129.78952870787722</v>
      </c>
      <c r="FA13">
        <f t="shared" ref="FA13:FV13" si="267">SUM(FA8:FA12)</f>
        <v>402.42285968018882</v>
      </c>
      <c r="FB13">
        <f t="shared" si="267"/>
        <v>448.0993286649495</v>
      </c>
      <c r="FC13">
        <f t="shared" si="267"/>
        <v>962.91919070616018</v>
      </c>
      <c r="FD13">
        <f t="shared" si="267"/>
        <v>612.61299345353075</v>
      </c>
      <c r="FE13">
        <f t="shared" si="267"/>
        <v>303.50701738570513</v>
      </c>
      <c r="FF13">
        <f t="shared" si="267"/>
        <v>195.95240094440865</v>
      </c>
      <c r="FG13">
        <f t="shared" si="267"/>
        <v>628.27703847392127</v>
      </c>
      <c r="FH13">
        <f t="shared" si="267"/>
        <v>529.5002400193174</v>
      </c>
      <c r="FI13">
        <f t="shared" si="267"/>
        <v>543.76584846533592</v>
      </c>
      <c r="FJ13">
        <f t="shared" si="267"/>
        <v>443.35944295986258</v>
      </c>
      <c r="FK13">
        <f t="shared" si="267"/>
        <v>309.2821709057738</v>
      </c>
      <c r="FL13">
        <f t="shared" si="267"/>
        <v>403.08992101309286</v>
      </c>
      <c r="FM13">
        <f t="shared" si="267"/>
        <v>790.34043362309501</v>
      </c>
      <c r="FN13">
        <f t="shared" si="267"/>
        <v>3565.9911261000207</v>
      </c>
      <c r="FO13">
        <f t="shared" si="267"/>
        <v>352.77878482506981</v>
      </c>
      <c r="FP13">
        <f t="shared" si="267"/>
        <v>1299.0920780210347</v>
      </c>
      <c r="FQ13">
        <f t="shared" si="267"/>
        <v>636.6831160120197</v>
      </c>
      <c r="FR13">
        <f t="shared" si="267"/>
        <v>0.85</v>
      </c>
      <c r="FS13">
        <f t="shared" si="267"/>
        <v>0.85</v>
      </c>
      <c r="FT13">
        <f t="shared" si="267"/>
        <v>0</v>
      </c>
      <c r="FU13">
        <f t="shared" si="267"/>
        <v>0.34</v>
      </c>
      <c r="FV13">
        <f t="shared" si="267"/>
        <v>8.5000000000000006E-2</v>
      </c>
      <c r="FW13">
        <f>SUM(FW8:FW12)</f>
        <v>0.214</v>
      </c>
    </row>
    <row r="15" spans="1:179" x14ac:dyDescent="0.35">
      <c r="A15" s="80" t="s">
        <v>214</v>
      </c>
      <c r="B15" s="72" t="s">
        <v>215</v>
      </c>
      <c r="C15">
        <v>95</v>
      </c>
      <c r="D15" s="75">
        <v>255</v>
      </c>
      <c r="E15" s="75">
        <v>1075</v>
      </c>
      <c r="F15" s="76">
        <v>12.1</v>
      </c>
      <c r="G15" s="76">
        <v>4.3600000000000003</v>
      </c>
      <c r="H15" s="76">
        <v>7.74</v>
      </c>
      <c r="I15" s="76">
        <v>7.6</v>
      </c>
      <c r="J15" s="76">
        <v>3.47</v>
      </c>
      <c r="K15" s="76">
        <v>4.13</v>
      </c>
      <c r="L15" s="76">
        <v>9</v>
      </c>
      <c r="M15" s="76">
        <v>35.5</v>
      </c>
      <c r="N15" s="76">
        <v>33</v>
      </c>
      <c r="O15" s="76">
        <v>2.5</v>
      </c>
      <c r="P15" s="76">
        <v>2.5</v>
      </c>
      <c r="Q15" s="76">
        <v>0</v>
      </c>
      <c r="R15" s="76">
        <v>41</v>
      </c>
      <c r="S15" s="77">
        <v>1.5</v>
      </c>
      <c r="T15" s="76">
        <v>122</v>
      </c>
      <c r="U15" s="76">
        <v>775</v>
      </c>
      <c r="V15" s="76">
        <v>209</v>
      </c>
      <c r="W15" s="76">
        <v>40</v>
      </c>
      <c r="X15" s="76">
        <v>0.67</v>
      </c>
      <c r="Y15" s="76">
        <v>60</v>
      </c>
      <c r="Z15" s="76">
        <v>56.48</v>
      </c>
      <c r="AA15" s="76">
        <v>2.2999999999999998</v>
      </c>
      <c r="AB15" s="76">
        <v>459</v>
      </c>
      <c r="AC15" s="76">
        <v>1</v>
      </c>
      <c r="AD15" s="76">
        <v>0.36</v>
      </c>
      <c r="AE15" s="76">
        <v>93</v>
      </c>
      <c r="AF15" s="76">
        <v>0.16</v>
      </c>
      <c r="AG15" s="76">
        <v>0.13</v>
      </c>
      <c r="AH15" s="76">
        <v>2</v>
      </c>
      <c r="AI15" s="76">
        <v>1.2</v>
      </c>
      <c r="AJ15" s="76">
        <v>0.12</v>
      </c>
      <c r="AK15" s="76">
        <v>31</v>
      </c>
      <c r="AL15" s="76">
        <v>0.24</v>
      </c>
      <c r="AM15" s="76">
        <v>2.9</v>
      </c>
      <c r="AN15" s="76">
        <v>0.3</v>
      </c>
      <c r="AO15" s="76">
        <v>40</v>
      </c>
      <c r="AP15" s="76">
        <v>36</v>
      </c>
      <c r="AQ15" s="76">
        <v>25</v>
      </c>
      <c r="AR15" s="76">
        <v>1.87</v>
      </c>
      <c r="AS15" s="76">
        <v>0.04</v>
      </c>
      <c r="AT15" s="76">
        <v>3</v>
      </c>
      <c r="AU15" s="76">
        <v>2.67</v>
      </c>
      <c r="AV15" s="76">
        <v>0.31</v>
      </c>
      <c r="AW15" s="76">
        <v>0.1</v>
      </c>
      <c r="AX15" s="76">
        <v>0.36</v>
      </c>
      <c r="AY15" s="76">
        <v>1.44</v>
      </c>
      <c r="AZ15" s="76">
        <v>0.46</v>
      </c>
      <c r="BA15" s="76">
        <v>0.01</v>
      </c>
      <c r="BB15" s="76">
        <v>0</v>
      </c>
      <c r="BC15" s="76">
        <v>3.77</v>
      </c>
      <c r="BD15" s="76">
        <v>7.0000000000000007E-2</v>
      </c>
      <c r="BE15" s="76">
        <v>0.13</v>
      </c>
      <c r="BF15" s="76">
        <v>3.57</v>
      </c>
      <c r="BG15" s="76">
        <v>0</v>
      </c>
      <c r="BH15" s="76">
        <v>0</v>
      </c>
      <c r="BI15" s="76">
        <v>0.63</v>
      </c>
      <c r="BJ15" s="76">
        <v>0.53</v>
      </c>
      <c r="BK15" s="76">
        <v>0.09</v>
      </c>
      <c r="BL15" s="76">
        <v>0</v>
      </c>
      <c r="BM15" s="76">
        <v>0</v>
      </c>
      <c r="BN15" s="76">
        <v>0</v>
      </c>
      <c r="BO15" s="76">
        <v>0</v>
      </c>
      <c r="BP15" s="75">
        <v>115.98768083279674</v>
      </c>
      <c r="BQ15" s="75">
        <v>362.47395256492803</v>
      </c>
      <c r="BR15" s="75">
        <v>405.16391607641117</v>
      </c>
      <c r="BS15" s="75">
        <v>854.30493024254133</v>
      </c>
      <c r="BT15" s="75">
        <v>480.08587465121263</v>
      </c>
      <c r="BU15" s="75">
        <v>248.78472633612364</v>
      </c>
      <c r="BV15" s="75">
        <v>206.00282464048078</v>
      </c>
      <c r="BW15" s="75">
        <v>578.31416291049561</v>
      </c>
      <c r="BX15" s="75">
        <v>448.12969414037332</v>
      </c>
      <c r="BY15" s="75">
        <v>486.23040995921866</v>
      </c>
      <c r="BZ15" s="75">
        <v>414.58757995277949</v>
      </c>
      <c r="CA15" s="75">
        <v>273.50843635973388</v>
      </c>
      <c r="CB15" s="75">
        <v>371.55284825069754</v>
      </c>
      <c r="CC15" s="75">
        <v>701.38874543893519</v>
      </c>
      <c r="CD15" s="75">
        <v>3583.9189718823773</v>
      </c>
      <c r="CE15" s="75">
        <v>350.26915861772909</v>
      </c>
      <c r="CF15" s="75">
        <v>1209.0024447306289</v>
      </c>
      <c r="CG15" s="75">
        <v>578.67425413178785</v>
      </c>
      <c r="CH15" s="76">
        <v>1</v>
      </c>
      <c r="CI15" s="76">
        <v>1</v>
      </c>
      <c r="CJ15" s="76">
        <v>0</v>
      </c>
      <c r="CK15" s="76">
        <v>0.4</v>
      </c>
      <c r="CL15" s="76">
        <v>0.1</v>
      </c>
      <c r="CM15" s="76">
        <v>0.1</v>
      </c>
      <c r="CN15">
        <f>($C15*D15)/100</f>
        <v>242.25</v>
      </c>
      <c r="CO15">
        <f t="shared" ref="CO15" si="268">($C15*E15)/100</f>
        <v>1021.25</v>
      </c>
      <c r="CP15">
        <f t="shared" ref="CP15" si="269">($C15*F15)/100</f>
        <v>11.494999999999999</v>
      </c>
      <c r="CQ15">
        <f t="shared" ref="CQ15" si="270">($C15*G15)/100</f>
        <v>4.1420000000000003</v>
      </c>
      <c r="CR15">
        <f t="shared" ref="CR15" si="271">($C15*H15)/100</f>
        <v>7.3530000000000006</v>
      </c>
      <c r="CS15">
        <f t="shared" ref="CS15" si="272">($C15*I15)/100</f>
        <v>7.22</v>
      </c>
      <c r="CT15">
        <f t="shared" ref="CT15" si="273">($C15*J15)/100</f>
        <v>3.2965000000000004</v>
      </c>
      <c r="CU15">
        <f t="shared" ref="CU15" si="274">($C15*K15)/100</f>
        <v>3.9234999999999998</v>
      </c>
      <c r="CV15">
        <f t="shared" ref="CV15" si="275">($C15*L15)/100</f>
        <v>8.5500000000000007</v>
      </c>
      <c r="CW15">
        <f t="shared" ref="CW15" si="276">($C15*M15)/100</f>
        <v>33.725000000000001</v>
      </c>
      <c r="CX15">
        <f t="shared" ref="CX15" si="277">($C15*N15)/100</f>
        <v>31.35</v>
      </c>
      <c r="CY15">
        <f t="shared" ref="CY15" si="278">($C15*O15)/100</f>
        <v>2.375</v>
      </c>
      <c r="CZ15">
        <f t="shared" ref="CZ15" si="279">($C15*P15)/100</f>
        <v>2.375</v>
      </c>
      <c r="DA15">
        <f t="shared" ref="DA15" si="280">($C15*Q15)/100</f>
        <v>0</v>
      </c>
      <c r="DB15">
        <f t="shared" ref="DB15" si="281">($C15*R15)/100</f>
        <v>38.950000000000003</v>
      </c>
      <c r="DC15">
        <f t="shared" ref="DC15" si="282">($C15*S15)/100</f>
        <v>1.425</v>
      </c>
      <c r="DD15">
        <f t="shared" ref="DD15" si="283">($C15*T15)/100</f>
        <v>115.9</v>
      </c>
      <c r="DE15">
        <f t="shared" ref="DE15" si="284">($C15*U15)/100</f>
        <v>736.25</v>
      </c>
      <c r="DF15">
        <f t="shared" ref="DF15" si="285">($C15*V15)/100</f>
        <v>198.55</v>
      </c>
      <c r="DG15">
        <f t="shared" ref="DG15" si="286">($C15*W15)/100</f>
        <v>38</v>
      </c>
      <c r="DH15">
        <f t="shared" ref="DH15" si="287">($C15*X15)/100</f>
        <v>0.63650000000000007</v>
      </c>
      <c r="DI15">
        <f t="shared" ref="DI15" si="288">($C15*Y15)/100</f>
        <v>57</v>
      </c>
      <c r="DJ15">
        <f t="shared" ref="DJ15" si="289">($C15*Z15)/100</f>
        <v>53.655999999999992</v>
      </c>
      <c r="DK15">
        <f t="shared" ref="DK15" si="290">($C15*AA15)/100</f>
        <v>2.1849999999999996</v>
      </c>
      <c r="DL15">
        <f t="shared" ref="DL15" si="291">($C15*AB15)/100</f>
        <v>436.05</v>
      </c>
      <c r="DM15">
        <f t="shared" ref="DM15" si="292">($C15*AC15)/100</f>
        <v>0.95</v>
      </c>
      <c r="DN15">
        <f t="shared" ref="DN15" si="293">($C15*AD15)/100</f>
        <v>0.34199999999999997</v>
      </c>
      <c r="DO15">
        <f t="shared" ref="DO15" si="294">($C15*AE15)/100</f>
        <v>88.35</v>
      </c>
      <c r="DP15">
        <f t="shared" ref="DP15" si="295">($C15*AF15)/100</f>
        <v>0.15200000000000002</v>
      </c>
      <c r="DQ15">
        <f t="shared" ref="DQ15" si="296">($C15*AG15)/100</f>
        <v>0.1235</v>
      </c>
      <c r="DR15">
        <f t="shared" ref="DR15" si="297">($C15*AH15)/100</f>
        <v>1.9</v>
      </c>
      <c r="DS15">
        <f t="shared" ref="DS15" si="298">($C15*AI15)/100</f>
        <v>1.1399999999999999</v>
      </c>
      <c r="DT15">
        <f t="shared" ref="DT15" si="299">($C15*AJ15)/100</f>
        <v>0.114</v>
      </c>
      <c r="DU15">
        <f t="shared" ref="DU15" si="300">($C15*AK15)/100</f>
        <v>29.45</v>
      </c>
      <c r="DV15">
        <f t="shared" ref="DV15" si="301">($C15*AL15)/100</f>
        <v>0.22800000000000001</v>
      </c>
      <c r="DW15">
        <f t="shared" ref="DW15" si="302">($C15*AM15)/100</f>
        <v>2.7549999999999999</v>
      </c>
      <c r="DX15">
        <f t="shared" ref="DX15" si="303">($C15*AN15)/100</f>
        <v>0.28499999999999998</v>
      </c>
      <c r="DY15">
        <f t="shared" ref="DY15" si="304">($C15*AO15)/100</f>
        <v>38</v>
      </c>
      <c r="DZ15">
        <f t="shared" ref="DZ15" si="305">($C15*AP15)/100</f>
        <v>34.200000000000003</v>
      </c>
      <c r="EA15">
        <f t="shared" ref="EA15" si="306">($C15*AQ15)/100</f>
        <v>23.75</v>
      </c>
      <c r="EB15">
        <f t="shared" ref="EB15" si="307">($C15*AR15)/100</f>
        <v>1.7765</v>
      </c>
      <c r="EC15">
        <f t="shared" ref="EC15" si="308">($C15*AS15)/100</f>
        <v>3.8000000000000006E-2</v>
      </c>
      <c r="ED15">
        <f t="shared" ref="ED15" si="309">($C15*AT15)/100</f>
        <v>2.85</v>
      </c>
      <c r="EE15">
        <f t="shared" ref="EE15" si="310">($C15*AU15)/100</f>
        <v>2.5365000000000002</v>
      </c>
      <c r="EF15">
        <f t="shared" ref="EF15" si="311">($C15*AV15)/100</f>
        <v>0.29449999999999998</v>
      </c>
      <c r="EG15">
        <f t="shared" ref="EG15" si="312">($C15*AW15)/100</f>
        <v>9.5000000000000001E-2</v>
      </c>
      <c r="EH15">
        <f t="shared" ref="EH15" si="313">($C15*AX15)/100</f>
        <v>0.34199999999999997</v>
      </c>
      <c r="EI15">
        <f t="shared" ref="EI15" si="314">($C15*AY15)/100</f>
        <v>1.3679999999999999</v>
      </c>
      <c r="EJ15">
        <f t="shared" ref="EJ15" si="315">($C15*AZ15)/100</f>
        <v>0.43700000000000006</v>
      </c>
      <c r="EK15">
        <f t="shared" ref="EK15" si="316">($C15*BA15)/100</f>
        <v>9.5000000000000015E-3</v>
      </c>
      <c r="EL15">
        <f t="shared" ref="EL15" si="317">($C15*BB15)/100</f>
        <v>0</v>
      </c>
      <c r="EM15">
        <f t="shared" ref="EM15" si="318">($C15*BC15)/100</f>
        <v>3.5814999999999997</v>
      </c>
      <c r="EN15">
        <f t="shared" ref="EN15" si="319">($C15*BD15)/100</f>
        <v>6.6500000000000004E-2</v>
      </c>
      <c r="EO15">
        <f t="shared" ref="EO15" si="320">($C15*BE15)/100</f>
        <v>0.1235</v>
      </c>
      <c r="EP15">
        <f t="shared" ref="EP15" si="321">($C15*BF15)/100</f>
        <v>3.3914999999999997</v>
      </c>
      <c r="EQ15">
        <f t="shared" ref="EQ15" si="322">($C15*BG15)/100</f>
        <v>0</v>
      </c>
      <c r="ER15">
        <f t="shared" ref="ER15" si="323">($C15*BH15)/100</f>
        <v>0</v>
      </c>
      <c r="ES15">
        <f t="shared" ref="ES15" si="324">($C15*BI15)/100</f>
        <v>0.59850000000000003</v>
      </c>
      <c r="ET15">
        <f t="shared" ref="ET15" si="325">($C15*BJ15)/100</f>
        <v>0.50350000000000006</v>
      </c>
      <c r="EU15">
        <f t="shared" ref="EU15" si="326">($C15*BK15)/100</f>
        <v>8.5499999999999993E-2</v>
      </c>
      <c r="EV15">
        <f t="shared" ref="EV15" si="327">($C15*BL15)/100</f>
        <v>0</v>
      </c>
      <c r="EW15">
        <f t="shared" ref="EW15" si="328">($C15*BM15)/100</f>
        <v>0</v>
      </c>
      <c r="EX15">
        <f t="shared" ref="EX15" si="329">($C15*BN15)/100</f>
        <v>0</v>
      </c>
      <c r="EY15">
        <f t="shared" ref="EY15" si="330">($C15*BO15)/100</f>
        <v>0</v>
      </c>
      <c r="EZ15">
        <f t="shared" ref="EZ15" si="331">($C15*BP15)/100</f>
        <v>110.1882967911569</v>
      </c>
      <c r="FA15">
        <f t="shared" ref="FA15" si="332">($C15*BQ15)/100</f>
        <v>344.35025493668161</v>
      </c>
      <c r="FB15">
        <f t="shared" ref="FB15" si="333">($C15*BR15)/100</f>
        <v>384.9057202725906</v>
      </c>
      <c r="FC15">
        <f t="shared" ref="FC15" si="334">($C15*BS15)/100</f>
        <v>811.58968373041421</v>
      </c>
      <c r="FD15">
        <f t="shared" ref="FD15" si="335">($C15*BT15)/100</f>
        <v>456.08158091865204</v>
      </c>
      <c r="FE15">
        <f t="shared" ref="FE15" si="336">($C15*BU15)/100</f>
        <v>236.34549001931745</v>
      </c>
      <c r="FF15">
        <f t="shared" ref="FF15" si="337">($C15*BV15)/100</f>
        <v>195.70268340845675</v>
      </c>
      <c r="FG15">
        <f t="shared" ref="FG15" si="338">($C15*BW15)/100</f>
        <v>549.39845476497078</v>
      </c>
      <c r="FH15">
        <f t="shared" ref="FH15" si="339">($C15*BX15)/100</f>
        <v>425.72320943335467</v>
      </c>
      <c r="FI15">
        <f t="shared" ref="FI15" si="340">($C15*BY15)/100</f>
        <v>461.91888946125772</v>
      </c>
      <c r="FJ15">
        <f t="shared" ref="FJ15" si="341">($C15*BZ15)/100</f>
        <v>393.85820095514049</v>
      </c>
      <c r="FK15">
        <f t="shared" ref="FK15" si="342">($C15*CA15)/100</f>
        <v>259.83301454174716</v>
      </c>
      <c r="FL15">
        <f t="shared" ref="FL15" si="343">($C15*CB15)/100</f>
        <v>352.97520583816265</v>
      </c>
      <c r="FM15">
        <f t="shared" ref="FM15" si="344">($C15*CC15)/100</f>
        <v>666.31930816698844</v>
      </c>
      <c r="FN15">
        <f t="shared" ref="FN15" si="345">($C15*CD15)/100</f>
        <v>3404.723023288258</v>
      </c>
      <c r="FO15">
        <f t="shared" ref="FO15" si="346">($C15*CE15)/100</f>
        <v>332.7557006868426</v>
      </c>
      <c r="FP15">
        <f t="shared" ref="FP15" si="347">($C15*CF15)/100</f>
        <v>1148.5523224940976</v>
      </c>
      <c r="FQ15">
        <f t="shared" ref="FQ15" si="348">($C15*CG15)/100</f>
        <v>549.74054142519844</v>
      </c>
      <c r="FR15">
        <f t="shared" ref="FR15" si="349">($C15*CH15)/100</f>
        <v>0.95</v>
      </c>
      <c r="FS15">
        <f t="shared" ref="FS15" si="350">($C15*CI15)/100</f>
        <v>0.95</v>
      </c>
      <c r="FT15">
        <f t="shared" ref="FT15" si="351">($C15*CJ15)/100</f>
        <v>0</v>
      </c>
      <c r="FU15">
        <f t="shared" ref="FU15" si="352">($C15*CK15)/100</f>
        <v>0.38</v>
      </c>
      <c r="FV15">
        <f t="shared" ref="FV15" si="353">($C15*CL15)/100</f>
        <v>9.5000000000000001E-2</v>
      </c>
      <c r="FW15">
        <f t="shared" ref="FW15" si="354">($C15*CM15)/100</f>
        <v>9.5000000000000001E-2</v>
      </c>
    </row>
    <row r="16" spans="1:179" x14ac:dyDescent="0.35">
      <c r="B16" s="72" t="s">
        <v>220</v>
      </c>
      <c r="C16">
        <v>5</v>
      </c>
      <c r="D16" s="6">
        <v>454</v>
      </c>
      <c r="E16" s="6">
        <v>1883</v>
      </c>
      <c r="F16" s="6">
        <v>27.4</v>
      </c>
      <c r="G16" s="6">
        <v>27.4</v>
      </c>
      <c r="H16" s="6">
        <v>0</v>
      </c>
      <c r="I16" s="6">
        <v>38.299999999999997</v>
      </c>
      <c r="J16" s="6">
        <v>38.299999999999997</v>
      </c>
      <c r="K16" s="6">
        <v>0</v>
      </c>
      <c r="L16" s="6">
        <v>90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27</v>
      </c>
      <c r="S16" s="6">
        <v>2.4</v>
      </c>
      <c r="T16" s="6">
        <v>21</v>
      </c>
      <c r="U16" s="6">
        <v>1497</v>
      </c>
      <c r="V16" s="6">
        <v>452</v>
      </c>
      <c r="W16" s="6">
        <v>246</v>
      </c>
      <c r="X16" s="6">
        <v>3.5</v>
      </c>
      <c r="Y16" s="6">
        <v>25</v>
      </c>
      <c r="Z16" s="6">
        <v>0.13</v>
      </c>
      <c r="AA16" s="6">
        <v>3</v>
      </c>
      <c r="AB16" s="6">
        <v>3270</v>
      </c>
      <c r="AC16" s="6">
        <v>15</v>
      </c>
      <c r="AD16" s="6">
        <v>0.04</v>
      </c>
      <c r="AE16" s="6">
        <v>193</v>
      </c>
      <c r="AF16" s="6">
        <v>0.32</v>
      </c>
      <c r="AG16" s="6">
        <v>0.2</v>
      </c>
      <c r="AH16" s="6">
        <v>0</v>
      </c>
      <c r="AI16" s="6">
        <v>2.6</v>
      </c>
      <c r="AJ16" s="6">
        <v>0.36</v>
      </c>
      <c r="AK16" s="6">
        <v>3</v>
      </c>
      <c r="AL16" s="6">
        <v>1.66</v>
      </c>
      <c r="AM16" s="6">
        <v>7</v>
      </c>
      <c r="AN16" s="6">
        <v>2</v>
      </c>
      <c r="AO16" s="6">
        <v>0</v>
      </c>
      <c r="AP16" s="6">
        <v>0</v>
      </c>
      <c r="AQ16" s="6">
        <v>0</v>
      </c>
      <c r="AR16" s="6">
        <v>0.23</v>
      </c>
      <c r="AS16" s="6">
        <v>0.9</v>
      </c>
      <c r="AT16" s="85">
        <v>5.8</v>
      </c>
      <c r="AU16" s="6">
        <v>14.487</v>
      </c>
      <c r="AV16" s="6">
        <v>1.9E-2</v>
      </c>
      <c r="AW16" s="6">
        <v>0.02</v>
      </c>
      <c r="AX16" s="6">
        <v>0.503</v>
      </c>
      <c r="AY16" s="6">
        <v>9.3230000000000004</v>
      </c>
      <c r="AZ16" s="6">
        <v>4.617</v>
      </c>
      <c r="BA16" s="86">
        <v>0</v>
      </c>
      <c r="BB16" s="86">
        <v>0</v>
      </c>
      <c r="BC16" s="6">
        <v>16.395</v>
      </c>
      <c r="BD16" s="87">
        <v>0</v>
      </c>
      <c r="BE16" s="6">
        <v>0.93100000000000005</v>
      </c>
      <c r="BF16" s="6">
        <v>15.127000000000001</v>
      </c>
      <c r="BG16" s="6">
        <v>0.28999999999999998</v>
      </c>
      <c r="BH16" s="6">
        <v>4.8000000000000001E-2</v>
      </c>
      <c r="BI16" s="6">
        <v>1.744</v>
      </c>
      <c r="BJ16" s="6">
        <v>1.581</v>
      </c>
      <c r="BK16" s="6">
        <v>8.5999999999999993E-2</v>
      </c>
      <c r="BL16" s="6">
        <v>7.8E-2</v>
      </c>
      <c r="BM16" s="6">
        <v>0</v>
      </c>
      <c r="BN16" s="6">
        <v>0</v>
      </c>
      <c r="BO16" s="6">
        <v>0</v>
      </c>
      <c r="BP16" s="7">
        <v>283</v>
      </c>
      <c r="BQ16" s="7">
        <v>1233</v>
      </c>
      <c r="BR16" s="7">
        <v>1303</v>
      </c>
      <c r="BS16" s="7">
        <v>1240</v>
      </c>
      <c r="BT16" s="7">
        <v>2292</v>
      </c>
      <c r="BU16" s="7">
        <v>677</v>
      </c>
      <c r="BV16" s="7">
        <v>326</v>
      </c>
      <c r="BW16" s="7">
        <v>1143</v>
      </c>
      <c r="BX16" s="7">
        <v>957</v>
      </c>
      <c r="BY16" s="7">
        <v>1467</v>
      </c>
      <c r="BZ16" s="7">
        <v>1681</v>
      </c>
      <c r="CA16" s="7">
        <v>940</v>
      </c>
      <c r="CB16" s="7">
        <v>1604</v>
      </c>
      <c r="CC16" s="7">
        <v>2635</v>
      </c>
      <c r="CD16" s="7">
        <v>4122</v>
      </c>
      <c r="CE16" s="7">
        <v>1510</v>
      </c>
      <c r="CF16" s="7">
        <v>1306</v>
      </c>
      <c r="CG16" s="7">
        <v>1133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>
        <f>($C16*D16)/100</f>
        <v>22.7</v>
      </c>
      <c r="CO16">
        <f t="shared" ref="CO16" si="355">($C16*E16)/100</f>
        <v>94.15</v>
      </c>
      <c r="CP16">
        <f t="shared" ref="CP16" si="356">($C16*F16)/100</f>
        <v>1.37</v>
      </c>
      <c r="CQ16">
        <f t="shared" ref="CQ16" si="357">($C16*G16)/100</f>
        <v>1.37</v>
      </c>
      <c r="CR16">
        <f t="shared" ref="CR16" si="358">($C16*H16)/100</f>
        <v>0</v>
      </c>
      <c r="CS16">
        <f t="shared" ref="CS16" si="359">($C16*I16)/100</f>
        <v>1.915</v>
      </c>
      <c r="CT16">
        <f t="shared" ref="CT16" si="360">($C16*J16)/100</f>
        <v>1.915</v>
      </c>
      <c r="CU16">
        <f t="shared" ref="CU16" si="361">($C16*K16)/100</f>
        <v>0</v>
      </c>
      <c r="CV16">
        <f t="shared" ref="CV16" si="362">($C16*L16)/100</f>
        <v>4.5</v>
      </c>
      <c r="CW16">
        <f t="shared" ref="CW16" si="363">($C16*M16)/100</f>
        <v>0</v>
      </c>
      <c r="CX16">
        <f t="shared" ref="CX16" si="364">($C16*N16)/100</f>
        <v>0</v>
      </c>
      <c r="CY16">
        <f t="shared" ref="CY16" si="365">($C16*O16)/100</f>
        <v>0</v>
      </c>
      <c r="CZ16">
        <f t="shared" ref="CZ16" si="366">($C16*P16)/100</f>
        <v>0</v>
      </c>
      <c r="DA16">
        <f t="shared" ref="DA16" si="367">($C16*Q16)/100</f>
        <v>0</v>
      </c>
      <c r="DB16">
        <f t="shared" ref="DB16" si="368">($C16*R16)/100</f>
        <v>1.35</v>
      </c>
      <c r="DC16">
        <f t="shared" ref="DC16" si="369">($C16*S16)/100</f>
        <v>0.12</v>
      </c>
      <c r="DD16">
        <f t="shared" ref="DD16" si="370">($C16*T16)/100</f>
        <v>1.05</v>
      </c>
      <c r="DE16">
        <f t="shared" ref="DE16" si="371">($C16*U16)/100</f>
        <v>74.849999999999994</v>
      </c>
      <c r="DF16">
        <f t="shared" ref="DF16" si="372">($C16*V16)/100</f>
        <v>22.6</v>
      </c>
      <c r="DG16">
        <f t="shared" ref="DG16" si="373">($C16*W16)/100</f>
        <v>12.3</v>
      </c>
      <c r="DH16">
        <f t="shared" ref="DH16" si="374">($C16*X16)/100</f>
        <v>0.17499999999999999</v>
      </c>
      <c r="DI16">
        <f t="shared" ref="DI16" si="375">($C16*Y16)/100</f>
        <v>1.25</v>
      </c>
      <c r="DJ16">
        <f t="shared" ref="DJ16" si="376">($C16*Z16)/100</f>
        <v>6.5000000000000006E-3</v>
      </c>
      <c r="DK16">
        <f t="shared" ref="DK16" si="377">($C16*AA16)/100</f>
        <v>0.15</v>
      </c>
      <c r="DL16">
        <f t="shared" ref="DL16" si="378">($C16*AB16)/100</f>
        <v>163.5</v>
      </c>
      <c r="DM16">
        <f t="shared" ref="DM16" si="379">($C16*AC16)/100</f>
        <v>0.75</v>
      </c>
      <c r="DN16">
        <f t="shared" ref="DN16" si="380">($C16*AD16)/100</f>
        <v>2E-3</v>
      </c>
      <c r="DO16">
        <f t="shared" ref="DO16" si="381">($C16*AE16)/100</f>
        <v>9.65</v>
      </c>
      <c r="DP16">
        <f t="shared" ref="DP16" si="382">($C16*AF16)/100</f>
        <v>1.6E-2</v>
      </c>
      <c r="DQ16">
        <f t="shared" ref="DQ16" si="383">($C16*AG16)/100</f>
        <v>0.01</v>
      </c>
      <c r="DR16">
        <f t="shared" ref="DR16" si="384">($C16*AH16)/100</f>
        <v>0</v>
      </c>
      <c r="DS16">
        <f t="shared" ref="DS16" si="385">($C16*AI16)/100</f>
        <v>0.13</v>
      </c>
      <c r="DT16">
        <f t="shared" ref="DT16" si="386">($C16*AJ16)/100</f>
        <v>1.7999999999999999E-2</v>
      </c>
      <c r="DU16">
        <f t="shared" ref="DU16" si="387">($C16*AK16)/100</f>
        <v>0.15</v>
      </c>
      <c r="DV16">
        <f t="shared" ref="DV16" si="388">($C16*AL16)/100</f>
        <v>8.299999999999999E-2</v>
      </c>
      <c r="DW16">
        <f t="shared" ref="DW16" si="389">($C16*AM16)/100</f>
        <v>0.35</v>
      </c>
      <c r="DX16">
        <f t="shared" ref="DX16" si="390">($C16*AN16)/100</f>
        <v>0.1</v>
      </c>
      <c r="DY16">
        <f t="shared" ref="DY16" si="391">($C16*AO16)/100</f>
        <v>0</v>
      </c>
      <c r="DZ16">
        <f t="shared" ref="DZ16" si="392">($C16*AP16)/100</f>
        <v>0</v>
      </c>
      <c r="EA16">
        <f t="shared" ref="EA16" si="393">($C16*AQ16)/100</f>
        <v>0</v>
      </c>
      <c r="EB16">
        <f t="shared" ref="EB16" si="394">($C16*AR16)/100</f>
        <v>1.1500000000000002E-2</v>
      </c>
      <c r="EC16">
        <f t="shared" ref="EC16" si="395">($C16*AS16)/100</f>
        <v>4.4999999999999998E-2</v>
      </c>
      <c r="ED16">
        <f t="shared" ref="ED16" si="396">($C16*AT16)/100</f>
        <v>0.28999999999999998</v>
      </c>
      <c r="EE16">
        <f t="shared" ref="EE16" si="397">($C16*AU16)/100</f>
        <v>0.72435000000000005</v>
      </c>
      <c r="EF16">
        <f t="shared" ref="EF16" si="398">($C16*AV16)/100</f>
        <v>9.5E-4</v>
      </c>
      <c r="EG16">
        <f t="shared" ref="EG16" si="399">($C16*AW16)/100</f>
        <v>1E-3</v>
      </c>
      <c r="EH16">
        <f t="shared" ref="EH16" si="400">($C16*AX16)/100</f>
        <v>2.5150000000000002E-2</v>
      </c>
      <c r="EI16">
        <f t="shared" ref="EI16" si="401">($C16*AY16)/100</f>
        <v>0.46615000000000001</v>
      </c>
      <c r="EJ16">
        <f t="shared" ref="EJ16" si="402">($C16*AZ16)/100</f>
        <v>0.23085</v>
      </c>
      <c r="EK16">
        <f t="shared" ref="EK16" si="403">($C16*BA16)/100</f>
        <v>0</v>
      </c>
      <c r="EL16">
        <f t="shared" ref="EL16" si="404">($C16*BB16)/100</f>
        <v>0</v>
      </c>
      <c r="EM16">
        <f t="shared" ref="EM16" si="405">($C16*BC16)/100</f>
        <v>0.81974999999999998</v>
      </c>
      <c r="EN16">
        <f t="shared" ref="EN16" si="406">($C16*BD16)/100</f>
        <v>0</v>
      </c>
      <c r="EO16">
        <f t="shared" ref="EO16" si="407">($C16*BE16)/100</f>
        <v>4.6550000000000001E-2</v>
      </c>
      <c r="EP16">
        <f t="shared" ref="EP16" si="408">($C16*BF16)/100</f>
        <v>0.75635000000000008</v>
      </c>
      <c r="EQ16">
        <f t="shared" ref="EQ16" si="409">($C16*BG16)/100</f>
        <v>1.4499999999999999E-2</v>
      </c>
      <c r="ER16">
        <f t="shared" ref="ER16" si="410">($C16*BH16)/100</f>
        <v>2.3999999999999998E-3</v>
      </c>
      <c r="ES16">
        <f t="shared" ref="ES16" si="411">($C16*BI16)/100</f>
        <v>8.72E-2</v>
      </c>
      <c r="ET16">
        <f t="shared" ref="ET16" si="412">($C16*BJ16)/100</f>
        <v>7.9049999999999995E-2</v>
      </c>
      <c r="EU16">
        <f t="shared" ref="EU16" si="413">($C16*BK16)/100</f>
        <v>4.2999999999999991E-3</v>
      </c>
      <c r="EV16">
        <f t="shared" ref="EV16" si="414">($C16*BL16)/100</f>
        <v>3.9000000000000003E-3</v>
      </c>
      <c r="EW16">
        <f t="shared" ref="EW16" si="415">($C16*BM16)/100</f>
        <v>0</v>
      </c>
      <c r="EX16">
        <f t="shared" ref="EX16" si="416">($C16*BN16)/100</f>
        <v>0</v>
      </c>
      <c r="EY16">
        <f t="shared" ref="EY16" si="417">($C16*BO16)/100</f>
        <v>0</v>
      </c>
      <c r="EZ16">
        <f t="shared" ref="EZ16" si="418">($C16*BP16)/100</f>
        <v>14.15</v>
      </c>
      <c r="FA16">
        <f t="shared" ref="FA16" si="419">($C16*BQ16)/100</f>
        <v>61.65</v>
      </c>
      <c r="FB16">
        <f t="shared" ref="FB16" si="420">($C16*BR16)/100</f>
        <v>65.150000000000006</v>
      </c>
      <c r="FC16">
        <f t="shared" ref="FC16" si="421">($C16*BS16)/100</f>
        <v>62</v>
      </c>
      <c r="FD16">
        <f t="shared" ref="FD16" si="422">($C16*BT16)/100</f>
        <v>114.6</v>
      </c>
      <c r="FE16">
        <f t="shared" ref="FE16" si="423">($C16*BU16)/100</f>
        <v>33.85</v>
      </c>
      <c r="FF16">
        <f t="shared" ref="FF16" si="424">($C16*BV16)/100</f>
        <v>16.3</v>
      </c>
      <c r="FG16">
        <f t="shared" ref="FG16" si="425">($C16*BW16)/100</f>
        <v>57.15</v>
      </c>
      <c r="FH16">
        <f t="shared" ref="FH16" si="426">($C16*BX16)/100</f>
        <v>47.85</v>
      </c>
      <c r="FI16">
        <f t="shared" ref="FI16" si="427">($C16*BY16)/100</f>
        <v>73.349999999999994</v>
      </c>
      <c r="FJ16">
        <f t="shared" ref="FJ16" si="428">($C16*BZ16)/100</f>
        <v>84.05</v>
      </c>
      <c r="FK16">
        <f t="shared" ref="FK16" si="429">($C16*CA16)/100</f>
        <v>47</v>
      </c>
      <c r="FL16">
        <f t="shared" ref="FL16" si="430">($C16*CB16)/100</f>
        <v>80.2</v>
      </c>
      <c r="FM16">
        <f t="shared" ref="FM16" si="431">($C16*CC16)/100</f>
        <v>131.75</v>
      </c>
      <c r="FN16">
        <f t="shared" ref="FN16" si="432">($C16*CD16)/100</f>
        <v>206.1</v>
      </c>
      <c r="FO16">
        <f t="shared" ref="FO16" si="433">($C16*CE16)/100</f>
        <v>75.5</v>
      </c>
      <c r="FP16">
        <f t="shared" ref="FP16" si="434">($C16*CF16)/100</f>
        <v>65.3</v>
      </c>
      <c r="FQ16">
        <f t="shared" ref="FQ16" si="435">($C16*CG16)/100</f>
        <v>56.65</v>
      </c>
      <c r="FR16">
        <f t="shared" ref="FR16" si="436">($C16*CH16)/100</f>
        <v>0</v>
      </c>
      <c r="FS16">
        <f t="shared" ref="FS16" si="437">($C16*CI16)/100</f>
        <v>0</v>
      </c>
      <c r="FT16">
        <f t="shared" ref="FT16" si="438">($C16*CJ16)/100</f>
        <v>0</v>
      </c>
      <c r="FU16">
        <f t="shared" ref="FU16" si="439">($C16*CK16)/100</f>
        <v>0</v>
      </c>
      <c r="FV16">
        <f t="shared" ref="FV16" si="440">($C16*CL16)/100</f>
        <v>0</v>
      </c>
      <c r="FW16">
        <f t="shared" ref="FW16" si="441">($C16*CM16)/100</f>
        <v>0</v>
      </c>
    </row>
    <row r="17" spans="1:179" x14ac:dyDescent="0.35">
      <c r="C17">
        <f>SUM(C15:C16)</f>
        <v>100</v>
      </c>
      <c r="CN17">
        <f>SUM(CN15:CN16)</f>
        <v>264.95</v>
      </c>
      <c r="CO17">
        <f t="shared" ref="CO17:EZ17" si="442">SUM(CO15:CO16)</f>
        <v>1115.4000000000001</v>
      </c>
      <c r="CP17">
        <f t="shared" si="442"/>
        <v>12.864999999999998</v>
      </c>
      <c r="CQ17">
        <f t="shared" si="442"/>
        <v>5.5120000000000005</v>
      </c>
      <c r="CR17">
        <f t="shared" si="442"/>
        <v>7.3530000000000006</v>
      </c>
      <c r="CS17">
        <f t="shared" si="442"/>
        <v>9.1349999999999998</v>
      </c>
      <c r="CT17">
        <f t="shared" si="442"/>
        <v>5.2115000000000009</v>
      </c>
      <c r="CU17">
        <f t="shared" si="442"/>
        <v>3.9234999999999998</v>
      </c>
      <c r="CV17">
        <f t="shared" si="442"/>
        <v>13.05</v>
      </c>
      <c r="CW17">
        <f t="shared" si="442"/>
        <v>33.725000000000001</v>
      </c>
      <c r="CX17">
        <f t="shared" si="442"/>
        <v>31.35</v>
      </c>
      <c r="CY17">
        <f t="shared" si="442"/>
        <v>2.375</v>
      </c>
      <c r="CZ17">
        <f t="shared" si="442"/>
        <v>2.375</v>
      </c>
      <c r="DA17">
        <f t="shared" si="442"/>
        <v>0</v>
      </c>
      <c r="DB17">
        <f t="shared" si="442"/>
        <v>40.300000000000004</v>
      </c>
      <c r="DC17">
        <f t="shared" si="442"/>
        <v>1.5449999999999999</v>
      </c>
      <c r="DD17">
        <f t="shared" si="442"/>
        <v>116.95</v>
      </c>
      <c r="DE17">
        <f t="shared" si="442"/>
        <v>811.1</v>
      </c>
      <c r="DF17">
        <f t="shared" si="442"/>
        <v>221.15</v>
      </c>
      <c r="DG17">
        <f t="shared" si="442"/>
        <v>50.3</v>
      </c>
      <c r="DH17">
        <f t="shared" si="442"/>
        <v>0.81150000000000011</v>
      </c>
      <c r="DI17">
        <f t="shared" si="442"/>
        <v>58.25</v>
      </c>
      <c r="DJ17">
        <f t="shared" si="442"/>
        <v>53.662499999999994</v>
      </c>
      <c r="DK17">
        <f t="shared" si="442"/>
        <v>2.3349999999999995</v>
      </c>
      <c r="DL17">
        <f t="shared" si="442"/>
        <v>599.54999999999995</v>
      </c>
      <c r="DM17">
        <f t="shared" si="442"/>
        <v>1.7</v>
      </c>
      <c r="DN17">
        <f t="shared" si="442"/>
        <v>0.34399999999999997</v>
      </c>
      <c r="DO17">
        <f t="shared" si="442"/>
        <v>98</v>
      </c>
      <c r="DP17">
        <f t="shared" si="442"/>
        <v>0.16800000000000004</v>
      </c>
      <c r="DQ17">
        <f t="shared" si="442"/>
        <v>0.13350000000000001</v>
      </c>
      <c r="DR17">
        <f t="shared" si="442"/>
        <v>1.9</v>
      </c>
      <c r="DS17">
        <f t="shared" si="442"/>
        <v>1.27</v>
      </c>
      <c r="DT17">
        <f t="shared" si="442"/>
        <v>0.13200000000000001</v>
      </c>
      <c r="DU17">
        <f t="shared" si="442"/>
        <v>29.599999999999998</v>
      </c>
      <c r="DV17">
        <f t="shared" si="442"/>
        <v>0.311</v>
      </c>
      <c r="DW17">
        <f t="shared" si="442"/>
        <v>3.105</v>
      </c>
      <c r="DX17">
        <f t="shared" si="442"/>
        <v>0.38500000000000001</v>
      </c>
      <c r="DY17">
        <f t="shared" si="442"/>
        <v>38</v>
      </c>
      <c r="DZ17">
        <f t="shared" si="442"/>
        <v>34.200000000000003</v>
      </c>
      <c r="EA17">
        <f t="shared" si="442"/>
        <v>23.75</v>
      </c>
      <c r="EB17">
        <f t="shared" si="442"/>
        <v>1.788</v>
      </c>
      <c r="EC17">
        <f t="shared" si="442"/>
        <v>8.3000000000000004E-2</v>
      </c>
      <c r="ED17">
        <f t="shared" si="442"/>
        <v>3.14</v>
      </c>
      <c r="EE17">
        <f t="shared" si="442"/>
        <v>3.2608500000000005</v>
      </c>
      <c r="EF17">
        <f t="shared" si="442"/>
        <v>0.29544999999999999</v>
      </c>
      <c r="EG17">
        <f t="shared" si="442"/>
        <v>9.6000000000000002E-2</v>
      </c>
      <c r="EH17">
        <f t="shared" si="442"/>
        <v>0.36714999999999998</v>
      </c>
      <c r="EI17">
        <f t="shared" si="442"/>
        <v>1.8341499999999999</v>
      </c>
      <c r="EJ17">
        <f t="shared" si="442"/>
        <v>0.66785000000000005</v>
      </c>
      <c r="EK17">
        <f t="shared" si="442"/>
        <v>9.5000000000000015E-3</v>
      </c>
      <c r="EL17">
        <f t="shared" si="442"/>
        <v>0</v>
      </c>
      <c r="EM17">
        <f t="shared" si="442"/>
        <v>4.4012499999999992</v>
      </c>
      <c r="EN17">
        <f t="shared" si="442"/>
        <v>6.6500000000000004E-2</v>
      </c>
      <c r="EO17">
        <f t="shared" si="442"/>
        <v>0.17005000000000001</v>
      </c>
      <c r="EP17">
        <f t="shared" si="442"/>
        <v>4.14785</v>
      </c>
      <c r="EQ17">
        <f t="shared" si="442"/>
        <v>1.4499999999999999E-2</v>
      </c>
      <c r="ER17">
        <f t="shared" si="442"/>
        <v>2.3999999999999998E-3</v>
      </c>
      <c r="ES17">
        <f t="shared" si="442"/>
        <v>0.68569999999999998</v>
      </c>
      <c r="ET17">
        <f t="shared" si="442"/>
        <v>0.58255000000000001</v>
      </c>
      <c r="EU17">
        <f t="shared" si="442"/>
        <v>8.9799999999999991E-2</v>
      </c>
      <c r="EV17">
        <f t="shared" si="442"/>
        <v>3.9000000000000003E-3</v>
      </c>
      <c r="EW17">
        <f t="shared" si="442"/>
        <v>0</v>
      </c>
      <c r="EX17">
        <f t="shared" si="442"/>
        <v>0</v>
      </c>
      <c r="EY17">
        <f t="shared" si="442"/>
        <v>0</v>
      </c>
      <c r="EZ17">
        <f t="shared" si="442"/>
        <v>124.33829679115691</v>
      </c>
      <c r="FA17">
        <f t="shared" ref="FA17:FW17" si="443">SUM(FA15:FA16)</f>
        <v>406.00025493668159</v>
      </c>
      <c r="FB17">
        <f t="shared" si="443"/>
        <v>450.05572027259063</v>
      </c>
      <c r="FC17">
        <f t="shared" si="443"/>
        <v>873.58968373041421</v>
      </c>
      <c r="FD17">
        <f t="shared" si="443"/>
        <v>570.681580918652</v>
      </c>
      <c r="FE17">
        <f t="shared" si="443"/>
        <v>270.19549001931745</v>
      </c>
      <c r="FF17">
        <f t="shared" si="443"/>
        <v>212.00268340845676</v>
      </c>
      <c r="FG17">
        <f t="shared" si="443"/>
        <v>606.54845476497076</v>
      </c>
      <c r="FH17">
        <f t="shared" si="443"/>
        <v>473.57320943335469</v>
      </c>
      <c r="FI17">
        <f t="shared" si="443"/>
        <v>535.26888946125769</v>
      </c>
      <c r="FJ17">
        <f t="shared" si="443"/>
        <v>477.9082009551405</v>
      </c>
      <c r="FK17">
        <f t="shared" si="443"/>
        <v>306.83301454174716</v>
      </c>
      <c r="FL17">
        <f t="shared" si="443"/>
        <v>433.17520583816264</v>
      </c>
      <c r="FM17">
        <f t="shared" si="443"/>
        <v>798.06930816698844</v>
      </c>
      <c r="FN17">
        <f t="shared" si="443"/>
        <v>3610.8230232882579</v>
      </c>
      <c r="FO17">
        <f t="shared" si="443"/>
        <v>408.2557006868426</v>
      </c>
      <c r="FP17">
        <f t="shared" si="443"/>
        <v>1213.8523224940975</v>
      </c>
      <c r="FQ17">
        <f t="shared" si="443"/>
        <v>606.39054142519842</v>
      </c>
      <c r="FR17">
        <f t="shared" si="443"/>
        <v>0.95</v>
      </c>
      <c r="FS17">
        <f t="shared" si="443"/>
        <v>0.95</v>
      </c>
      <c r="FT17">
        <f t="shared" si="443"/>
        <v>0</v>
      </c>
      <c r="FU17">
        <f t="shared" si="443"/>
        <v>0.38</v>
      </c>
      <c r="FV17">
        <f t="shared" si="443"/>
        <v>9.5000000000000001E-2</v>
      </c>
      <c r="FW17">
        <f t="shared" si="443"/>
        <v>9.5000000000000001E-2</v>
      </c>
    </row>
    <row r="19" spans="1:179" x14ac:dyDescent="0.35">
      <c r="A19" s="80" t="s">
        <v>221</v>
      </c>
      <c r="B19" s="72" t="s">
        <v>222</v>
      </c>
      <c r="C19">
        <v>91</v>
      </c>
      <c r="D19" s="6">
        <v>128</v>
      </c>
      <c r="E19" s="6">
        <v>533</v>
      </c>
      <c r="F19" s="6">
        <v>12.4</v>
      </c>
      <c r="G19" s="6">
        <v>12.4</v>
      </c>
      <c r="H19" s="6">
        <v>0</v>
      </c>
      <c r="I19" s="6">
        <v>8.6999999999999993</v>
      </c>
      <c r="J19" s="6">
        <v>8.6999999999999993</v>
      </c>
      <c r="K19" s="6">
        <v>0</v>
      </c>
      <c r="L19" s="6">
        <v>371</v>
      </c>
      <c r="M19" s="51">
        <v>0.05</v>
      </c>
      <c r="N19" s="6">
        <v>0</v>
      </c>
      <c r="O19" s="51">
        <v>0.05</v>
      </c>
      <c r="P19" s="6">
        <v>0</v>
      </c>
      <c r="Q19" s="6">
        <v>0</v>
      </c>
      <c r="R19" s="6">
        <v>77.099999999999994</v>
      </c>
      <c r="S19" s="6">
        <v>1.5</v>
      </c>
      <c r="T19" s="6">
        <v>48</v>
      </c>
      <c r="U19" s="6">
        <v>137</v>
      </c>
      <c r="V19" s="6">
        <v>133</v>
      </c>
      <c r="W19" s="6">
        <v>210</v>
      </c>
      <c r="X19" s="6">
        <v>1.2</v>
      </c>
      <c r="Y19" s="6">
        <v>13</v>
      </c>
      <c r="Z19" s="6">
        <v>0.06</v>
      </c>
      <c r="AA19" s="6">
        <v>5.8</v>
      </c>
      <c r="AB19" s="6">
        <v>160</v>
      </c>
      <c r="AC19" s="6">
        <v>53</v>
      </c>
      <c r="AD19" s="51">
        <v>5.0000000000000001E-3</v>
      </c>
      <c r="AE19" s="6">
        <v>180</v>
      </c>
      <c r="AF19" s="6">
        <v>0.09</v>
      </c>
      <c r="AG19" s="6">
        <v>0.3</v>
      </c>
      <c r="AH19" s="6">
        <v>0</v>
      </c>
      <c r="AI19" s="6">
        <v>0.1</v>
      </c>
      <c r="AJ19" s="6">
        <v>0.12</v>
      </c>
      <c r="AK19" s="6">
        <v>50</v>
      </c>
      <c r="AL19" s="6">
        <v>1.77</v>
      </c>
      <c r="AM19" s="6">
        <v>20</v>
      </c>
      <c r="AN19" s="6">
        <v>2.5</v>
      </c>
      <c r="AO19" s="6">
        <v>225</v>
      </c>
      <c r="AP19" s="6">
        <v>211</v>
      </c>
      <c r="AQ19" s="6">
        <v>84</v>
      </c>
      <c r="AR19" s="6">
        <v>1.1100000000000001</v>
      </c>
      <c r="AS19" s="6">
        <v>1.75</v>
      </c>
      <c r="AT19" s="51">
        <v>5.0000000000000001E-3</v>
      </c>
      <c r="AU19" s="6">
        <v>3.17</v>
      </c>
      <c r="AV19" s="6">
        <v>0</v>
      </c>
      <c r="AW19" s="6">
        <v>0</v>
      </c>
      <c r="AX19" s="6">
        <v>0.03</v>
      </c>
      <c r="AY19" s="6">
        <v>1.9</v>
      </c>
      <c r="AZ19" s="6">
        <v>1.21</v>
      </c>
      <c r="BA19" s="6">
        <v>0</v>
      </c>
      <c r="BB19" s="6">
        <v>0</v>
      </c>
      <c r="BC19" s="6">
        <v>2.58</v>
      </c>
      <c r="BD19" s="6">
        <v>0</v>
      </c>
      <c r="BE19" s="6">
        <v>0.23</v>
      </c>
      <c r="BF19" s="6">
        <v>2.35</v>
      </c>
      <c r="BG19" s="6">
        <v>0</v>
      </c>
      <c r="BH19" s="6">
        <v>0</v>
      </c>
      <c r="BI19" s="6">
        <v>1.26</v>
      </c>
      <c r="BJ19" s="6">
        <v>1.06</v>
      </c>
      <c r="BK19" s="6">
        <v>0.04</v>
      </c>
      <c r="BL19" s="6">
        <v>0.16</v>
      </c>
      <c r="BM19" s="6">
        <v>0</v>
      </c>
      <c r="BN19" s="6">
        <v>0</v>
      </c>
      <c r="BO19" s="6">
        <v>0</v>
      </c>
      <c r="BP19" s="7">
        <v>197</v>
      </c>
      <c r="BQ19" s="7">
        <v>623</v>
      </c>
      <c r="BR19" s="7">
        <v>657</v>
      </c>
      <c r="BS19" s="7">
        <v>1041</v>
      </c>
      <c r="BT19" s="7">
        <v>880</v>
      </c>
      <c r="BU19" s="7">
        <v>437</v>
      </c>
      <c r="BV19" s="7">
        <v>323</v>
      </c>
      <c r="BW19" s="7">
        <v>662</v>
      </c>
      <c r="BX19" s="7">
        <v>503</v>
      </c>
      <c r="BY19" s="7">
        <v>823</v>
      </c>
      <c r="BZ19" s="7">
        <v>767</v>
      </c>
      <c r="CA19" s="7">
        <v>298</v>
      </c>
      <c r="CB19" s="7">
        <v>719</v>
      </c>
      <c r="CC19" s="7">
        <v>1209</v>
      </c>
      <c r="CD19" s="7">
        <v>1508</v>
      </c>
      <c r="CE19" s="7">
        <v>416</v>
      </c>
      <c r="CF19" s="7">
        <v>496</v>
      </c>
      <c r="CG19" s="7">
        <v>842</v>
      </c>
      <c r="CH19" s="51">
        <v>0.05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>
        <f>($C19*D19)/100</f>
        <v>116.48</v>
      </c>
      <c r="CO19">
        <f t="shared" ref="CO19" si="444">($C19*E19)/100</f>
        <v>485.03</v>
      </c>
      <c r="CP19">
        <f t="shared" ref="CP19" si="445">($C19*F19)/100</f>
        <v>11.284000000000001</v>
      </c>
      <c r="CQ19">
        <f t="shared" ref="CQ19" si="446">($C19*G19)/100</f>
        <v>11.284000000000001</v>
      </c>
      <c r="CR19">
        <f t="shared" ref="CR19" si="447">($C19*H19)/100</f>
        <v>0</v>
      </c>
      <c r="CS19">
        <f t="shared" ref="CS19" si="448">($C19*I19)/100</f>
        <v>7.9169999999999989</v>
      </c>
      <c r="CT19">
        <f t="shared" ref="CT19" si="449">($C19*J19)/100</f>
        <v>7.9169999999999989</v>
      </c>
      <c r="CU19">
        <f t="shared" ref="CU19" si="450">($C19*K19)/100</f>
        <v>0</v>
      </c>
      <c r="CV19">
        <f t="shared" ref="CV19" si="451">($C19*L19)/100</f>
        <v>337.61</v>
      </c>
      <c r="CW19">
        <f t="shared" ref="CW19" si="452">($C19*M19)/100</f>
        <v>4.5499999999999999E-2</v>
      </c>
      <c r="CX19">
        <f t="shared" ref="CX19" si="453">($C19*N19)/100</f>
        <v>0</v>
      </c>
      <c r="CY19">
        <f t="shared" ref="CY19" si="454">($C19*O19)/100</f>
        <v>4.5499999999999999E-2</v>
      </c>
      <c r="CZ19">
        <f t="shared" ref="CZ19" si="455">($C19*P19)/100</f>
        <v>0</v>
      </c>
      <c r="DA19">
        <f t="shared" ref="DA19" si="456">($C19*Q19)/100</f>
        <v>0</v>
      </c>
      <c r="DB19">
        <f t="shared" ref="DB19" si="457">($C19*R19)/100</f>
        <v>70.161000000000001</v>
      </c>
      <c r="DC19">
        <f t="shared" ref="DC19" si="458">($C19*S19)/100</f>
        <v>1.365</v>
      </c>
      <c r="DD19">
        <f t="shared" ref="DD19" si="459">($C19*T19)/100</f>
        <v>43.68</v>
      </c>
      <c r="DE19">
        <f t="shared" ref="DE19" si="460">($C19*U19)/100</f>
        <v>124.67</v>
      </c>
      <c r="DF19">
        <f t="shared" ref="DF19" si="461">($C19*V19)/100</f>
        <v>121.03</v>
      </c>
      <c r="DG19">
        <f t="shared" ref="DG19" si="462">($C19*W19)/100</f>
        <v>191.1</v>
      </c>
      <c r="DH19">
        <f t="shared" ref="DH19" si="463">($C19*X19)/100</f>
        <v>1.0920000000000001</v>
      </c>
      <c r="DI19">
        <f t="shared" ref="DI19" si="464">($C19*Y19)/100</f>
        <v>11.83</v>
      </c>
      <c r="DJ19">
        <f t="shared" ref="DJ19" si="465">($C19*Z19)/100</f>
        <v>5.4600000000000003E-2</v>
      </c>
      <c r="DK19">
        <f t="shared" ref="DK19" si="466">($C19*AA19)/100</f>
        <v>5.2779999999999996</v>
      </c>
      <c r="DL19">
        <f t="shared" ref="DL19" si="467">($C19*AB19)/100</f>
        <v>145.6</v>
      </c>
      <c r="DM19">
        <f t="shared" ref="DM19" si="468">($C19*AC19)/100</f>
        <v>48.23</v>
      </c>
      <c r="DN19">
        <f t="shared" ref="DN19" si="469">($C19*AD19)/100</f>
        <v>4.5500000000000002E-3</v>
      </c>
      <c r="DO19">
        <f t="shared" ref="DO19" si="470">($C19*AE19)/100</f>
        <v>163.80000000000001</v>
      </c>
      <c r="DP19">
        <f t="shared" ref="DP19" si="471">($C19*AF19)/100</f>
        <v>8.1900000000000001E-2</v>
      </c>
      <c r="DQ19">
        <f t="shared" ref="DQ19" si="472">($C19*AG19)/100</f>
        <v>0.27300000000000002</v>
      </c>
      <c r="DR19">
        <f t="shared" ref="DR19" si="473">($C19*AH19)/100</f>
        <v>0</v>
      </c>
      <c r="DS19">
        <f t="shared" ref="DS19" si="474">($C19*AI19)/100</f>
        <v>9.0999999999999998E-2</v>
      </c>
      <c r="DT19">
        <f t="shared" ref="DT19" si="475">($C19*AJ19)/100</f>
        <v>0.10920000000000001</v>
      </c>
      <c r="DU19">
        <f t="shared" ref="DU19" si="476">($C19*AK19)/100</f>
        <v>45.5</v>
      </c>
      <c r="DV19">
        <f t="shared" ref="DV19" si="477">($C19*AL19)/100</f>
        <v>1.6107</v>
      </c>
      <c r="DW19">
        <f t="shared" ref="DW19" si="478">($C19*AM19)/100</f>
        <v>18.2</v>
      </c>
      <c r="DX19">
        <f t="shared" ref="DX19" si="479">($C19*AN19)/100</f>
        <v>2.2749999999999999</v>
      </c>
      <c r="DY19">
        <f t="shared" ref="DY19" si="480">($C19*AO19)/100</f>
        <v>204.75</v>
      </c>
      <c r="DZ19">
        <f t="shared" ref="DZ19" si="481">($C19*AP19)/100</f>
        <v>192.01</v>
      </c>
      <c r="EA19">
        <f t="shared" ref="EA19" si="482">($C19*AQ19)/100</f>
        <v>76.44</v>
      </c>
      <c r="EB19">
        <f t="shared" ref="EB19" si="483">($C19*AR19)/100</f>
        <v>1.0101</v>
      </c>
      <c r="EC19">
        <f t="shared" ref="EC19" si="484">($C19*AS19)/100</f>
        <v>1.5925</v>
      </c>
      <c r="ED19">
        <f t="shared" ref="ED19" si="485">($C19*AT19)/100</f>
        <v>4.5500000000000002E-3</v>
      </c>
      <c r="EE19">
        <f t="shared" ref="EE19" si="486">($C19*AU19)/100</f>
        <v>2.8846999999999996</v>
      </c>
      <c r="EF19">
        <f t="shared" ref="EF19" si="487">($C19*AV19)/100</f>
        <v>0</v>
      </c>
      <c r="EG19">
        <f t="shared" ref="EG19" si="488">($C19*AW19)/100</f>
        <v>0</v>
      </c>
      <c r="EH19">
        <f t="shared" ref="EH19" si="489">($C19*AX19)/100</f>
        <v>2.7300000000000001E-2</v>
      </c>
      <c r="EI19">
        <f t="shared" ref="EI19" si="490">($C19*AY19)/100</f>
        <v>1.7290000000000001</v>
      </c>
      <c r="EJ19">
        <f t="shared" ref="EJ19" si="491">($C19*AZ19)/100</f>
        <v>1.1011</v>
      </c>
      <c r="EK19">
        <f t="shared" ref="EK19" si="492">($C19*BA19)/100</f>
        <v>0</v>
      </c>
      <c r="EL19">
        <f t="shared" ref="EL19" si="493">($C19*BB19)/100</f>
        <v>0</v>
      </c>
      <c r="EM19">
        <f t="shared" ref="EM19" si="494">($C19*BC19)/100</f>
        <v>2.3477999999999999</v>
      </c>
      <c r="EN19">
        <f t="shared" ref="EN19" si="495">($C19*BD19)/100</f>
        <v>0</v>
      </c>
      <c r="EO19">
        <f t="shared" ref="EO19" si="496">($C19*BE19)/100</f>
        <v>0.20929999999999999</v>
      </c>
      <c r="EP19">
        <f t="shared" ref="EP19" si="497">($C19*BF19)/100</f>
        <v>2.1385000000000001</v>
      </c>
      <c r="EQ19">
        <f t="shared" ref="EQ19" si="498">($C19*BG19)/100</f>
        <v>0</v>
      </c>
      <c r="ER19">
        <f t="shared" ref="ER19" si="499">($C19*BH19)/100</f>
        <v>0</v>
      </c>
      <c r="ES19">
        <f t="shared" ref="ES19" si="500">($C19*BI19)/100</f>
        <v>1.1466000000000001</v>
      </c>
      <c r="ET19">
        <f t="shared" ref="ET19" si="501">($C19*BJ19)/100</f>
        <v>0.96460000000000012</v>
      </c>
      <c r="EU19">
        <f t="shared" ref="EU19" si="502">($C19*BK19)/100</f>
        <v>3.6400000000000002E-2</v>
      </c>
      <c r="EV19">
        <f t="shared" ref="EV19" si="503">($C19*BL19)/100</f>
        <v>0.14560000000000001</v>
      </c>
      <c r="EW19">
        <f t="shared" ref="EW19" si="504">($C19*BM19)/100</f>
        <v>0</v>
      </c>
      <c r="EX19">
        <f t="shared" ref="EX19" si="505">($C19*BN19)/100</f>
        <v>0</v>
      </c>
      <c r="EY19">
        <f t="shared" ref="EY19" si="506">($C19*BO19)/100</f>
        <v>0</v>
      </c>
      <c r="EZ19">
        <f t="shared" ref="EZ19" si="507">($C19*BP19)/100</f>
        <v>179.27</v>
      </c>
      <c r="FA19">
        <f t="shared" ref="FA19" si="508">($C19*BQ19)/100</f>
        <v>566.92999999999995</v>
      </c>
      <c r="FB19">
        <f t="shared" ref="FB19" si="509">($C19*BR19)/100</f>
        <v>597.87</v>
      </c>
      <c r="FC19">
        <f t="shared" ref="FC19" si="510">($C19*BS19)/100</f>
        <v>947.31</v>
      </c>
      <c r="FD19">
        <f t="shared" ref="FD19" si="511">($C19*BT19)/100</f>
        <v>800.8</v>
      </c>
      <c r="FE19">
        <f t="shared" ref="FE19" si="512">($C19*BU19)/100</f>
        <v>397.67</v>
      </c>
      <c r="FF19">
        <f t="shared" ref="FF19" si="513">($C19*BV19)/100</f>
        <v>293.93</v>
      </c>
      <c r="FG19">
        <f t="shared" ref="FG19" si="514">($C19*BW19)/100</f>
        <v>602.41999999999996</v>
      </c>
      <c r="FH19">
        <f t="shared" ref="FH19" si="515">($C19*BX19)/100</f>
        <v>457.73</v>
      </c>
      <c r="FI19">
        <f t="shared" ref="FI19" si="516">($C19*BY19)/100</f>
        <v>748.93</v>
      </c>
      <c r="FJ19">
        <f t="shared" ref="FJ19" si="517">($C19*BZ19)/100</f>
        <v>697.97</v>
      </c>
      <c r="FK19">
        <f t="shared" ref="FK19" si="518">($C19*CA19)/100</f>
        <v>271.18</v>
      </c>
      <c r="FL19">
        <f t="shared" ref="FL19" si="519">($C19*CB19)/100</f>
        <v>654.29</v>
      </c>
      <c r="FM19">
        <f t="shared" ref="FM19" si="520">($C19*CC19)/100</f>
        <v>1100.19</v>
      </c>
      <c r="FN19">
        <f t="shared" ref="FN19" si="521">($C19*CD19)/100</f>
        <v>1372.28</v>
      </c>
      <c r="FO19">
        <f t="shared" ref="FO19" si="522">($C19*CE19)/100</f>
        <v>378.56</v>
      </c>
      <c r="FP19">
        <f t="shared" ref="FP19" si="523">($C19*CF19)/100</f>
        <v>451.36</v>
      </c>
      <c r="FQ19">
        <f t="shared" ref="FQ19" si="524">($C19*CG19)/100</f>
        <v>766.22</v>
      </c>
      <c r="FR19">
        <f t="shared" ref="FR19" si="525">($C19*CH19)/100</f>
        <v>4.5499999999999999E-2</v>
      </c>
      <c r="FS19">
        <f t="shared" ref="FS19" si="526">($C19*CI19)/100</f>
        <v>0</v>
      </c>
      <c r="FT19">
        <f t="shared" ref="FT19" si="527">($C19*CJ19)/100</f>
        <v>0</v>
      </c>
      <c r="FU19">
        <f t="shared" ref="FU19" si="528">($C19*CK19)/100</f>
        <v>0</v>
      </c>
      <c r="FV19">
        <f t="shared" ref="FV19" si="529">($C19*CL19)/100</f>
        <v>0</v>
      </c>
      <c r="FW19">
        <f t="shared" ref="FW19" si="530">($C19*CM19)/100</f>
        <v>0</v>
      </c>
    </row>
    <row r="20" spans="1:179" x14ac:dyDescent="0.35">
      <c r="B20" s="72" t="s">
        <v>211</v>
      </c>
      <c r="C20">
        <v>9</v>
      </c>
      <c r="D20" s="6">
        <v>899</v>
      </c>
      <c r="E20" s="6">
        <v>3696</v>
      </c>
      <c r="F20" s="6">
        <v>0</v>
      </c>
      <c r="G20" s="6">
        <v>0</v>
      </c>
      <c r="H20" s="6">
        <v>0</v>
      </c>
      <c r="I20" s="6">
        <v>99.9</v>
      </c>
      <c r="J20" s="6">
        <v>0</v>
      </c>
      <c r="K20" s="6">
        <v>99.9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0.2</v>
      </c>
      <c r="T20" s="6">
        <v>0</v>
      </c>
      <c r="U20" s="51">
        <v>0.5</v>
      </c>
      <c r="V20" s="51">
        <v>0.5</v>
      </c>
      <c r="W20" s="6">
        <v>0</v>
      </c>
      <c r="X20" s="51">
        <v>5.0000000000000001E-3</v>
      </c>
      <c r="Y20" s="51">
        <v>0.5</v>
      </c>
      <c r="Z20" s="6">
        <v>0.01</v>
      </c>
      <c r="AA20" s="51">
        <v>0.05</v>
      </c>
      <c r="AB20" s="51">
        <v>0.5</v>
      </c>
      <c r="AC20" s="51">
        <v>0.5</v>
      </c>
      <c r="AD20" s="51">
        <v>5.0000000000000001E-3</v>
      </c>
      <c r="AE20" s="51">
        <v>0.5</v>
      </c>
      <c r="AF20" s="6">
        <v>0</v>
      </c>
      <c r="AG20" s="6">
        <v>0</v>
      </c>
      <c r="AH20" s="6">
        <v>0</v>
      </c>
      <c r="AI20" s="6">
        <v>0</v>
      </c>
      <c r="AJ20" s="51">
        <v>5.0000000000000001E-3</v>
      </c>
      <c r="AK20" s="51">
        <v>0.5</v>
      </c>
      <c r="AL20" s="51">
        <v>5.0000000000000001E-3</v>
      </c>
      <c r="AM20" s="51">
        <v>0.05</v>
      </c>
      <c r="AN20" s="6">
        <v>0</v>
      </c>
      <c r="AO20" s="6">
        <v>36</v>
      </c>
      <c r="AP20" s="6">
        <v>0</v>
      </c>
      <c r="AQ20" s="6">
        <v>216</v>
      </c>
      <c r="AR20" s="6">
        <v>21.42</v>
      </c>
      <c r="AS20" s="6">
        <v>0</v>
      </c>
      <c r="AT20" s="6">
        <v>57.5</v>
      </c>
      <c r="AU20" s="6">
        <v>14.46</v>
      </c>
      <c r="AV20" s="6">
        <v>0</v>
      </c>
      <c r="AW20" s="6">
        <v>0</v>
      </c>
      <c r="AX20" s="6">
        <v>0</v>
      </c>
      <c r="AY20" s="6">
        <v>10.64</v>
      </c>
      <c r="AZ20" s="6">
        <v>3.06</v>
      </c>
      <c r="BA20" s="6">
        <v>0.76</v>
      </c>
      <c r="BB20" s="6">
        <v>0</v>
      </c>
      <c r="BC20" s="6">
        <v>72.95</v>
      </c>
      <c r="BD20" s="6">
        <v>0</v>
      </c>
      <c r="BE20" s="6">
        <v>0.79</v>
      </c>
      <c r="BF20" s="6">
        <v>71.87</v>
      </c>
      <c r="BG20" s="6">
        <v>0.28999999999999998</v>
      </c>
      <c r="BH20" s="6">
        <v>0</v>
      </c>
      <c r="BI20" s="6">
        <v>7.52</v>
      </c>
      <c r="BJ20" s="6">
        <v>6.79</v>
      </c>
      <c r="BK20" s="6">
        <v>0.73</v>
      </c>
      <c r="BL20" s="6">
        <v>0</v>
      </c>
      <c r="BM20" s="6">
        <v>0</v>
      </c>
      <c r="BN20" s="6">
        <v>0</v>
      </c>
      <c r="BO20" s="6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>
        <f>($C20*D20)/100</f>
        <v>80.91</v>
      </c>
      <c r="CO20">
        <f t="shared" ref="CO20" si="531">($C20*E20)/100</f>
        <v>332.64</v>
      </c>
      <c r="CP20">
        <f t="shared" ref="CP20" si="532">($C20*F20)/100</f>
        <v>0</v>
      </c>
      <c r="CQ20">
        <f t="shared" ref="CQ20" si="533">($C20*G20)/100</f>
        <v>0</v>
      </c>
      <c r="CR20">
        <f t="shared" ref="CR20" si="534">($C20*H20)/100</f>
        <v>0</v>
      </c>
      <c r="CS20">
        <f t="shared" ref="CS20" si="535">($C20*I20)/100</f>
        <v>8.9909999999999997</v>
      </c>
      <c r="CT20">
        <f t="shared" ref="CT20" si="536">($C20*J20)/100</f>
        <v>0</v>
      </c>
      <c r="CU20">
        <f t="shared" ref="CU20" si="537">($C20*K20)/100</f>
        <v>8.9909999999999997</v>
      </c>
      <c r="CV20">
        <f t="shared" ref="CV20" si="538">($C20*L20)/100</f>
        <v>0</v>
      </c>
      <c r="CW20">
        <f t="shared" ref="CW20" si="539">($C20*M20)/100</f>
        <v>0</v>
      </c>
      <c r="CX20">
        <f t="shared" ref="CX20" si="540">($C20*N20)/100</f>
        <v>0</v>
      </c>
      <c r="CY20">
        <f t="shared" ref="CY20" si="541">($C20*O20)/100</f>
        <v>0</v>
      </c>
      <c r="CZ20">
        <f t="shared" ref="CZ20" si="542">($C20*P20)/100</f>
        <v>0</v>
      </c>
      <c r="DA20">
        <f t="shared" ref="DA20" si="543">($C20*Q20)/100</f>
        <v>0</v>
      </c>
      <c r="DB20">
        <f t="shared" ref="DB20" si="544">($C20*R20)/100</f>
        <v>0</v>
      </c>
      <c r="DC20">
        <f t="shared" ref="DC20" si="545">($C20*S20)/100</f>
        <v>1.8000000000000002E-2</v>
      </c>
      <c r="DD20">
        <f t="shared" ref="DD20" si="546">($C20*T20)/100</f>
        <v>0</v>
      </c>
      <c r="DE20">
        <f t="shared" ref="DE20" si="547">($C20*U20)/100</f>
        <v>4.4999999999999998E-2</v>
      </c>
      <c r="DF20">
        <f t="shared" ref="DF20" si="548">($C20*V20)/100</f>
        <v>4.4999999999999998E-2</v>
      </c>
      <c r="DG20">
        <f t="shared" ref="DG20" si="549">($C20*W20)/100</f>
        <v>0</v>
      </c>
      <c r="DH20">
        <f t="shared" ref="DH20" si="550">($C20*X20)/100</f>
        <v>4.4999999999999999E-4</v>
      </c>
      <c r="DI20">
        <f t="shared" ref="DI20" si="551">($C20*Y20)/100</f>
        <v>4.4999999999999998E-2</v>
      </c>
      <c r="DJ20">
        <f t="shared" ref="DJ20" si="552">($C20*Z20)/100</f>
        <v>8.9999999999999998E-4</v>
      </c>
      <c r="DK20">
        <f t="shared" ref="DK20" si="553">($C20*AA20)/100</f>
        <v>4.5000000000000005E-3</v>
      </c>
      <c r="DL20">
        <f t="shared" ref="DL20" si="554">($C20*AB20)/100</f>
        <v>4.4999999999999998E-2</v>
      </c>
      <c r="DM20">
        <f t="shared" ref="DM20" si="555">($C20*AC20)/100</f>
        <v>4.4999999999999998E-2</v>
      </c>
      <c r="DN20">
        <f t="shared" ref="DN20" si="556">($C20*AD20)/100</f>
        <v>4.4999999999999999E-4</v>
      </c>
      <c r="DO20">
        <f t="shared" ref="DO20" si="557">($C20*AE20)/100</f>
        <v>4.4999999999999998E-2</v>
      </c>
      <c r="DP20">
        <f t="shared" ref="DP20" si="558">($C20*AF20)/100</f>
        <v>0</v>
      </c>
      <c r="DQ20">
        <f t="shared" ref="DQ20" si="559">($C20*AG20)/100</f>
        <v>0</v>
      </c>
      <c r="DR20">
        <f t="shared" ref="DR20" si="560">($C20*AH20)/100</f>
        <v>0</v>
      </c>
      <c r="DS20">
        <f t="shared" ref="DS20" si="561">($C20*AI20)/100</f>
        <v>0</v>
      </c>
      <c r="DT20">
        <f t="shared" ref="DT20" si="562">($C20*AJ20)/100</f>
        <v>4.4999999999999999E-4</v>
      </c>
      <c r="DU20">
        <f t="shared" ref="DU20" si="563">($C20*AK20)/100</f>
        <v>4.4999999999999998E-2</v>
      </c>
      <c r="DV20">
        <f t="shared" ref="DV20" si="564">($C20*AL20)/100</f>
        <v>4.4999999999999999E-4</v>
      </c>
      <c r="DW20">
        <f t="shared" ref="DW20" si="565">($C20*AM20)/100</f>
        <v>4.5000000000000005E-3</v>
      </c>
      <c r="DX20">
        <f t="shared" ref="DX20" si="566">($C20*AN20)/100</f>
        <v>0</v>
      </c>
      <c r="DY20">
        <f t="shared" ref="DY20" si="567">($C20*AO20)/100</f>
        <v>3.24</v>
      </c>
      <c r="DZ20">
        <f t="shared" ref="DZ20" si="568">($C20*AP20)/100</f>
        <v>0</v>
      </c>
      <c r="EA20">
        <f t="shared" ref="EA20" si="569">($C20*AQ20)/100</f>
        <v>19.440000000000001</v>
      </c>
      <c r="EB20">
        <f t="shared" ref="EB20" si="570">($C20*AR20)/100</f>
        <v>1.9278000000000004</v>
      </c>
      <c r="EC20">
        <f t="shared" ref="EC20" si="571">($C20*AS20)/100</f>
        <v>0</v>
      </c>
      <c r="ED20">
        <f t="shared" ref="ED20" si="572">($C20*AT20)/100</f>
        <v>5.1749999999999998</v>
      </c>
      <c r="EE20">
        <f t="shared" ref="EE20" si="573">($C20*AU20)/100</f>
        <v>1.3014000000000001</v>
      </c>
      <c r="EF20">
        <f t="shared" ref="EF20" si="574">($C20*AV20)/100</f>
        <v>0</v>
      </c>
      <c r="EG20">
        <f t="shared" ref="EG20" si="575">($C20*AW20)/100</f>
        <v>0</v>
      </c>
      <c r="EH20">
        <f t="shared" ref="EH20" si="576">($C20*AX20)/100</f>
        <v>0</v>
      </c>
      <c r="EI20">
        <f t="shared" ref="EI20" si="577">($C20*AY20)/100</f>
        <v>0.95760000000000001</v>
      </c>
      <c r="EJ20">
        <f t="shared" ref="EJ20" si="578">($C20*AZ20)/100</f>
        <v>0.27539999999999998</v>
      </c>
      <c r="EK20">
        <f t="shared" ref="EK20" si="579">($C20*BA20)/100</f>
        <v>6.8400000000000002E-2</v>
      </c>
      <c r="EL20">
        <f t="shared" ref="EL20" si="580">($C20*BB20)/100</f>
        <v>0</v>
      </c>
      <c r="EM20">
        <f t="shared" ref="EM20" si="581">($C20*BC20)/100</f>
        <v>6.565500000000001</v>
      </c>
      <c r="EN20">
        <f t="shared" ref="EN20" si="582">($C20*BD20)/100</f>
        <v>0</v>
      </c>
      <c r="EO20">
        <f t="shared" ref="EO20" si="583">($C20*BE20)/100</f>
        <v>7.1099999999999997E-2</v>
      </c>
      <c r="EP20">
        <f t="shared" ref="EP20" si="584">($C20*BF20)/100</f>
        <v>6.4683000000000002</v>
      </c>
      <c r="EQ20">
        <f t="shared" ref="EQ20" si="585">($C20*BG20)/100</f>
        <v>2.6099999999999998E-2</v>
      </c>
      <c r="ER20">
        <f t="shared" ref="ER20" si="586">($C20*BH20)/100</f>
        <v>0</v>
      </c>
      <c r="ES20">
        <f t="shared" ref="ES20" si="587">($C20*BI20)/100</f>
        <v>0.67679999999999996</v>
      </c>
      <c r="ET20">
        <f t="shared" ref="ET20" si="588">($C20*BJ20)/100</f>
        <v>0.61109999999999998</v>
      </c>
      <c r="EU20">
        <f t="shared" ref="EU20" si="589">($C20*BK20)/100</f>
        <v>6.5700000000000008E-2</v>
      </c>
      <c r="EV20">
        <f t="shared" ref="EV20" si="590">($C20*BL20)/100</f>
        <v>0</v>
      </c>
      <c r="EW20">
        <f t="shared" ref="EW20" si="591">($C20*BM20)/100</f>
        <v>0</v>
      </c>
      <c r="EX20">
        <f t="shared" ref="EX20" si="592">($C20*BN20)/100</f>
        <v>0</v>
      </c>
      <c r="EY20">
        <f t="shared" ref="EY20" si="593">($C20*BO20)/100</f>
        <v>0</v>
      </c>
      <c r="EZ20">
        <f t="shared" ref="EZ20" si="594">($C20*BP20)/100</f>
        <v>0</v>
      </c>
      <c r="FA20">
        <f t="shared" ref="FA20" si="595">($C20*BQ20)/100</f>
        <v>0</v>
      </c>
      <c r="FB20">
        <f t="shared" ref="FB20" si="596">($C20*BR20)/100</f>
        <v>0</v>
      </c>
      <c r="FC20">
        <f t="shared" ref="FC20" si="597">($C20*BS20)/100</f>
        <v>0</v>
      </c>
      <c r="FD20">
        <f t="shared" ref="FD20" si="598">($C20*BT20)/100</f>
        <v>0</v>
      </c>
      <c r="FE20">
        <f t="shared" ref="FE20" si="599">($C20*BU20)/100</f>
        <v>0</v>
      </c>
      <c r="FF20">
        <f t="shared" ref="FF20" si="600">($C20*BV20)/100</f>
        <v>0</v>
      </c>
      <c r="FG20">
        <f t="shared" ref="FG20" si="601">($C20*BW20)/100</f>
        <v>0</v>
      </c>
      <c r="FH20">
        <f t="shared" ref="FH20" si="602">($C20*BX20)/100</f>
        <v>0</v>
      </c>
      <c r="FI20">
        <f t="shared" ref="FI20" si="603">($C20*BY20)/100</f>
        <v>0</v>
      </c>
      <c r="FJ20">
        <f t="shared" ref="FJ20" si="604">($C20*BZ20)/100</f>
        <v>0</v>
      </c>
      <c r="FK20">
        <f t="shared" ref="FK20" si="605">($C20*CA20)/100</f>
        <v>0</v>
      </c>
      <c r="FL20">
        <f t="shared" ref="FL20" si="606">($C20*CB20)/100</f>
        <v>0</v>
      </c>
      <c r="FM20">
        <f t="shared" ref="FM20" si="607">($C20*CC20)/100</f>
        <v>0</v>
      </c>
      <c r="FN20">
        <f t="shared" ref="FN20" si="608">($C20*CD20)/100</f>
        <v>0</v>
      </c>
      <c r="FO20">
        <f t="shared" ref="FO20" si="609">($C20*CE20)/100</f>
        <v>0</v>
      </c>
      <c r="FP20">
        <f t="shared" ref="FP20" si="610">($C20*CF20)/100</f>
        <v>0</v>
      </c>
      <c r="FQ20">
        <f t="shared" ref="FQ20" si="611">($C20*CG20)/100</f>
        <v>0</v>
      </c>
      <c r="FR20">
        <f t="shared" ref="FR20" si="612">($C20*CH20)/100</f>
        <v>0</v>
      </c>
      <c r="FS20">
        <f t="shared" ref="FS20" si="613">($C20*CI20)/100</f>
        <v>0</v>
      </c>
      <c r="FT20">
        <f t="shared" ref="FT20" si="614">($C20*CJ20)/100</f>
        <v>0</v>
      </c>
      <c r="FU20">
        <f t="shared" ref="FU20" si="615">($C20*CK20)/100</f>
        <v>0</v>
      </c>
      <c r="FV20">
        <f t="shared" ref="FV20" si="616">($C20*CL20)/100</f>
        <v>0</v>
      </c>
      <c r="FW20">
        <f t="shared" ref="FW20" si="617">($C20*CM20)/100</f>
        <v>0</v>
      </c>
    </row>
    <row r="21" spans="1:179" x14ac:dyDescent="0.35">
      <c r="C21">
        <f>SUM(C19:C20)</f>
        <v>100</v>
      </c>
      <c r="CN21">
        <f>SUM(CN19:CN20)</f>
        <v>197.39</v>
      </c>
      <c r="CO21">
        <f t="shared" ref="CO21:EZ21" si="618">SUM(CO19:CO20)</f>
        <v>817.67</v>
      </c>
      <c r="CP21">
        <f t="shared" si="618"/>
        <v>11.284000000000001</v>
      </c>
      <c r="CQ21">
        <f t="shared" si="618"/>
        <v>11.284000000000001</v>
      </c>
      <c r="CR21">
        <f t="shared" si="618"/>
        <v>0</v>
      </c>
      <c r="CS21">
        <f t="shared" si="618"/>
        <v>16.907999999999998</v>
      </c>
      <c r="CT21">
        <f t="shared" si="618"/>
        <v>7.9169999999999989</v>
      </c>
      <c r="CU21">
        <f t="shared" si="618"/>
        <v>8.9909999999999997</v>
      </c>
      <c r="CV21">
        <f t="shared" si="618"/>
        <v>337.61</v>
      </c>
      <c r="CW21">
        <f t="shared" si="618"/>
        <v>4.5499999999999999E-2</v>
      </c>
      <c r="CX21">
        <f t="shared" si="618"/>
        <v>0</v>
      </c>
      <c r="CY21">
        <f t="shared" si="618"/>
        <v>4.5499999999999999E-2</v>
      </c>
      <c r="CZ21">
        <f t="shared" si="618"/>
        <v>0</v>
      </c>
      <c r="DA21">
        <f t="shared" si="618"/>
        <v>0</v>
      </c>
      <c r="DB21">
        <f t="shared" si="618"/>
        <v>70.161000000000001</v>
      </c>
      <c r="DC21">
        <f t="shared" si="618"/>
        <v>1.383</v>
      </c>
      <c r="DD21">
        <f t="shared" si="618"/>
        <v>43.68</v>
      </c>
      <c r="DE21">
        <f t="shared" si="618"/>
        <v>124.715</v>
      </c>
      <c r="DF21">
        <f t="shared" si="618"/>
        <v>121.075</v>
      </c>
      <c r="DG21">
        <f t="shared" si="618"/>
        <v>191.1</v>
      </c>
      <c r="DH21">
        <f t="shared" si="618"/>
        <v>1.0924500000000001</v>
      </c>
      <c r="DI21">
        <f t="shared" si="618"/>
        <v>11.875</v>
      </c>
      <c r="DJ21">
        <f t="shared" si="618"/>
        <v>5.5500000000000001E-2</v>
      </c>
      <c r="DK21">
        <f t="shared" si="618"/>
        <v>5.2824999999999998</v>
      </c>
      <c r="DL21">
        <f t="shared" si="618"/>
        <v>145.64499999999998</v>
      </c>
      <c r="DM21">
        <f t="shared" si="618"/>
        <v>48.274999999999999</v>
      </c>
      <c r="DN21">
        <f t="shared" si="618"/>
        <v>5.0000000000000001E-3</v>
      </c>
      <c r="DO21">
        <f t="shared" si="618"/>
        <v>163.845</v>
      </c>
      <c r="DP21">
        <f t="shared" si="618"/>
        <v>8.1900000000000001E-2</v>
      </c>
      <c r="DQ21">
        <f t="shared" si="618"/>
        <v>0.27300000000000002</v>
      </c>
      <c r="DR21">
        <f t="shared" si="618"/>
        <v>0</v>
      </c>
      <c r="DS21">
        <f t="shared" si="618"/>
        <v>9.0999999999999998E-2</v>
      </c>
      <c r="DT21">
        <f t="shared" si="618"/>
        <v>0.10965000000000001</v>
      </c>
      <c r="DU21">
        <f t="shared" si="618"/>
        <v>45.545000000000002</v>
      </c>
      <c r="DV21">
        <f t="shared" si="618"/>
        <v>1.6111500000000001</v>
      </c>
      <c r="DW21">
        <f t="shared" si="618"/>
        <v>18.204499999999999</v>
      </c>
      <c r="DX21">
        <f t="shared" si="618"/>
        <v>2.2749999999999999</v>
      </c>
      <c r="DY21">
        <f t="shared" si="618"/>
        <v>207.99</v>
      </c>
      <c r="DZ21">
        <f t="shared" si="618"/>
        <v>192.01</v>
      </c>
      <c r="EA21">
        <f t="shared" si="618"/>
        <v>95.88</v>
      </c>
      <c r="EB21">
        <f t="shared" si="618"/>
        <v>2.9379000000000004</v>
      </c>
      <c r="EC21">
        <f t="shared" si="618"/>
        <v>1.5925</v>
      </c>
      <c r="ED21">
        <f t="shared" si="618"/>
        <v>5.1795499999999999</v>
      </c>
      <c r="EE21">
        <f t="shared" si="618"/>
        <v>4.1860999999999997</v>
      </c>
      <c r="EF21">
        <f t="shared" si="618"/>
        <v>0</v>
      </c>
      <c r="EG21">
        <f t="shared" si="618"/>
        <v>0</v>
      </c>
      <c r="EH21">
        <f t="shared" si="618"/>
        <v>2.7300000000000001E-2</v>
      </c>
      <c r="EI21">
        <f t="shared" si="618"/>
        <v>2.6866000000000003</v>
      </c>
      <c r="EJ21">
        <f t="shared" si="618"/>
        <v>1.3765000000000001</v>
      </c>
      <c r="EK21">
        <f t="shared" si="618"/>
        <v>6.8400000000000002E-2</v>
      </c>
      <c r="EL21">
        <f t="shared" si="618"/>
        <v>0</v>
      </c>
      <c r="EM21">
        <f t="shared" si="618"/>
        <v>8.9133000000000013</v>
      </c>
      <c r="EN21">
        <f t="shared" si="618"/>
        <v>0</v>
      </c>
      <c r="EO21">
        <f t="shared" si="618"/>
        <v>0.28039999999999998</v>
      </c>
      <c r="EP21">
        <f t="shared" si="618"/>
        <v>8.6067999999999998</v>
      </c>
      <c r="EQ21">
        <f t="shared" si="618"/>
        <v>2.6099999999999998E-2</v>
      </c>
      <c r="ER21">
        <f t="shared" si="618"/>
        <v>0</v>
      </c>
      <c r="ES21">
        <f t="shared" si="618"/>
        <v>1.8233999999999999</v>
      </c>
      <c r="ET21">
        <f t="shared" si="618"/>
        <v>1.5757000000000001</v>
      </c>
      <c r="EU21">
        <f t="shared" si="618"/>
        <v>0.10210000000000001</v>
      </c>
      <c r="EV21">
        <f t="shared" si="618"/>
        <v>0.14560000000000001</v>
      </c>
      <c r="EW21">
        <f t="shared" si="618"/>
        <v>0</v>
      </c>
      <c r="EX21">
        <f t="shared" si="618"/>
        <v>0</v>
      </c>
      <c r="EY21">
        <f t="shared" si="618"/>
        <v>0</v>
      </c>
      <c r="EZ21">
        <f t="shared" si="618"/>
        <v>179.27</v>
      </c>
      <c r="FA21">
        <f t="shared" ref="FA21:FW21" si="619">SUM(FA19:FA20)</f>
        <v>566.92999999999995</v>
      </c>
      <c r="FB21">
        <f t="shared" si="619"/>
        <v>597.87</v>
      </c>
      <c r="FC21">
        <f t="shared" si="619"/>
        <v>947.31</v>
      </c>
      <c r="FD21">
        <f t="shared" si="619"/>
        <v>800.8</v>
      </c>
      <c r="FE21">
        <f t="shared" si="619"/>
        <v>397.67</v>
      </c>
      <c r="FF21">
        <f t="shared" si="619"/>
        <v>293.93</v>
      </c>
      <c r="FG21">
        <f t="shared" si="619"/>
        <v>602.41999999999996</v>
      </c>
      <c r="FH21">
        <f t="shared" si="619"/>
        <v>457.73</v>
      </c>
      <c r="FI21">
        <f t="shared" si="619"/>
        <v>748.93</v>
      </c>
      <c r="FJ21">
        <f t="shared" si="619"/>
        <v>697.97</v>
      </c>
      <c r="FK21">
        <f t="shared" si="619"/>
        <v>271.18</v>
      </c>
      <c r="FL21">
        <f t="shared" si="619"/>
        <v>654.29</v>
      </c>
      <c r="FM21">
        <f t="shared" si="619"/>
        <v>1100.19</v>
      </c>
      <c r="FN21">
        <f t="shared" si="619"/>
        <v>1372.28</v>
      </c>
      <c r="FO21">
        <f t="shared" si="619"/>
        <v>378.56</v>
      </c>
      <c r="FP21">
        <f t="shared" si="619"/>
        <v>451.36</v>
      </c>
      <c r="FQ21">
        <f t="shared" si="619"/>
        <v>766.22</v>
      </c>
      <c r="FR21">
        <f t="shared" si="619"/>
        <v>4.5499999999999999E-2</v>
      </c>
      <c r="FS21">
        <f t="shared" si="619"/>
        <v>0</v>
      </c>
      <c r="FT21">
        <f t="shared" si="619"/>
        <v>0</v>
      </c>
      <c r="FU21">
        <f t="shared" si="619"/>
        <v>0</v>
      </c>
      <c r="FV21">
        <f t="shared" si="619"/>
        <v>0</v>
      </c>
      <c r="FW21">
        <f t="shared" si="619"/>
        <v>0</v>
      </c>
    </row>
    <row r="23" spans="1:179" x14ac:dyDescent="0.35">
      <c r="A23" s="80" t="s">
        <v>224</v>
      </c>
      <c r="B23" s="72" t="s">
        <v>223</v>
      </c>
      <c r="C23">
        <v>88</v>
      </c>
      <c r="D23" s="6">
        <v>334</v>
      </c>
      <c r="E23" s="6">
        <v>1423</v>
      </c>
      <c r="F23" s="6">
        <v>6.7</v>
      </c>
      <c r="G23" s="6">
        <v>0</v>
      </c>
      <c r="H23" s="6">
        <v>6.7</v>
      </c>
      <c r="I23" s="6">
        <v>0.4</v>
      </c>
      <c r="J23" s="6">
        <v>0</v>
      </c>
      <c r="K23" s="6">
        <v>0.4</v>
      </c>
      <c r="L23" s="6">
        <v>0</v>
      </c>
      <c r="M23" s="6">
        <v>80.400000000000006</v>
      </c>
      <c r="N23" s="6">
        <v>80.2</v>
      </c>
      <c r="O23" s="6">
        <v>0.2</v>
      </c>
      <c r="P23" s="6">
        <v>1</v>
      </c>
      <c r="Q23" s="6">
        <v>0</v>
      </c>
      <c r="R23" s="6">
        <v>12</v>
      </c>
      <c r="S23" s="6">
        <v>0.8</v>
      </c>
      <c r="T23" s="6">
        <v>24</v>
      </c>
      <c r="U23" s="6">
        <v>5</v>
      </c>
      <c r="V23" s="6">
        <v>92</v>
      </c>
      <c r="W23" s="6">
        <v>94</v>
      </c>
      <c r="X23" s="6">
        <v>1.3</v>
      </c>
      <c r="Y23" s="6">
        <v>20</v>
      </c>
      <c r="Z23" s="6">
        <v>0.18</v>
      </c>
      <c r="AA23" s="6">
        <v>10</v>
      </c>
      <c r="AB23" s="6">
        <v>46</v>
      </c>
      <c r="AC23" s="51">
        <v>0.5</v>
      </c>
      <c r="AD23" s="6">
        <v>0.7</v>
      </c>
      <c r="AE23" s="6">
        <v>77</v>
      </c>
      <c r="AF23" s="6">
        <v>0.11</v>
      </c>
      <c r="AG23" s="6">
        <v>0.03</v>
      </c>
      <c r="AH23" s="6">
        <v>0</v>
      </c>
      <c r="AI23" s="6">
        <v>1.3</v>
      </c>
      <c r="AJ23" s="6">
        <v>0.11</v>
      </c>
      <c r="AK23" s="6">
        <v>13</v>
      </c>
      <c r="AL23" s="6">
        <v>0.3</v>
      </c>
      <c r="AM23" s="6">
        <v>1</v>
      </c>
      <c r="AN23" s="6">
        <v>0</v>
      </c>
      <c r="AO23" s="6">
        <v>0</v>
      </c>
      <c r="AP23" s="6">
        <v>0</v>
      </c>
      <c r="AQ23" s="6">
        <v>0</v>
      </c>
      <c r="AR23" s="51">
        <v>5.0000000000000001E-3</v>
      </c>
      <c r="AS23" s="6">
        <v>0</v>
      </c>
      <c r="AT23" s="6">
        <v>0.1</v>
      </c>
      <c r="AU23" s="6">
        <v>0.1</v>
      </c>
      <c r="AV23" s="6">
        <v>0</v>
      </c>
      <c r="AW23" s="6">
        <v>0</v>
      </c>
      <c r="AX23" s="6">
        <v>0</v>
      </c>
      <c r="AY23" s="6">
        <v>0.09</v>
      </c>
      <c r="AZ23" s="6">
        <v>0.01</v>
      </c>
      <c r="BA23" s="6">
        <v>0</v>
      </c>
      <c r="BB23" s="6">
        <v>0</v>
      </c>
      <c r="BC23" s="6">
        <v>0.13</v>
      </c>
      <c r="BD23" s="6">
        <v>0</v>
      </c>
      <c r="BE23" s="6">
        <v>0</v>
      </c>
      <c r="BF23" s="6">
        <v>0.13</v>
      </c>
      <c r="BG23" s="6">
        <v>0</v>
      </c>
      <c r="BH23" s="6">
        <v>0</v>
      </c>
      <c r="BI23" s="6">
        <v>0.18</v>
      </c>
      <c r="BJ23" s="6">
        <v>0.17</v>
      </c>
      <c r="BK23" s="6">
        <v>0.01</v>
      </c>
      <c r="BL23" s="6">
        <v>0</v>
      </c>
      <c r="BM23" s="6">
        <v>0</v>
      </c>
      <c r="BN23" s="6">
        <v>0</v>
      </c>
      <c r="BO23" s="6">
        <v>0</v>
      </c>
      <c r="BP23" s="7">
        <v>84</v>
      </c>
      <c r="BQ23" s="7">
        <v>246</v>
      </c>
      <c r="BR23" s="7">
        <v>306</v>
      </c>
      <c r="BS23" s="7">
        <v>590</v>
      </c>
      <c r="BT23" s="7">
        <v>257</v>
      </c>
      <c r="BU23" s="7">
        <v>149</v>
      </c>
      <c r="BV23" s="7">
        <v>108</v>
      </c>
      <c r="BW23" s="7">
        <v>360</v>
      </c>
      <c r="BX23" s="7">
        <v>228</v>
      </c>
      <c r="BY23" s="7">
        <v>438</v>
      </c>
      <c r="BZ23" s="7">
        <v>543</v>
      </c>
      <c r="CA23" s="7">
        <v>165</v>
      </c>
      <c r="CB23" s="7">
        <v>401</v>
      </c>
      <c r="CC23" s="7">
        <v>657</v>
      </c>
      <c r="CD23" s="7">
        <v>1354</v>
      </c>
      <c r="CE23" s="7">
        <v>310</v>
      </c>
      <c r="CF23" s="7">
        <v>333</v>
      </c>
      <c r="CG23" s="7">
        <v>348</v>
      </c>
      <c r="CH23" s="51">
        <v>0.05</v>
      </c>
      <c r="CI23" s="51">
        <v>0.05</v>
      </c>
      <c r="CJ23" s="6">
        <v>0</v>
      </c>
      <c r="CK23" s="6">
        <v>0.2</v>
      </c>
      <c r="CL23" s="6">
        <v>0</v>
      </c>
      <c r="CM23" s="6">
        <v>0</v>
      </c>
      <c r="CN23">
        <f>($C23*D23)/100</f>
        <v>293.92</v>
      </c>
      <c r="CO23">
        <f t="shared" ref="CO23" si="620">($C23*E23)/100</f>
        <v>1252.24</v>
      </c>
      <c r="CP23">
        <f t="shared" ref="CP23" si="621">($C23*F23)/100</f>
        <v>5.8959999999999999</v>
      </c>
      <c r="CQ23">
        <f t="shared" ref="CQ23" si="622">($C23*G23)/100</f>
        <v>0</v>
      </c>
      <c r="CR23">
        <f t="shared" ref="CR23" si="623">($C23*H23)/100</f>
        <v>5.8959999999999999</v>
      </c>
      <c r="CS23">
        <f t="shared" ref="CS23" si="624">($C23*I23)/100</f>
        <v>0.35200000000000004</v>
      </c>
      <c r="CT23">
        <f t="shared" ref="CT23" si="625">($C23*J23)/100</f>
        <v>0</v>
      </c>
      <c r="CU23">
        <f t="shared" ref="CU23" si="626">($C23*K23)/100</f>
        <v>0.35200000000000004</v>
      </c>
      <c r="CV23">
        <f t="shared" ref="CV23" si="627">($C23*L23)/100</f>
        <v>0</v>
      </c>
      <c r="CW23">
        <f t="shared" ref="CW23" si="628">($C23*M23)/100</f>
        <v>70.75200000000001</v>
      </c>
      <c r="CX23">
        <f t="shared" ref="CX23" si="629">($C23*N23)/100</f>
        <v>70.576000000000008</v>
      </c>
      <c r="CY23">
        <f t="shared" ref="CY23" si="630">($C23*O23)/100</f>
        <v>0.17600000000000002</v>
      </c>
      <c r="CZ23">
        <f t="shared" ref="CZ23" si="631">($C23*P23)/100</f>
        <v>0.88</v>
      </c>
      <c r="DA23">
        <f t="shared" ref="DA23" si="632">($C23*Q23)/100</f>
        <v>0</v>
      </c>
      <c r="DB23">
        <f t="shared" ref="DB23" si="633">($C23*R23)/100</f>
        <v>10.56</v>
      </c>
      <c r="DC23">
        <f t="shared" ref="DC23" si="634">($C23*S23)/100</f>
        <v>0.70400000000000007</v>
      </c>
      <c r="DD23">
        <f t="shared" ref="DD23" si="635">($C23*T23)/100</f>
        <v>21.12</v>
      </c>
      <c r="DE23">
        <f t="shared" ref="DE23" si="636">($C23*U23)/100</f>
        <v>4.4000000000000004</v>
      </c>
      <c r="DF23">
        <f t="shared" ref="DF23" si="637">($C23*V23)/100</f>
        <v>80.959999999999994</v>
      </c>
      <c r="DG23">
        <f t="shared" ref="DG23" si="638">($C23*W23)/100</f>
        <v>82.72</v>
      </c>
      <c r="DH23">
        <f t="shared" ref="DH23" si="639">($C23*X23)/100</f>
        <v>1.1440000000000001</v>
      </c>
      <c r="DI23">
        <f t="shared" ref="DI23" si="640">($C23*Y23)/100</f>
        <v>17.600000000000001</v>
      </c>
      <c r="DJ23">
        <f t="shared" ref="DJ23" si="641">($C23*Z23)/100</f>
        <v>0.15839999999999999</v>
      </c>
      <c r="DK23">
        <f t="shared" ref="DK23" si="642">($C23*AA23)/100</f>
        <v>8.8000000000000007</v>
      </c>
      <c r="DL23">
        <f t="shared" ref="DL23" si="643">($C23*AB23)/100</f>
        <v>40.479999999999997</v>
      </c>
      <c r="DM23">
        <f t="shared" ref="DM23" si="644">($C23*AC23)/100</f>
        <v>0.44</v>
      </c>
      <c r="DN23">
        <f t="shared" ref="DN23" si="645">($C23*AD23)/100</f>
        <v>0.61599999999999999</v>
      </c>
      <c r="DO23">
        <f t="shared" ref="DO23" si="646">($C23*AE23)/100</f>
        <v>67.760000000000005</v>
      </c>
      <c r="DP23">
        <f t="shared" ref="DP23" si="647">($C23*AF23)/100</f>
        <v>9.6799999999999997E-2</v>
      </c>
      <c r="DQ23">
        <f t="shared" ref="DQ23" si="648">($C23*AG23)/100</f>
        <v>2.6399999999999996E-2</v>
      </c>
      <c r="DR23">
        <f t="shared" ref="DR23" si="649">($C23*AH23)/100</f>
        <v>0</v>
      </c>
      <c r="DS23">
        <f t="shared" ref="DS23" si="650">($C23*AI23)/100</f>
        <v>1.1440000000000001</v>
      </c>
      <c r="DT23">
        <f t="shared" ref="DT23" si="651">($C23*AJ23)/100</f>
        <v>9.6799999999999997E-2</v>
      </c>
      <c r="DU23">
        <f t="shared" ref="DU23" si="652">($C23*AK23)/100</f>
        <v>11.44</v>
      </c>
      <c r="DV23">
        <f t="shared" ref="DV23" si="653">($C23*AL23)/100</f>
        <v>0.26400000000000001</v>
      </c>
      <c r="DW23">
        <f t="shared" ref="DW23" si="654">($C23*AM23)/100</f>
        <v>0.88</v>
      </c>
      <c r="DX23">
        <f t="shared" ref="DX23" si="655">($C23*AN23)/100</f>
        <v>0</v>
      </c>
      <c r="DY23">
        <f t="shared" ref="DY23" si="656">($C23*AO23)/100</f>
        <v>0</v>
      </c>
      <c r="DZ23">
        <f t="shared" ref="DZ23" si="657">($C23*AP23)/100</f>
        <v>0</v>
      </c>
      <c r="EA23">
        <f t="shared" ref="EA23" si="658">($C23*AQ23)/100</f>
        <v>0</v>
      </c>
      <c r="EB23">
        <f t="shared" ref="EB23" si="659">($C23*AR23)/100</f>
        <v>4.4000000000000003E-3</v>
      </c>
      <c r="EC23">
        <f t="shared" ref="EC23" si="660">($C23*AS23)/100</f>
        <v>0</v>
      </c>
      <c r="ED23">
        <f t="shared" ref="ED23" si="661">($C23*AT23)/100</f>
        <v>8.8000000000000009E-2</v>
      </c>
      <c r="EE23">
        <f t="shared" ref="EE23" si="662">($C23*AU23)/100</f>
        <v>8.8000000000000009E-2</v>
      </c>
      <c r="EF23">
        <f t="shared" ref="EF23" si="663">($C23*AV23)/100</f>
        <v>0</v>
      </c>
      <c r="EG23">
        <f t="shared" ref="EG23" si="664">($C23*AW23)/100</f>
        <v>0</v>
      </c>
      <c r="EH23">
        <f t="shared" ref="EH23" si="665">($C23*AX23)/100</f>
        <v>0</v>
      </c>
      <c r="EI23">
        <f t="shared" ref="EI23" si="666">($C23*AY23)/100</f>
        <v>7.9199999999999993E-2</v>
      </c>
      <c r="EJ23">
        <f t="shared" ref="EJ23" si="667">($C23*AZ23)/100</f>
        <v>8.8000000000000005E-3</v>
      </c>
      <c r="EK23">
        <f t="shared" ref="EK23" si="668">($C23*BA23)/100</f>
        <v>0</v>
      </c>
      <c r="EL23">
        <f t="shared" ref="EL23" si="669">($C23*BB23)/100</f>
        <v>0</v>
      </c>
      <c r="EM23">
        <f t="shared" ref="EM23" si="670">($C23*BC23)/100</f>
        <v>0.11440000000000002</v>
      </c>
      <c r="EN23">
        <f t="shared" ref="EN23" si="671">($C23*BD23)/100</f>
        <v>0</v>
      </c>
      <c r="EO23">
        <f t="shared" ref="EO23" si="672">($C23*BE23)/100</f>
        <v>0</v>
      </c>
      <c r="EP23">
        <f t="shared" ref="EP23" si="673">($C23*BF23)/100</f>
        <v>0.11440000000000002</v>
      </c>
      <c r="EQ23">
        <f t="shared" ref="EQ23" si="674">($C23*BG23)/100</f>
        <v>0</v>
      </c>
      <c r="ER23">
        <f t="shared" ref="ER23" si="675">($C23*BH23)/100</f>
        <v>0</v>
      </c>
      <c r="ES23">
        <f t="shared" ref="ES23" si="676">($C23*BI23)/100</f>
        <v>0.15839999999999999</v>
      </c>
      <c r="ET23">
        <f t="shared" ref="ET23" si="677">($C23*BJ23)/100</f>
        <v>0.14960000000000001</v>
      </c>
      <c r="EU23">
        <f t="shared" ref="EU23" si="678">($C23*BK23)/100</f>
        <v>8.8000000000000005E-3</v>
      </c>
      <c r="EV23">
        <f t="shared" ref="EV23" si="679">($C23*BL23)/100</f>
        <v>0</v>
      </c>
      <c r="EW23">
        <f t="shared" ref="EW23" si="680">($C23*BM23)/100</f>
        <v>0</v>
      </c>
      <c r="EX23">
        <f t="shared" ref="EX23" si="681">($C23*BN23)/100</f>
        <v>0</v>
      </c>
      <c r="EY23">
        <f t="shared" ref="EY23" si="682">($C23*BO23)/100</f>
        <v>0</v>
      </c>
      <c r="EZ23">
        <f t="shared" ref="EZ23" si="683">($C23*BP23)/100</f>
        <v>73.92</v>
      </c>
      <c r="FA23">
        <f t="shared" ref="FA23" si="684">($C23*BQ23)/100</f>
        <v>216.48</v>
      </c>
      <c r="FB23">
        <f t="shared" ref="FB23" si="685">($C23*BR23)/100</f>
        <v>269.27999999999997</v>
      </c>
      <c r="FC23">
        <f t="shared" ref="FC23" si="686">($C23*BS23)/100</f>
        <v>519.20000000000005</v>
      </c>
      <c r="FD23">
        <f t="shared" ref="FD23" si="687">($C23*BT23)/100</f>
        <v>226.16</v>
      </c>
      <c r="FE23">
        <f t="shared" ref="FE23" si="688">($C23*BU23)/100</f>
        <v>131.12</v>
      </c>
      <c r="FF23">
        <f t="shared" ref="FF23" si="689">($C23*BV23)/100</f>
        <v>95.04</v>
      </c>
      <c r="FG23">
        <f t="shared" ref="FG23" si="690">($C23*BW23)/100</f>
        <v>316.8</v>
      </c>
      <c r="FH23">
        <f t="shared" ref="FH23" si="691">($C23*BX23)/100</f>
        <v>200.64</v>
      </c>
      <c r="FI23">
        <f t="shared" ref="FI23" si="692">($C23*BY23)/100</f>
        <v>385.44</v>
      </c>
      <c r="FJ23">
        <f t="shared" ref="FJ23" si="693">($C23*BZ23)/100</f>
        <v>477.84</v>
      </c>
      <c r="FK23">
        <f t="shared" ref="FK23" si="694">($C23*CA23)/100</f>
        <v>145.19999999999999</v>
      </c>
      <c r="FL23">
        <f t="shared" ref="FL23" si="695">($C23*CB23)/100</f>
        <v>352.88</v>
      </c>
      <c r="FM23">
        <f t="shared" ref="FM23" si="696">($C23*CC23)/100</f>
        <v>578.16</v>
      </c>
      <c r="FN23">
        <f t="shared" ref="FN23" si="697">($C23*CD23)/100</f>
        <v>1191.52</v>
      </c>
      <c r="FO23">
        <f t="shared" ref="FO23" si="698">($C23*CE23)/100</f>
        <v>272.8</v>
      </c>
      <c r="FP23">
        <f t="shared" ref="FP23" si="699">($C23*CF23)/100</f>
        <v>293.04000000000002</v>
      </c>
      <c r="FQ23">
        <f t="shared" ref="FQ23" si="700">($C23*CG23)/100</f>
        <v>306.24</v>
      </c>
      <c r="FR23">
        <f t="shared" ref="FR23" si="701">($C23*CH23)/100</f>
        <v>4.4000000000000004E-2</v>
      </c>
      <c r="FS23">
        <f t="shared" ref="FS23" si="702">($C23*CI23)/100</f>
        <v>4.4000000000000004E-2</v>
      </c>
      <c r="FT23">
        <f t="shared" ref="FT23" si="703">($C23*CJ23)/100</f>
        <v>0</v>
      </c>
      <c r="FU23">
        <f t="shared" ref="FU23" si="704">($C23*CK23)/100</f>
        <v>0.17600000000000002</v>
      </c>
      <c r="FV23">
        <f t="shared" ref="FV23" si="705">($C23*CL23)/100</f>
        <v>0</v>
      </c>
      <c r="FW23">
        <f t="shared" ref="FW23" si="706">($C23*CM23)/100</f>
        <v>0</v>
      </c>
    </row>
    <row r="24" spans="1:179" x14ac:dyDescent="0.35">
      <c r="B24" s="72" t="s">
        <v>211</v>
      </c>
      <c r="C24">
        <v>12</v>
      </c>
      <c r="D24" s="6">
        <v>899</v>
      </c>
      <c r="E24" s="6">
        <v>3696</v>
      </c>
      <c r="F24" s="6">
        <v>0</v>
      </c>
      <c r="G24" s="6">
        <v>0</v>
      </c>
      <c r="H24" s="6">
        <v>0</v>
      </c>
      <c r="I24" s="6">
        <v>99.9</v>
      </c>
      <c r="J24" s="6">
        <v>0</v>
      </c>
      <c r="K24" s="6">
        <v>99.9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0.2</v>
      </c>
      <c r="T24" s="6">
        <v>0</v>
      </c>
      <c r="U24" s="51">
        <v>0.5</v>
      </c>
      <c r="V24" s="51">
        <v>0.5</v>
      </c>
      <c r="W24" s="6">
        <v>0</v>
      </c>
      <c r="X24" s="51">
        <v>5.0000000000000001E-3</v>
      </c>
      <c r="Y24" s="51">
        <v>0.5</v>
      </c>
      <c r="Z24" s="6">
        <v>0.01</v>
      </c>
      <c r="AA24" s="51">
        <v>0.05</v>
      </c>
      <c r="AB24" s="51">
        <v>0.5</v>
      </c>
      <c r="AC24" s="51">
        <v>0.5</v>
      </c>
      <c r="AD24" s="51">
        <v>5.0000000000000001E-3</v>
      </c>
      <c r="AE24" s="51">
        <v>0.5</v>
      </c>
      <c r="AF24" s="6">
        <v>0</v>
      </c>
      <c r="AG24" s="6">
        <v>0</v>
      </c>
      <c r="AH24" s="6">
        <v>0</v>
      </c>
      <c r="AI24" s="6">
        <v>0</v>
      </c>
      <c r="AJ24" s="51">
        <v>5.0000000000000001E-3</v>
      </c>
      <c r="AK24" s="51">
        <v>0.5</v>
      </c>
      <c r="AL24" s="51">
        <v>5.0000000000000001E-3</v>
      </c>
      <c r="AM24" s="51">
        <v>0.05</v>
      </c>
      <c r="AN24" s="6">
        <v>0</v>
      </c>
      <c r="AO24" s="6">
        <v>36</v>
      </c>
      <c r="AP24" s="6">
        <v>0</v>
      </c>
      <c r="AQ24" s="6">
        <v>216</v>
      </c>
      <c r="AR24" s="6">
        <v>21.42</v>
      </c>
      <c r="AS24" s="6">
        <v>0</v>
      </c>
      <c r="AT24" s="6">
        <v>57.5</v>
      </c>
      <c r="AU24" s="6">
        <v>14.46</v>
      </c>
      <c r="AV24" s="6">
        <v>0</v>
      </c>
      <c r="AW24" s="6">
        <v>0</v>
      </c>
      <c r="AX24" s="6">
        <v>0</v>
      </c>
      <c r="AY24" s="6">
        <v>10.64</v>
      </c>
      <c r="AZ24" s="6">
        <v>3.06</v>
      </c>
      <c r="BA24" s="6">
        <v>0.76</v>
      </c>
      <c r="BB24" s="6">
        <v>0</v>
      </c>
      <c r="BC24" s="6">
        <v>72.95</v>
      </c>
      <c r="BD24" s="6">
        <v>0</v>
      </c>
      <c r="BE24" s="6">
        <v>0.79</v>
      </c>
      <c r="BF24" s="6">
        <v>71.87</v>
      </c>
      <c r="BG24" s="6">
        <v>0.28999999999999998</v>
      </c>
      <c r="BH24" s="6">
        <v>0</v>
      </c>
      <c r="BI24" s="6">
        <v>7.52</v>
      </c>
      <c r="BJ24" s="6">
        <v>6.79</v>
      </c>
      <c r="BK24" s="6">
        <v>0.73</v>
      </c>
      <c r="BL24" s="6">
        <v>0</v>
      </c>
      <c r="BM24" s="6">
        <v>0</v>
      </c>
      <c r="BN24" s="6">
        <v>0</v>
      </c>
      <c r="BO24" s="6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>
        <f>($C24*D24)/100</f>
        <v>107.88</v>
      </c>
      <c r="CO24">
        <f t="shared" ref="CO24" si="707">($C24*E24)/100</f>
        <v>443.52</v>
      </c>
      <c r="CP24">
        <f t="shared" ref="CP24" si="708">($C24*F24)/100</f>
        <v>0</v>
      </c>
      <c r="CQ24">
        <f t="shared" ref="CQ24" si="709">($C24*G24)/100</f>
        <v>0</v>
      </c>
      <c r="CR24">
        <f t="shared" ref="CR24" si="710">($C24*H24)/100</f>
        <v>0</v>
      </c>
      <c r="CS24">
        <f t="shared" ref="CS24" si="711">($C24*I24)/100</f>
        <v>11.988000000000001</v>
      </c>
      <c r="CT24">
        <f t="shared" ref="CT24" si="712">($C24*J24)/100</f>
        <v>0</v>
      </c>
      <c r="CU24">
        <f t="shared" ref="CU24" si="713">($C24*K24)/100</f>
        <v>11.988000000000001</v>
      </c>
      <c r="CV24">
        <f t="shared" ref="CV24" si="714">($C24*L24)/100</f>
        <v>0</v>
      </c>
      <c r="CW24">
        <f t="shared" ref="CW24" si="715">($C24*M24)/100</f>
        <v>0</v>
      </c>
      <c r="CX24">
        <f t="shared" ref="CX24" si="716">($C24*N24)/100</f>
        <v>0</v>
      </c>
      <c r="CY24">
        <f t="shared" ref="CY24" si="717">($C24*O24)/100</f>
        <v>0</v>
      </c>
      <c r="CZ24">
        <f t="shared" ref="CZ24" si="718">($C24*P24)/100</f>
        <v>0</v>
      </c>
      <c r="DA24">
        <f t="shared" ref="DA24" si="719">($C24*Q24)/100</f>
        <v>0</v>
      </c>
      <c r="DB24">
        <f t="shared" ref="DB24" si="720">($C24*R24)/100</f>
        <v>0</v>
      </c>
      <c r="DC24">
        <f t="shared" ref="DC24" si="721">($C24*S24)/100</f>
        <v>2.4000000000000004E-2</v>
      </c>
      <c r="DD24">
        <f t="shared" ref="DD24" si="722">($C24*T24)/100</f>
        <v>0</v>
      </c>
      <c r="DE24">
        <f t="shared" ref="DE24" si="723">($C24*U24)/100</f>
        <v>0.06</v>
      </c>
      <c r="DF24">
        <f t="shared" ref="DF24" si="724">($C24*V24)/100</f>
        <v>0.06</v>
      </c>
      <c r="DG24">
        <f t="shared" ref="DG24" si="725">($C24*W24)/100</f>
        <v>0</v>
      </c>
      <c r="DH24">
        <f t="shared" ref="DH24" si="726">($C24*X24)/100</f>
        <v>5.9999999999999995E-4</v>
      </c>
      <c r="DI24">
        <f t="shared" ref="DI24" si="727">($C24*Y24)/100</f>
        <v>0.06</v>
      </c>
      <c r="DJ24">
        <f t="shared" ref="DJ24" si="728">($C24*Z24)/100</f>
        <v>1.1999999999999999E-3</v>
      </c>
      <c r="DK24">
        <f t="shared" ref="DK24" si="729">($C24*AA24)/100</f>
        <v>6.000000000000001E-3</v>
      </c>
      <c r="DL24">
        <f t="shared" ref="DL24" si="730">($C24*AB24)/100</f>
        <v>0.06</v>
      </c>
      <c r="DM24">
        <f t="shared" ref="DM24" si="731">($C24*AC24)/100</f>
        <v>0.06</v>
      </c>
      <c r="DN24">
        <f t="shared" ref="DN24" si="732">($C24*AD24)/100</f>
        <v>5.9999999999999995E-4</v>
      </c>
      <c r="DO24">
        <f t="shared" ref="DO24" si="733">($C24*AE24)/100</f>
        <v>0.06</v>
      </c>
      <c r="DP24">
        <f t="shared" ref="DP24" si="734">($C24*AF24)/100</f>
        <v>0</v>
      </c>
      <c r="DQ24">
        <f t="shared" ref="DQ24" si="735">($C24*AG24)/100</f>
        <v>0</v>
      </c>
      <c r="DR24">
        <f t="shared" ref="DR24" si="736">($C24*AH24)/100</f>
        <v>0</v>
      </c>
      <c r="DS24">
        <f t="shared" ref="DS24" si="737">($C24*AI24)/100</f>
        <v>0</v>
      </c>
      <c r="DT24">
        <f t="shared" ref="DT24" si="738">($C24*AJ24)/100</f>
        <v>5.9999999999999995E-4</v>
      </c>
      <c r="DU24">
        <f t="shared" ref="DU24" si="739">($C24*AK24)/100</f>
        <v>0.06</v>
      </c>
      <c r="DV24">
        <f t="shared" ref="DV24" si="740">($C24*AL24)/100</f>
        <v>5.9999999999999995E-4</v>
      </c>
      <c r="DW24">
        <f t="shared" ref="DW24" si="741">($C24*AM24)/100</f>
        <v>6.000000000000001E-3</v>
      </c>
      <c r="DX24">
        <f t="shared" ref="DX24" si="742">($C24*AN24)/100</f>
        <v>0</v>
      </c>
      <c r="DY24">
        <f t="shared" ref="DY24" si="743">($C24*AO24)/100</f>
        <v>4.32</v>
      </c>
      <c r="DZ24">
        <f t="shared" ref="DZ24" si="744">($C24*AP24)/100</f>
        <v>0</v>
      </c>
      <c r="EA24">
        <f t="shared" ref="EA24" si="745">($C24*AQ24)/100</f>
        <v>25.92</v>
      </c>
      <c r="EB24">
        <f t="shared" ref="EB24" si="746">($C24*AR24)/100</f>
        <v>2.5704000000000002</v>
      </c>
      <c r="EC24">
        <f t="shared" ref="EC24" si="747">($C24*AS24)/100</f>
        <v>0</v>
      </c>
      <c r="ED24">
        <f t="shared" ref="ED24" si="748">($C24*AT24)/100</f>
        <v>6.9</v>
      </c>
      <c r="EE24">
        <f t="shared" ref="EE24" si="749">($C24*AU24)/100</f>
        <v>1.7352000000000001</v>
      </c>
      <c r="EF24">
        <f t="shared" ref="EF24" si="750">($C24*AV24)/100</f>
        <v>0</v>
      </c>
      <c r="EG24">
        <f t="shared" ref="EG24" si="751">($C24*AW24)/100</f>
        <v>0</v>
      </c>
      <c r="EH24">
        <f t="shared" ref="EH24" si="752">($C24*AX24)/100</f>
        <v>0</v>
      </c>
      <c r="EI24">
        <f t="shared" ref="EI24" si="753">($C24*AY24)/100</f>
        <v>1.2768000000000002</v>
      </c>
      <c r="EJ24">
        <f t="shared" ref="EJ24" si="754">($C24*AZ24)/100</f>
        <v>0.36719999999999997</v>
      </c>
      <c r="EK24">
        <f t="shared" ref="EK24" si="755">($C24*BA24)/100</f>
        <v>9.1200000000000003E-2</v>
      </c>
      <c r="EL24">
        <f t="shared" ref="EL24" si="756">($C24*BB24)/100</f>
        <v>0</v>
      </c>
      <c r="EM24">
        <f t="shared" ref="EM24" si="757">($C24*BC24)/100</f>
        <v>8.7540000000000013</v>
      </c>
      <c r="EN24">
        <f t="shared" ref="EN24" si="758">($C24*BD24)/100</f>
        <v>0</v>
      </c>
      <c r="EO24">
        <f t="shared" ref="EO24" si="759">($C24*BE24)/100</f>
        <v>9.4800000000000009E-2</v>
      </c>
      <c r="EP24">
        <f t="shared" ref="EP24" si="760">($C24*BF24)/100</f>
        <v>8.6244000000000014</v>
      </c>
      <c r="EQ24">
        <f t="shared" ref="EQ24" si="761">($C24*BG24)/100</f>
        <v>3.4799999999999998E-2</v>
      </c>
      <c r="ER24">
        <f t="shared" ref="ER24" si="762">($C24*BH24)/100</f>
        <v>0</v>
      </c>
      <c r="ES24">
        <f t="shared" ref="ES24" si="763">($C24*BI24)/100</f>
        <v>0.90239999999999998</v>
      </c>
      <c r="ET24">
        <f t="shared" ref="ET24" si="764">($C24*BJ24)/100</f>
        <v>0.81480000000000008</v>
      </c>
      <c r="EU24">
        <f t="shared" ref="EU24" si="765">($C24*BK24)/100</f>
        <v>8.7599999999999997E-2</v>
      </c>
      <c r="EV24">
        <f t="shared" ref="EV24" si="766">($C24*BL24)/100</f>
        <v>0</v>
      </c>
      <c r="EW24">
        <f t="shared" ref="EW24" si="767">($C24*BM24)/100</f>
        <v>0</v>
      </c>
      <c r="EX24">
        <f t="shared" ref="EX24" si="768">($C24*BN24)/100</f>
        <v>0</v>
      </c>
      <c r="EY24">
        <f t="shared" ref="EY24" si="769">($C24*BO24)/100</f>
        <v>0</v>
      </c>
      <c r="EZ24">
        <f t="shared" ref="EZ24" si="770">($C24*BP24)/100</f>
        <v>0</v>
      </c>
      <c r="FA24">
        <f t="shared" ref="FA24" si="771">($C24*BQ24)/100</f>
        <v>0</v>
      </c>
      <c r="FB24">
        <f t="shared" ref="FB24" si="772">($C24*BR24)/100</f>
        <v>0</v>
      </c>
      <c r="FC24">
        <f t="shared" ref="FC24" si="773">($C24*BS24)/100</f>
        <v>0</v>
      </c>
      <c r="FD24">
        <f t="shared" ref="FD24" si="774">($C24*BT24)/100</f>
        <v>0</v>
      </c>
      <c r="FE24">
        <f t="shared" ref="FE24" si="775">($C24*BU24)/100</f>
        <v>0</v>
      </c>
      <c r="FF24">
        <f t="shared" ref="FF24" si="776">($C24*BV24)/100</f>
        <v>0</v>
      </c>
      <c r="FG24">
        <f t="shared" ref="FG24" si="777">($C24*BW24)/100</f>
        <v>0</v>
      </c>
      <c r="FH24">
        <f t="shared" ref="FH24" si="778">($C24*BX24)/100</f>
        <v>0</v>
      </c>
      <c r="FI24">
        <f t="shared" ref="FI24" si="779">($C24*BY24)/100</f>
        <v>0</v>
      </c>
      <c r="FJ24">
        <f t="shared" ref="FJ24" si="780">($C24*BZ24)/100</f>
        <v>0</v>
      </c>
      <c r="FK24">
        <f t="shared" ref="FK24" si="781">($C24*CA24)/100</f>
        <v>0</v>
      </c>
      <c r="FL24">
        <f t="shared" ref="FL24" si="782">($C24*CB24)/100</f>
        <v>0</v>
      </c>
      <c r="FM24">
        <f t="shared" ref="FM24" si="783">($C24*CC24)/100</f>
        <v>0</v>
      </c>
      <c r="FN24">
        <f t="shared" ref="FN24" si="784">($C24*CD24)/100</f>
        <v>0</v>
      </c>
      <c r="FO24">
        <f t="shared" ref="FO24" si="785">($C24*CE24)/100</f>
        <v>0</v>
      </c>
      <c r="FP24">
        <f t="shared" ref="FP24" si="786">($C24*CF24)/100</f>
        <v>0</v>
      </c>
      <c r="FQ24">
        <f t="shared" ref="FQ24" si="787">($C24*CG24)/100</f>
        <v>0</v>
      </c>
      <c r="FR24">
        <f t="shared" ref="FR24" si="788">($C24*CH24)/100</f>
        <v>0</v>
      </c>
      <c r="FS24">
        <f t="shared" ref="FS24" si="789">($C24*CI24)/100</f>
        <v>0</v>
      </c>
      <c r="FT24">
        <f t="shared" ref="FT24" si="790">($C24*CJ24)/100</f>
        <v>0</v>
      </c>
      <c r="FU24">
        <f t="shared" ref="FU24" si="791">($C24*CK24)/100</f>
        <v>0</v>
      </c>
      <c r="FV24">
        <f t="shared" ref="FV24" si="792">($C24*CL24)/100</f>
        <v>0</v>
      </c>
      <c r="FW24">
        <f t="shared" ref="FW24" si="793">($C24*CM24)/100</f>
        <v>0</v>
      </c>
    </row>
    <row r="25" spans="1:179" x14ac:dyDescent="0.35">
      <c r="C25">
        <f>SUM(C23:C24)</f>
        <v>100</v>
      </c>
      <c r="CN25">
        <f>SUM(CN23:CN24)</f>
        <v>401.8</v>
      </c>
      <c r="CO25">
        <f t="shared" ref="CO25:EZ25" si="794">SUM(CO23:CO24)</f>
        <v>1695.76</v>
      </c>
      <c r="CP25">
        <f t="shared" si="794"/>
        <v>5.8959999999999999</v>
      </c>
      <c r="CQ25">
        <f t="shared" si="794"/>
        <v>0</v>
      </c>
      <c r="CR25">
        <f t="shared" si="794"/>
        <v>5.8959999999999999</v>
      </c>
      <c r="CS25">
        <f t="shared" si="794"/>
        <v>12.340000000000002</v>
      </c>
      <c r="CT25">
        <f t="shared" si="794"/>
        <v>0</v>
      </c>
      <c r="CU25">
        <f t="shared" si="794"/>
        <v>12.340000000000002</v>
      </c>
      <c r="CV25">
        <f t="shared" si="794"/>
        <v>0</v>
      </c>
      <c r="CW25">
        <f t="shared" si="794"/>
        <v>70.75200000000001</v>
      </c>
      <c r="CX25">
        <f t="shared" si="794"/>
        <v>70.576000000000008</v>
      </c>
      <c r="CY25">
        <f t="shared" si="794"/>
        <v>0.17600000000000002</v>
      </c>
      <c r="CZ25">
        <f t="shared" si="794"/>
        <v>0.88</v>
      </c>
      <c r="DA25">
        <f t="shared" si="794"/>
        <v>0</v>
      </c>
      <c r="DB25">
        <f t="shared" si="794"/>
        <v>10.56</v>
      </c>
      <c r="DC25">
        <f t="shared" si="794"/>
        <v>0.72800000000000009</v>
      </c>
      <c r="DD25">
        <f t="shared" si="794"/>
        <v>21.12</v>
      </c>
      <c r="DE25">
        <f t="shared" si="794"/>
        <v>4.46</v>
      </c>
      <c r="DF25">
        <f t="shared" si="794"/>
        <v>81.02</v>
      </c>
      <c r="DG25">
        <f t="shared" si="794"/>
        <v>82.72</v>
      </c>
      <c r="DH25">
        <f t="shared" si="794"/>
        <v>1.1446000000000001</v>
      </c>
      <c r="DI25">
        <f t="shared" si="794"/>
        <v>17.66</v>
      </c>
      <c r="DJ25">
        <f t="shared" si="794"/>
        <v>0.15959999999999999</v>
      </c>
      <c r="DK25">
        <f t="shared" si="794"/>
        <v>8.8060000000000009</v>
      </c>
      <c r="DL25">
        <f t="shared" si="794"/>
        <v>40.54</v>
      </c>
      <c r="DM25">
        <f t="shared" si="794"/>
        <v>0.5</v>
      </c>
      <c r="DN25">
        <f t="shared" si="794"/>
        <v>0.61660000000000004</v>
      </c>
      <c r="DO25">
        <f t="shared" si="794"/>
        <v>67.820000000000007</v>
      </c>
      <c r="DP25">
        <f t="shared" si="794"/>
        <v>9.6799999999999997E-2</v>
      </c>
      <c r="DQ25">
        <f t="shared" si="794"/>
        <v>2.6399999999999996E-2</v>
      </c>
      <c r="DR25">
        <f t="shared" si="794"/>
        <v>0</v>
      </c>
      <c r="DS25">
        <f t="shared" si="794"/>
        <v>1.1440000000000001</v>
      </c>
      <c r="DT25">
        <f t="shared" si="794"/>
        <v>9.74E-2</v>
      </c>
      <c r="DU25">
        <f t="shared" si="794"/>
        <v>11.5</v>
      </c>
      <c r="DV25">
        <f t="shared" si="794"/>
        <v>0.2646</v>
      </c>
      <c r="DW25">
        <f t="shared" si="794"/>
        <v>0.88600000000000001</v>
      </c>
      <c r="DX25">
        <f t="shared" si="794"/>
        <v>0</v>
      </c>
      <c r="DY25">
        <f t="shared" si="794"/>
        <v>4.32</v>
      </c>
      <c r="DZ25">
        <f t="shared" si="794"/>
        <v>0</v>
      </c>
      <c r="EA25">
        <f t="shared" si="794"/>
        <v>25.92</v>
      </c>
      <c r="EB25">
        <f t="shared" si="794"/>
        <v>2.5748000000000002</v>
      </c>
      <c r="EC25">
        <f t="shared" si="794"/>
        <v>0</v>
      </c>
      <c r="ED25">
        <f t="shared" si="794"/>
        <v>6.9880000000000004</v>
      </c>
      <c r="EE25">
        <f t="shared" si="794"/>
        <v>1.8232000000000002</v>
      </c>
      <c r="EF25">
        <f t="shared" si="794"/>
        <v>0</v>
      </c>
      <c r="EG25">
        <f t="shared" si="794"/>
        <v>0</v>
      </c>
      <c r="EH25">
        <f t="shared" si="794"/>
        <v>0</v>
      </c>
      <c r="EI25">
        <f t="shared" si="794"/>
        <v>1.3560000000000001</v>
      </c>
      <c r="EJ25">
        <f t="shared" si="794"/>
        <v>0.37599999999999995</v>
      </c>
      <c r="EK25">
        <f t="shared" si="794"/>
        <v>9.1200000000000003E-2</v>
      </c>
      <c r="EL25">
        <f t="shared" si="794"/>
        <v>0</v>
      </c>
      <c r="EM25">
        <f t="shared" si="794"/>
        <v>8.8684000000000012</v>
      </c>
      <c r="EN25">
        <f t="shared" si="794"/>
        <v>0</v>
      </c>
      <c r="EO25">
        <f t="shared" si="794"/>
        <v>9.4800000000000009E-2</v>
      </c>
      <c r="EP25">
        <f t="shared" si="794"/>
        <v>8.7388000000000012</v>
      </c>
      <c r="EQ25">
        <f t="shared" si="794"/>
        <v>3.4799999999999998E-2</v>
      </c>
      <c r="ER25">
        <f t="shared" si="794"/>
        <v>0</v>
      </c>
      <c r="ES25">
        <f t="shared" si="794"/>
        <v>1.0608</v>
      </c>
      <c r="ET25">
        <f t="shared" si="794"/>
        <v>0.96440000000000015</v>
      </c>
      <c r="EU25">
        <f t="shared" si="794"/>
        <v>9.64E-2</v>
      </c>
      <c r="EV25">
        <f t="shared" si="794"/>
        <v>0</v>
      </c>
      <c r="EW25">
        <f t="shared" si="794"/>
        <v>0</v>
      </c>
      <c r="EX25">
        <f t="shared" si="794"/>
        <v>0</v>
      </c>
      <c r="EY25">
        <f t="shared" si="794"/>
        <v>0</v>
      </c>
      <c r="EZ25">
        <f t="shared" si="794"/>
        <v>73.92</v>
      </c>
      <c r="FA25">
        <f t="shared" ref="FA25:FW25" si="795">SUM(FA23:FA24)</f>
        <v>216.48</v>
      </c>
      <c r="FB25">
        <f t="shared" si="795"/>
        <v>269.27999999999997</v>
      </c>
      <c r="FC25">
        <f t="shared" si="795"/>
        <v>519.20000000000005</v>
      </c>
      <c r="FD25">
        <f t="shared" si="795"/>
        <v>226.16</v>
      </c>
      <c r="FE25">
        <f t="shared" si="795"/>
        <v>131.12</v>
      </c>
      <c r="FF25">
        <f t="shared" si="795"/>
        <v>95.04</v>
      </c>
      <c r="FG25">
        <f t="shared" si="795"/>
        <v>316.8</v>
      </c>
      <c r="FH25">
        <f t="shared" si="795"/>
        <v>200.64</v>
      </c>
      <c r="FI25">
        <f t="shared" si="795"/>
        <v>385.44</v>
      </c>
      <c r="FJ25">
        <f t="shared" si="795"/>
        <v>477.84</v>
      </c>
      <c r="FK25">
        <f t="shared" si="795"/>
        <v>145.19999999999999</v>
      </c>
      <c r="FL25">
        <f t="shared" si="795"/>
        <v>352.88</v>
      </c>
      <c r="FM25">
        <f t="shared" si="795"/>
        <v>578.16</v>
      </c>
      <c r="FN25">
        <f t="shared" si="795"/>
        <v>1191.52</v>
      </c>
      <c r="FO25">
        <f t="shared" si="795"/>
        <v>272.8</v>
      </c>
      <c r="FP25">
        <f t="shared" si="795"/>
        <v>293.04000000000002</v>
      </c>
      <c r="FQ25">
        <f t="shared" si="795"/>
        <v>306.24</v>
      </c>
      <c r="FR25">
        <f t="shared" si="795"/>
        <v>4.4000000000000004E-2</v>
      </c>
      <c r="FS25">
        <f t="shared" si="795"/>
        <v>4.4000000000000004E-2</v>
      </c>
      <c r="FT25">
        <f t="shared" si="795"/>
        <v>0</v>
      </c>
      <c r="FU25">
        <f t="shared" si="795"/>
        <v>0.17600000000000002</v>
      </c>
      <c r="FV25">
        <f t="shared" si="795"/>
        <v>0</v>
      </c>
      <c r="FW25">
        <f t="shared" si="795"/>
        <v>0</v>
      </c>
    </row>
    <row r="27" spans="1:179" x14ac:dyDescent="0.35">
      <c r="A27" s="80" t="s">
        <v>225</v>
      </c>
      <c r="B27" s="72" t="s">
        <v>226</v>
      </c>
      <c r="C27">
        <v>33</v>
      </c>
      <c r="D27" s="6">
        <v>19</v>
      </c>
      <c r="E27" s="6">
        <v>81</v>
      </c>
      <c r="F27" s="6">
        <v>1.2</v>
      </c>
      <c r="G27" s="6">
        <v>0</v>
      </c>
      <c r="H27" s="6">
        <v>1.2</v>
      </c>
      <c r="I27" s="6">
        <v>0.2</v>
      </c>
      <c r="J27" s="6">
        <v>0</v>
      </c>
      <c r="K27" s="6">
        <v>0.2</v>
      </c>
      <c r="L27" s="6">
        <v>0</v>
      </c>
      <c r="M27" s="6">
        <v>2.8</v>
      </c>
      <c r="N27" s="6">
        <v>0</v>
      </c>
      <c r="O27" s="6">
        <v>2.8</v>
      </c>
      <c r="P27" s="6">
        <v>1.1000000000000001</v>
      </c>
      <c r="Q27" s="6">
        <v>0</v>
      </c>
      <c r="R27" s="6">
        <v>94.2</v>
      </c>
      <c r="S27" s="6">
        <v>0.4</v>
      </c>
      <c r="T27" s="6">
        <v>11</v>
      </c>
      <c r="U27" s="6">
        <v>3</v>
      </c>
      <c r="V27" s="6">
        <v>290</v>
      </c>
      <c r="W27" s="6">
        <v>26</v>
      </c>
      <c r="X27" s="6">
        <v>0.2</v>
      </c>
      <c r="Y27" s="81">
        <v>0</v>
      </c>
      <c r="Z27" s="81">
        <v>0</v>
      </c>
      <c r="AA27" s="81">
        <v>0</v>
      </c>
      <c r="AB27" s="81">
        <v>0</v>
      </c>
      <c r="AC27" s="81">
        <v>0</v>
      </c>
      <c r="AD27" s="81">
        <v>0</v>
      </c>
      <c r="AE27" s="81">
        <v>0</v>
      </c>
      <c r="AF27" s="6">
        <v>0.03</v>
      </c>
      <c r="AG27" s="6">
        <v>0.03</v>
      </c>
      <c r="AH27" s="6">
        <v>21</v>
      </c>
      <c r="AI27" s="6">
        <v>0.7</v>
      </c>
      <c r="AJ27" s="6">
        <v>0.12</v>
      </c>
      <c r="AK27" s="6">
        <v>14</v>
      </c>
      <c r="AL27" s="81">
        <v>0</v>
      </c>
      <c r="AM27" s="81">
        <v>0</v>
      </c>
      <c r="AN27" s="81">
        <v>0</v>
      </c>
      <c r="AO27" s="6">
        <v>42</v>
      </c>
      <c r="AP27" s="6">
        <v>0</v>
      </c>
      <c r="AQ27" s="6">
        <v>252</v>
      </c>
      <c r="AR27" s="6">
        <v>1.03</v>
      </c>
      <c r="AS27" s="6">
        <v>0</v>
      </c>
      <c r="AT27" s="81">
        <v>0</v>
      </c>
      <c r="AU27" s="6">
        <v>0.03</v>
      </c>
      <c r="AV27" s="81">
        <v>0</v>
      </c>
      <c r="AW27" s="81">
        <v>0</v>
      </c>
      <c r="AX27" s="81">
        <v>0</v>
      </c>
      <c r="AY27" s="81">
        <v>0</v>
      </c>
      <c r="AZ27" s="81">
        <v>0</v>
      </c>
      <c r="BA27" s="81">
        <v>0</v>
      </c>
      <c r="BB27" s="81">
        <v>0</v>
      </c>
      <c r="BC27" s="6">
        <v>0.03</v>
      </c>
      <c r="BD27" s="82">
        <v>0</v>
      </c>
      <c r="BE27" s="82">
        <v>0</v>
      </c>
      <c r="BF27" s="6">
        <v>0.03</v>
      </c>
      <c r="BG27" s="82">
        <v>0</v>
      </c>
      <c r="BH27" s="82">
        <v>0</v>
      </c>
      <c r="BI27" s="6">
        <v>0.08</v>
      </c>
      <c r="BJ27" s="6">
        <v>0.08</v>
      </c>
      <c r="BK27" s="51">
        <v>5.0000000000000001E-3</v>
      </c>
      <c r="BL27" s="82">
        <v>0</v>
      </c>
      <c r="BM27" s="82">
        <v>0</v>
      </c>
      <c r="BN27" s="82">
        <v>0</v>
      </c>
      <c r="BO27" s="6">
        <v>0</v>
      </c>
      <c r="BP27" s="7">
        <v>11</v>
      </c>
      <c r="BQ27" s="7">
        <v>30</v>
      </c>
      <c r="BR27" s="7">
        <v>24</v>
      </c>
      <c r="BS27" s="7">
        <v>36</v>
      </c>
      <c r="BT27" s="7">
        <v>36</v>
      </c>
      <c r="BU27" s="7">
        <v>8</v>
      </c>
      <c r="BV27" s="7">
        <v>8</v>
      </c>
      <c r="BW27" s="7">
        <v>24</v>
      </c>
      <c r="BX27" s="7">
        <v>17</v>
      </c>
      <c r="BY27" s="7">
        <v>29</v>
      </c>
      <c r="BZ27" s="7">
        <v>29</v>
      </c>
      <c r="CA27" s="7">
        <v>20</v>
      </c>
      <c r="CB27" s="7">
        <v>32</v>
      </c>
      <c r="CC27" s="7">
        <v>155</v>
      </c>
      <c r="CD27" s="7">
        <v>548</v>
      </c>
      <c r="CE27" s="7">
        <v>24</v>
      </c>
      <c r="CF27" s="7">
        <v>22</v>
      </c>
      <c r="CG27" s="7">
        <v>34</v>
      </c>
      <c r="CH27" s="81">
        <v>0</v>
      </c>
      <c r="CI27" s="81">
        <v>0</v>
      </c>
      <c r="CJ27" s="83">
        <v>0</v>
      </c>
      <c r="CK27" s="81">
        <v>0</v>
      </c>
      <c r="CL27" s="81">
        <v>0</v>
      </c>
      <c r="CM27" s="83">
        <v>0</v>
      </c>
      <c r="CN27">
        <f t="shared" ref="CN27:CN30" si="796">($C27*D27)/100</f>
        <v>6.27</v>
      </c>
      <c r="CO27">
        <f t="shared" ref="CO27:CO30" si="797">($C27*E27)/100</f>
        <v>26.73</v>
      </c>
      <c r="CP27">
        <f t="shared" ref="CP27:CP30" si="798">($C27*F27)/100</f>
        <v>0.39600000000000002</v>
      </c>
      <c r="CQ27">
        <f t="shared" ref="CQ27:CQ30" si="799">($C27*G27)/100</f>
        <v>0</v>
      </c>
      <c r="CR27">
        <f t="shared" ref="CR27:CR30" si="800">($C27*H27)/100</f>
        <v>0.39600000000000002</v>
      </c>
      <c r="CS27">
        <f t="shared" ref="CS27:CS30" si="801">($C27*I27)/100</f>
        <v>6.6000000000000003E-2</v>
      </c>
      <c r="CT27">
        <f t="shared" ref="CT27:CT30" si="802">($C27*J27)/100</f>
        <v>0</v>
      </c>
      <c r="CU27">
        <f t="shared" ref="CU27:CU30" si="803">($C27*K27)/100</f>
        <v>6.6000000000000003E-2</v>
      </c>
      <c r="CV27">
        <f t="shared" ref="CV27:CV30" si="804">($C27*L27)/100</f>
        <v>0</v>
      </c>
      <c r="CW27">
        <f t="shared" ref="CW27:CW30" si="805">($C27*M27)/100</f>
        <v>0.92399999999999993</v>
      </c>
      <c r="CX27">
        <f t="shared" ref="CX27:CX30" si="806">($C27*N27)/100</f>
        <v>0</v>
      </c>
      <c r="CY27">
        <f t="shared" ref="CY27:CY30" si="807">($C27*O27)/100</f>
        <v>0.92399999999999993</v>
      </c>
      <c r="CZ27">
        <f t="shared" ref="CZ27:CZ30" si="808">($C27*P27)/100</f>
        <v>0.36300000000000004</v>
      </c>
      <c r="DA27">
        <f t="shared" ref="DA27:DA30" si="809">($C27*Q27)/100</f>
        <v>0</v>
      </c>
      <c r="DB27">
        <f t="shared" ref="DB27:DB30" si="810">($C27*R27)/100</f>
        <v>31.085999999999999</v>
      </c>
      <c r="DC27">
        <f t="shared" ref="DC27:DC30" si="811">($C27*S27)/100</f>
        <v>0.13200000000000001</v>
      </c>
      <c r="DD27">
        <f t="shared" ref="DD27:DD30" si="812">($C27*T27)/100</f>
        <v>3.63</v>
      </c>
      <c r="DE27">
        <f t="shared" ref="DE27:DE30" si="813">($C27*U27)/100</f>
        <v>0.99</v>
      </c>
      <c r="DF27">
        <f t="shared" ref="DF27:DF30" si="814">($C27*V27)/100</f>
        <v>95.7</v>
      </c>
      <c r="DG27">
        <f t="shared" ref="DG27:DG30" si="815">($C27*W27)/100</f>
        <v>8.58</v>
      </c>
      <c r="DH27">
        <f t="shared" ref="DH27:DH30" si="816">($C27*X27)/100</f>
        <v>6.6000000000000003E-2</v>
      </c>
      <c r="DI27">
        <f t="shared" ref="DI27:DI30" si="817">($C27*Y27)/100</f>
        <v>0</v>
      </c>
      <c r="DJ27">
        <f t="shared" ref="DJ27:DJ30" si="818">($C27*Z27)/100</f>
        <v>0</v>
      </c>
      <c r="DK27">
        <f t="shared" ref="DK27:DK30" si="819">($C27*AA27)/100</f>
        <v>0</v>
      </c>
      <c r="DL27">
        <f t="shared" ref="DL27:DL30" si="820">($C27*AB27)/100</f>
        <v>0</v>
      </c>
      <c r="DM27">
        <f t="shared" ref="DM27:DM30" si="821">($C27*AC27)/100</f>
        <v>0</v>
      </c>
      <c r="DN27">
        <f t="shared" ref="DN27:DN30" si="822">($C27*AD27)/100</f>
        <v>0</v>
      </c>
      <c r="DO27">
        <f t="shared" ref="DO27:DO30" si="823">($C27*AE27)/100</f>
        <v>0</v>
      </c>
      <c r="DP27">
        <f t="shared" ref="DP27:DP30" si="824">($C27*AF27)/100</f>
        <v>9.8999999999999991E-3</v>
      </c>
      <c r="DQ27">
        <f t="shared" ref="DQ27:DQ30" si="825">($C27*AG27)/100</f>
        <v>9.8999999999999991E-3</v>
      </c>
      <c r="DR27">
        <f t="shared" ref="DR27:DR30" si="826">($C27*AH27)/100</f>
        <v>6.93</v>
      </c>
      <c r="DS27">
        <f t="shared" ref="DS27:DS30" si="827">($C27*AI27)/100</f>
        <v>0.23099999999999998</v>
      </c>
      <c r="DT27">
        <f t="shared" ref="DT27:DT30" si="828">($C27*AJ27)/100</f>
        <v>3.9599999999999996E-2</v>
      </c>
      <c r="DU27">
        <f t="shared" ref="DU27:DU30" si="829">($C27*AK27)/100</f>
        <v>4.62</v>
      </c>
      <c r="DV27">
        <f t="shared" ref="DV27:DV30" si="830">($C27*AL27)/100</f>
        <v>0</v>
      </c>
      <c r="DW27">
        <f t="shared" ref="DW27:DW30" si="831">($C27*AM27)/100</f>
        <v>0</v>
      </c>
      <c r="DX27">
        <f t="shared" ref="DX27:DX30" si="832">($C27*AN27)/100</f>
        <v>0</v>
      </c>
      <c r="DY27">
        <f t="shared" ref="DY27:DY30" si="833">($C27*AO27)/100</f>
        <v>13.86</v>
      </c>
      <c r="DZ27">
        <f t="shared" ref="DZ27:DZ30" si="834">($C27*AP27)/100</f>
        <v>0</v>
      </c>
      <c r="EA27">
        <f t="shared" ref="EA27:EA30" si="835">($C27*AQ27)/100</f>
        <v>83.16</v>
      </c>
      <c r="EB27">
        <f t="shared" ref="EB27:EB30" si="836">($C27*AR27)/100</f>
        <v>0.33990000000000004</v>
      </c>
      <c r="EC27">
        <f t="shared" ref="EC27:EC30" si="837">($C27*AS27)/100</f>
        <v>0</v>
      </c>
      <c r="ED27">
        <f t="shared" ref="ED27:ED30" si="838">($C27*AT27)/100</f>
        <v>0</v>
      </c>
      <c r="EE27">
        <f t="shared" ref="EE27:EE30" si="839">($C27*AU27)/100</f>
        <v>9.8999999999999991E-3</v>
      </c>
      <c r="EF27">
        <f t="shared" ref="EF27:EF30" si="840">($C27*AV27)/100</f>
        <v>0</v>
      </c>
      <c r="EG27">
        <f t="shared" ref="EG27:EG30" si="841">($C27*AW27)/100</f>
        <v>0</v>
      </c>
      <c r="EH27">
        <f t="shared" ref="EH27:EH30" si="842">($C27*AX27)/100</f>
        <v>0</v>
      </c>
      <c r="EI27">
        <f t="shared" ref="EI27:EI30" si="843">($C27*AY27)/100</f>
        <v>0</v>
      </c>
      <c r="EJ27">
        <f t="shared" ref="EJ27:EJ30" si="844">($C27*AZ27)/100</f>
        <v>0</v>
      </c>
      <c r="EK27">
        <f t="shared" ref="EK27:EK30" si="845">($C27*BA27)/100</f>
        <v>0</v>
      </c>
      <c r="EL27">
        <f t="shared" ref="EL27:EL30" si="846">($C27*BB27)/100</f>
        <v>0</v>
      </c>
      <c r="EM27">
        <f t="shared" ref="EM27:EM30" si="847">($C27*BC27)/100</f>
        <v>9.8999999999999991E-3</v>
      </c>
      <c r="EN27">
        <f t="shared" ref="EN27:EN30" si="848">($C27*BD27)/100</f>
        <v>0</v>
      </c>
      <c r="EO27">
        <f t="shared" ref="EO27:EO30" si="849">($C27*BE27)/100</f>
        <v>0</v>
      </c>
      <c r="EP27">
        <f t="shared" ref="EP27:EP30" si="850">($C27*BF27)/100</f>
        <v>9.8999999999999991E-3</v>
      </c>
      <c r="EQ27">
        <f t="shared" ref="EQ27:EQ30" si="851">($C27*BG27)/100</f>
        <v>0</v>
      </c>
      <c r="ER27">
        <f t="shared" ref="ER27:ER30" si="852">($C27*BH27)/100</f>
        <v>0</v>
      </c>
      <c r="ES27">
        <f t="shared" ref="ES27:ES30" si="853">($C27*BI27)/100</f>
        <v>2.64E-2</v>
      </c>
      <c r="ET27">
        <f t="shared" ref="ET27:ET30" si="854">($C27*BJ27)/100</f>
        <v>2.64E-2</v>
      </c>
      <c r="EU27">
        <f t="shared" ref="EU27:EU30" si="855">($C27*BK27)/100</f>
        <v>1.65E-3</v>
      </c>
      <c r="EV27">
        <f t="shared" ref="EV27:EV30" si="856">($C27*BL27)/100</f>
        <v>0</v>
      </c>
      <c r="EW27">
        <f t="shared" ref="EW27:EW30" si="857">($C27*BM27)/100</f>
        <v>0</v>
      </c>
      <c r="EX27">
        <f t="shared" ref="EX27:EX30" si="858">($C27*BN27)/100</f>
        <v>0</v>
      </c>
      <c r="EY27">
        <f t="shared" ref="EY27:EY30" si="859">($C27*BO27)/100</f>
        <v>0</v>
      </c>
      <c r="EZ27">
        <f t="shared" ref="EZ27:EZ30" si="860">($C27*BP27)/100</f>
        <v>3.63</v>
      </c>
      <c r="FA27">
        <f t="shared" ref="FA27:FA30" si="861">($C27*BQ27)/100</f>
        <v>9.9</v>
      </c>
      <c r="FB27">
        <f t="shared" ref="FB27:FB30" si="862">($C27*BR27)/100</f>
        <v>7.92</v>
      </c>
      <c r="FC27">
        <f t="shared" ref="FC27:FC30" si="863">($C27*BS27)/100</f>
        <v>11.88</v>
      </c>
      <c r="FD27">
        <f t="shared" ref="FD27:FD30" si="864">($C27*BT27)/100</f>
        <v>11.88</v>
      </c>
      <c r="FE27">
        <f t="shared" ref="FE27:FE30" si="865">($C27*BU27)/100</f>
        <v>2.64</v>
      </c>
      <c r="FF27">
        <f t="shared" ref="FF27:FF30" si="866">($C27*BV27)/100</f>
        <v>2.64</v>
      </c>
      <c r="FG27">
        <f t="shared" ref="FG27:FG30" si="867">($C27*BW27)/100</f>
        <v>7.92</v>
      </c>
      <c r="FH27">
        <f t="shared" ref="FH27:FH30" si="868">($C27*BX27)/100</f>
        <v>5.61</v>
      </c>
      <c r="FI27">
        <f t="shared" ref="FI27:FI30" si="869">($C27*BY27)/100</f>
        <v>9.57</v>
      </c>
      <c r="FJ27">
        <f t="shared" ref="FJ27:FJ30" si="870">($C27*BZ27)/100</f>
        <v>9.57</v>
      </c>
      <c r="FK27">
        <f t="shared" ref="FK27:FK30" si="871">($C27*CA27)/100</f>
        <v>6.6</v>
      </c>
      <c r="FL27">
        <f t="shared" ref="FL27:FL30" si="872">($C27*CB27)/100</f>
        <v>10.56</v>
      </c>
      <c r="FM27">
        <f t="shared" ref="FM27:FM30" si="873">($C27*CC27)/100</f>
        <v>51.15</v>
      </c>
      <c r="FN27">
        <f t="shared" ref="FN27:FN30" si="874">($C27*CD27)/100</f>
        <v>180.84</v>
      </c>
      <c r="FO27">
        <f t="shared" ref="FO27:FO30" si="875">($C27*CE27)/100</f>
        <v>7.92</v>
      </c>
      <c r="FP27">
        <f t="shared" ref="FP27:FP30" si="876">($C27*CF27)/100</f>
        <v>7.26</v>
      </c>
      <c r="FQ27">
        <f t="shared" ref="FQ27:FQ30" si="877">($C27*CG27)/100</f>
        <v>11.22</v>
      </c>
      <c r="FR27">
        <f t="shared" ref="FR27:FR30" si="878">($C27*CH27)/100</f>
        <v>0</v>
      </c>
      <c r="FS27">
        <f t="shared" ref="FS27:FS30" si="879">($C27*CI27)/100</f>
        <v>0</v>
      </c>
      <c r="FT27">
        <f t="shared" ref="FT27:FT30" si="880">($C27*CJ27)/100</f>
        <v>0</v>
      </c>
      <c r="FU27">
        <f t="shared" ref="FU27:FU30" si="881">($C27*CK27)/100</f>
        <v>0</v>
      </c>
      <c r="FV27">
        <f t="shared" ref="FV27:FV30" si="882">($C27*CL27)/100</f>
        <v>0</v>
      </c>
      <c r="FW27">
        <f t="shared" ref="FW27:FW30" si="883">($C27*CM27)/100</f>
        <v>0</v>
      </c>
    </row>
    <row r="28" spans="1:179" x14ac:dyDescent="0.35">
      <c r="B28" s="72" t="s">
        <v>227</v>
      </c>
      <c r="C28">
        <v>33</v>
      </c>
      <c r="D28" s="54">
        <v>15</v>
      </c>
      <c r="E28" s="54">
        <v>64</v>
      </c>
      <c r="F28" s="54">
        <v>0.7</v>
      </c>
      <c r="G28" s="54">
        <v>0</v>
      </c>
      <c r="H28" s="54">
        <v>0.7</v>
      </c>
      <c r="I28" s="54">
        <v>0.5</v>
      </c>
      <c r="J28" s="54">
        <v>0</v>
      </c>
      <c r="K28" s="54">
        <v>0.5</v>
      </c>
      <c r="L28" s="54">
        <v>0</v>
      </c>
      <c r="M28" s="54">
        <v>1.8</v>
      </c>
      <c r="N28" s="54">
        <v>0</v>
      </c>
      <c r="O28" s="54">
        <v>1.8</v>
      </c>
      <c r="P28" s="54">
        <v>0.6</v>
      </c>
      <c r="Q28" s="54">
        <v>0</v>
      </c>
      <c r="R28" s="54">
        <v>96.5</v>
      </c>
      <c r="S28" s="54">
        <v>0.3</v>
      </c>
      <c r="T28" s="54">
        <v>16</v>
      </c>
      <c r="U28" s="54">
        <v>13</v>
      </c>
      <c r="V28" s="54">
        <v>140</v>
      </c>
      <c r="W28" s="54">
        <v>17</v>
      </c>
      <c r="X28" s="54">
        <v>0.09</v>
      </c>
      <c r="Y28" s="81">
        <v>0</v>
      </c>
      <c r="Z28" s="81">
        <v>0</v>
      </c>
      <c r="AA28" s="81">
        <v>0</v>
      </c>
      <c r="AB28" s="81">
        <v>0</v>
      </c>
      <c r="AC28" s="81">
        <v>0</v>
      </c>
      <c r="AD28" s="81">
        <v>0</v>
      </c>
      <c r="AE28" s="81">
        <v>0</v>
      </c>
      <c r="AF28" s="54">
        <v>0.02</v>
      </c>
      <c r="AG28" s="54">
        <v>0.03</v>
      </c>
      <c r="AH28" s="54">
        <v>11</v>
      </c>
      <c r="AI28" s="54">
        <v>0.6</v>
      </c>
      <c r="AJ28" s="54">
        <v>0.04</v>
      </c>
      <c r="AK28" s="54">
        <v>9</v>
      </c>
      <c r="AL28" s="81">
        <v>0</v>
      </c>
      <c r="AM28" s="81">
        <v>0</v>
      </c>
      <c r="AN28" s="81">
        <v>0</v>
      </c>
      <c r="AO28" s="51">
        <v>0.5</v>
      </c>
      <c r="AP28" s="54">
        <v>0</v>
      </c>
      <c r="AQ28" s="51">
        <v>0.5</v>
      </c>
      <c r="AR28" s="54">
        <v>7.0000000000000007E-2</v>
      </c>
      <c r="AS28" s="54">
        <v>0</v>
      </c>
      <c r="AT28" s="81">
        <v>0</v>
      </c>
      <c r="AU28" s="54">
        <v>0.17</v>
      </c>
      <c r="AV28" s="81">
        <v>0</v>
      </c>
      <c r="AW28" s="81">
        <v>0</v>
      </c>
      <c r="AX28" s="81">
        <v>0</v>
      </c>
      <c r="AY28" s="81">
        <v>0</v>
      </c>
      <c r="AZ28" s="81">
        <v>0</v>
      </c>
      <c r="BA28" s="81">
        <v>0</v>
      </c>
      <c r="BB28" s="81">
        <v>0</v>
      </c>
      <c r="BC28" s="54">
        <v>0.01</v>
      </c>
      <c r="BD28" s="82">
        <v>0</v>
      </c>
      <c r="BE28" s="82">
        <v>0</v>
      </c>
      <c r="BF28" s="54">
        <v>0.01</v>
      </c>
      <c r="BG28" s="82">
        <v>0</v>
      </c>
      <c r="BH28" s="82">
        <v>0</v>
      </c>
      <c r="BI28" s="54">
        <v>0.23</v>
      </c>
      <c r="BJ28" s="54">
        <v>0.12</v>
      </c>
      <c r="BK28" s="54">
        <v>0.11</v>
      </c>
      <c r="BL28" s="82">
        <v>0</v>
      </c>
      <c r="BM28" s="82">
        <v>0</v>
      </c>
      <c r="BN28" s="82">
        <v>0</v>
      </c>
      <c r="BO28" s="54">
        <v>0</v>
      </c>
      <c r="BP28" s="56">
        <v>5</v>
      </c>
      <c r="BQ28" s="56">
        <v>19</v>
      </c>
      <c r="BR28" s="56">
        <v>21</v>
      </c>
      <c r="BS28" s="56">
        <v>29</v>
      </c>
      <c r="BT28" s="56">
        <v>29</v>
      </c>
      <c r="BU28" s="56">
        <v>6</v>
      </c>
      <c r="BV28" s="56">
        <v>4</v>
      </c>
      <c r="BW28" s="56">
        <v>19</v>
      </c>
      <c r="BX28" s="56">
        <v>11</v>
      </c>
      <c r="BY28" s="56">
        <v>22</v>
      </c>
      <c r="BZ28" s="56">
        <v>45</v>
      </c>
      <c r="CA28" s="56">
        <v>10</v>
      </c>
      <c r="CB28" s="56">
        <v>24</v>
      </c>
      <c r="CC28" s="56">
        <v>42</v>
      </c>
      <c r="CD28" s="56">
        <v>199</v>
      </c>
      <c r="CE28" s="56">
        <v>24</v>
      </c>
      <c r="CF28" s="56">
        <v>15</v>
      </c>
      <c r="CG28" s="56">
        <v>20</v>
      </c>
      <c r="CH28" s="81">
        <v>0</v>
      </c>
      <c r="CI28" s="81">
        <v>0</v>
      </c>
      <c r="CJ28" s="83">
        <v>0</v>
      </c>
      <c r="CK28" s="81">
        <v>0</v>
      </c>
      <c r="CL28" s="81">
        <v>0</v>
      </c>
      <c r="CM28" s="83">
        <v>0</v>
      </c>
      <c r="CN28">
        <f t="shared" si="796"/>
        <v>4.95</v>
      </c>
      <c r="CO28">
        <f t="shared" si="797"/>
        <v>21.12</v>
      </c>
      <c r="CP28">
        <f t="shared" si="798"/>
        <v>0.23099999999999998</v>
      </c>
      <c r="CQ28">
        <f t="shared" si="799"/>
        <v>0</v>
      </c>
      <c r="CR28">
        <f t="shared" si="800"/>
        <v>0.23099999999999998</v>
      </c>
      <c r="CS28">
        <f t="shared" si="801"/>
        <v>0.16500000000000001</v>
      </c>
      <c r="CT28">
        <f t="shared" si="802"/>
        <v>0</v>
      </c>
      <c r="CU28">
        <f t="shared" si="803"/>
        <v>0.16500000000000001</v>
      </c>
      <c r="CV28">
        <f t="shared" si="804"/>
        <v>0</v>
      </c>
      <c r="CW28">
        <f t="shared" si="805"/>
        <v>0.59399999999999997</v>
      </c>
      <c r="CX28">
        <f t="shared" si="806"/>
        <v>0</v>
      </c>
      <c r="CY28">
        <f t="shared" si="807"/>
        <v>0.59399999999999997</v>
      </c>
      <c r="CZ28">
        <f t="shared" si="808"/>
        <v>0.19800000000000001</v>
      </c>
      <c r="DA28">
        <f t="shared" si="809"/>
        <v>0</v>
      </c>
      <c r="DB28">
        <f t="shared" si="810"/>
        <v>31.844999999999999</v>
      </c>
      <c r="DC28">
        <f t="shared" si="811"/>
        <v>9.9000000000000005E-2</v>
      </c>
      <c r="DD28">
        <f t="shared" si="812"/>
        <v>5.28</v>
      </c>
      <c r="DE28">
        <f t="shared" si="813"/>
        <v>4.29</v>
      </c>
      <c r="DF28">
        <f t="shared" si="814"/>
        <v>46.2</v>
      </c>
      <c r="DG28">
        <f t="shared" si="815"/>
        <v>5.61</v>
      </c>
      <c r="DH28">
        <f t="shared" si="816"/>
        <v>2.9699999999999997E-2</v>
      </c>
      <c r="DI28">
        <f t="shared" si="817"/>
        <v>0</v>
      </c>
      <c r="DJ28">
        <f t="shared" si="818"/>
        <v>0</v>
      </c>
      <c r="DK28">
        <f t="shared" si="819"/>
        <v>0</v>
      </c>
      <c r="DL28">
        <f t="shared" si="820"/>
        <v>0</v>
      </c>
      <c r="DM28">
        <f t="shared" si="821"/>
        <v>0</v>
      </c>
      <c r="DN28">
        <f t="shared" si="822"/>
        <v>0</v>
      </c>
      <c r="DO28">
        <f t="shared" si="823"/>
        <v>0</v>
      </c>
      <c r="DP28">
        <f t="shared" si="824"/>
        <v>6.6E-3</v>
      </c>
      <c r="DQ28">
        <f t="shared" si="825"/>
        <v>9.8999999999999991E-3</v>
      </c>
      <c r="DR28">
        <f t="shared" si="826"/>
        <v>3.63</v>
      </c>
      <c r="DS28">
        <f t="shared" si="827"/>
        <v>0.19800000000000001</v>
      </c>
      <c r="DT28">
        <f t="shared" si="828"/>
        <v>1.32E-2</v>
      </c>
      <c r="DU28">
        <f t="shared" si="829"/>
        <v>2.97</v>
      </c>
      <c r="DV28">
        <f t="shared" si="830"/>
        <v>0</v>
      </c>
      <c r="DW28">
        <f t="shared" si="831"/>
        <v>0</v>
      </c>
      <c r="DX28">
        <f t="shared" si="832"/>
        <v>0</v>
      </c>
      <c r="DY28">
        <f t="shared" si="833"/>
        <v>0.16500000000000001</v>
      </c>
      <c r="DZ28">
        <f t="shared" si="834"/>
        <v>0</v>
      </c>
      <c r="EA28">
        <f t="shared" si="835"/>
        <v>0.16500000000000001</v>
      </c>
      <c r="EB28">
        <f t="shared" si="836"/>
        <v>2.3099999999999999E-2</v>
      </c>
      <c r="EC28">
        <f t="shared" si="837"/>
        <v>0</v>
      </c>
      <c r="ED28">
        <f t="shared" si="838"/>
        <v>0</v>
      </c>
      <c r="EE28">
        <f t="shared" si="839"/>
        <v>5.6100000000000004E-2</v>
      </c>
      <c r="EF28">
        <f t="shared" si="840"/>
        <v>0</v>
      </c>
      <c r="EG28">
        <f t="shared" si="841"/>
        <v>0</v>
      </c>
      <c r="EH28">
        <f t="shared" si="842"/>
        <v>0</v>
      </c>
      <c r="EI28">
        <f t="shared" si="843"/>
        <v>0</v>
      </c>
      <c r="EJ28">
        <f t="shared" si="844"/>
        <v>0</v>
      </c>
      <c r="EK28">
        <f t="shared" si="845"/>
        <v>0</v>
      </c>
      <c r="EL28">
        <f t="shared" si="846"/>
        <v>0</v>
      </c>
      <c r="EM28">
        <f t="shared" si="847"/>
        <v>3.3E-3</v>
      </c>
      <c r="EN28">
        <f t="shared" si="848"/>
        <v>0</v>
      </c>
      <c r="EO28">
        <f t="shared" si="849"/>
        <v>0</v>
      </c>
      <c r="EP28">
        <f t="shared" si="850"/>
        <v>3.3E-3</v>
      </c>
      <c r="EQ28">
        <f t="shared" si="851"/>
        <v>0</v>
      </c>
      <c r="ER28">
        <f t="shared" si="852"/>
        <v>0</v>
      </c>
      <c r="ES28">
        <f t="shared" si="853"/>
        <v>7.5900000000000009E-2</v>
      </c>
      <c r="ET28">
        <f t="shared" si="854"/>
        <v>3.9599999999999996E-2</v>
      </c>
      <c r="EU28">
        <f t="shared" si="855"/>
        <v>3.6299999999999999E-2</v>
      </c>
      <c r="EV28">
        <f t="shared" si="856"/>
        <v>0</v>
      </c>
      <c r="EW28">
        <f t="shared" si="857"/>
        <v>0</v>
      </c>
      <c r="EX28">
        <f t="shared" si="858"/>
        <v>0</v>
      </c>
      <c r="EY28">
        <f t="shared" si="859"/>
        <v>0</v>
      </c>
      <c r="EZ28">
        <f t="shared" si="860"/>
        <v>1.65</v>
      </c>
      <c r="FA28">
        <f t="shared" si="861"/>
        <v>6.27</v>
      </c>
      <c r="FB28">
        <f t="shared" si="862"/>
        <v>6.93</v>
      </c>
      <c r="FC28">
        <f t="shared" si="863"/>
        <v>9.57</v>
      </c>
      <c r="FD28">
        <f t="shared" si="864"/>
        <v>9.57</v>
      </c>
      <c r="FE28">
        <f t="shared" si="865"/>
        <v>1.98</v>
      </c>
      <c r="FF28">
        <f t="shared" si="866"/>
        <v>1.32</v>
      </c>
      <c r="FG28">
        <f t="shared" si="867"/>
        <v>6.27</v>
      </c>
      <c r="FH28">
        <f t="shared" si="868"/>
        <v>3.63</v>
      </c>
      <c r="FI28">
        <f t="shared" si="869"/>
        <v>7.26</v>
      </c>
      <c r="FJ28">
        <f t="shared" si="870"/>
        <v>14.85</v>
      </c>
      <c r="FK28">
        <f t="shared" si="871"/>
        <v>3.3</v>
      </c>
      <c r="FL28">
        <f t="shared" si="872"/>
        <v>7.92</v>
      </c>
      <c r="FM28">
        <f t="shared" si="873"/>
        <v>13.86</v>
      </c>
      <c r="FN28">
        <f t="shared" si="874"/>
        <v>65.67</v>
      </c>
      <c r="FO28">
        <f t="shared" si="875"/>
        <v>7.92</v>
      </c>
      <c r="FP28">
        <f t="shared" si="876"/>
        <v>4.95</v>
      </c>
      <c r="FQ28">
        <f t="shared" si="877"/>
        <v>6.6</v>
      </c>
      <c r="FR28">
        <f t="shared" si="878"/>
        <v>0</v>
      </c>
      <c r="FS28">
        <f t="shared" si="879"/>
        <v>0</v>
      </c>
      <c r="FT28">
        <f t="shared" si="880"/>
        <v>0</v>
      </c>
      <c r="FU28">
        <f t="shared" si="881"/>
        <v>0</v>
      </c>
      <c r="FV28">
        <f t="shared" si="882"/>
        <v>0</v>
      </c>
      <c r="FW28">
        <f t="shared" si="883"/>
        <v>0</v>
      </c>
    </row>
    <row r="29" spans="1:179" x14ac:dyDescent="0.35">
      <c r="B29" s="72" t="s">
        <v>228</v>
      </c>
      <c r="C29">
        <v>21</v>
      </c>
      <c r="D29" s="54">
        <v>250</v>
      </c>
      <c r="E29" s="54">
        <v>1037</v>
      </c>
      <c r="F29" s="54">
        <v>15.6</v>
      </c>
      <c r="G29" s="54">
        <v>15.6</v>
      </c>
      <c r="H29" s="54">
        <v>0</v>
      </c>
      <c r="I29" s="54">
        <v>20.2</v>
      </c>
      <c r="J29" s="54">
        <v>20.2</v>
      </c>
      <c r="K29" s="54">
        <v>0</v>
      </c>
      <c r="L29" s="54">
        <v>70</v>
      </c>
      <c r="M29" s="54">
        <v>1.5</v>
      </c>
      <c r="N29" s="54">
        <v>0</v>
      </c>
      <c r="O29" s="54">
        <v>1.5</v>
      </c>
      <c r="P29" s="54">
        <v>0</v>
      </c>
      <c r="Q29" s="54">
        <v>0</v>
      </c>
      <c r="R29" s="54">
        <v>56.5</v>
      </c>
      <c r="S29" s="54">
        <v>0.2</v>
      </c>
      <c r="T29" s="54">
        <v>360</v>
      </c>
      <c r="U29" s="54">
        <v>1440</v>
      </c>
      <c r="V29" s="54">
        <v>95</v>
      </c>
      <c r="W29" s="54">
        <v>280</v>
      </c>
      <c r="X29" s="54">
        <v>0.9</v>
      </c>
      <c r="Y29" s="54">
        <v>20</v>
      </c>
      <c r="Z29" s="54">
        <v>7.0000000000000007E-2</v>
      </c>
      <c r="AA29" s="54">
        <v>15</v>
      </c>
      <c r="AB29" s="54">
        <v>2350</v>
      </c>
      <c r="AC29" s="54">
        <v>29</v>
      </c>
      <c r="AD29" s="51">
        <v>5.0000000000000001E-3</v>
      </c>
      <c r="AE29" s="54">
        <v>200</v>
      </c>
      <c r="AF29" s="54">
        <v>0.04</v>
      </c>
      <c r="AG29" s="54">
        <v>0.21</v>
      </c>
      <c r="AH29" s="51">
        <v>0.5</v>
      </c>
      <c r="AI29" s="54">
        <v>0.2</v>
      </c>
      <c r="AJ29" s="54">
        <v>7.0000000000000007E-2</v>
      </c>
      <c r="AK29" s="54">
        <v>23</v>
      </c>
      <c r="AL29" s="54">
        <v>0.36</v>
      </c>
      <c r="AM29" s="54">
        <v>2.4</v>
      </c>
      <c r="AN29" s="54">
        <v>1.1000000000000001</v>
      </c>
      <c r="AO29" s="54">
        <v>226</v>
      </c>
      <c r="AP29" s="54">
        <v>220</v>
      </c>
      <c r="AQ29" s="54">
        <v>33</v>
      </c>
      <c r="AR29" s="54">
        <v>0.37</v>
      </c>
      <c r="AS29" s="54">
        <v>0.5</v>
      </c>
      <c r="AT29" s="55">
        <v>1.8</v>
      </c>
      <c r="AU29" s="54">
        <v>14.186999999999999</v>
      </c>
      <c r="AV29" s="54">
        <v>3.6749999999999998</v>
      </c>
      <c r="AW29" s="54">
        <v>1.1000000000000001</v>
      </c>
      <c r="AX29" s="54">
        <v>2.621</v>
      </c>
      <c r="AY29" s="54">
        <v>4.8899999999999997</v>
      </c>
      <c r="AZ29" s="54">
        <v>1.4119999999999999</v>
      </c>
      <c r="BA29" s="62">
        <v>0</v>
      </c>
      <c r="BB29" s="62">
        <v>0</v>
      </c>
      <c r="BC29" s="54">
        <v>4.3879999999999999</v>
      </c>
      <c r="BD29" s="63">
        <v>0.25</v>
      </c>
      <c r="BE29" s="54">
        <v>0.36499999999999999</v>
      </c>
      <c r="BF29" s="54">
        <v>3.7730000000000001</v>
      </c>
      <c r="BG29" s="54">
        <v>0</v>
      </c>
      <c r="BH29" s="54">
        <v>0</v>
      </c>
      <c r="BI29" s="54">
        <v>0.56100000000000005</v>
      </c>
      <c r="BJ29" s="54">
        <v>0.309</v>
      </c>
      <c r="BK29" s="54">
        <v>0.252</v>
      </c>
      <c r="BL29" s="54">
        <v>0</v>
      </c>
      <c r="BM29" s="54">
        <v>0</v>
      </c>
      <c r="BN29" s="54">
        <v>0</v>
      </c>
      <c r="BO29" s="54">
        <v>0</v>
      </c>
      <c r="BP29" s="56">
        <v>220</v>
      </c>
      <c r="BQ29" s="56">
        <v>699</v>
      </c>
      <c r="BR29" s="56">
        <v>882</v>
      </c>
      <c r="BS29" s="56">
        <v>1531</v>
      </c>
      <c r="BT29" s="56">
        <v>1338</v>
      </c>
      <c r="BU29" s="56">
        <v>404</v>
      </c>
      <c r="BV29" s="56">
        <v>91</v>
      </c>
      <c r="BW29" s="56">
        <v>741</v>
      </c>
      <c r="BX29" s="56">
        <v>733</v>
      </c>
      <c r="BY29" s="56">
        <v>1169</v>
      </c>
      <c r="BZ29" s="56">
        <v>516</v>
      </c>
      <c r="CA29" s="56">
        <v>436</v>
      </c>
      <c r="CB29" s="56">
        <v>702</v>
      </c>
      <c r="CC29" s="56">
        <v>855</v>
      </c>
      <c r="CD29" s="56">
        <v>2658</v>
      </c>
      <c r="CE29" s="56">
        <v>106</v>
      </c>
      <c r="CF29" s="56">
        <v>1513</v>
      </c>
      <c r="CG29" s="56">
        <v>1283</v>
      </c>
      <c r="CH29" s="54">
        <v>0</v>
      </c>
      <c r="CI29" s="54">
        <v>0</v>
      </c>
      <c r="CJ29" s="54">
        <v>0.1</v>
      </c>
      <c r="CK29" s="54">
        <v>0</v>
      </c>
      <c r="CL29" s="54">
        <v>0</v>
      </c>
      <c r="CM29" s="54">
        <v>1.4</v>
      </c>
      <c r="CN29">
        <f t="shared" si="796"/>
        <v>52.5</v>
      </c>
      <c r="CO29">
        <f t="shared" si="797"/>
        <v>217.77</v>
      </c>
      <c r="CP29">
        <f t="shared" si="798"/>
        <v>3.2759999999999998</v>
      </c>
      <c r="CQ29">
        <f t="shared" si="799"/>
        <v>3.2759999999999998</v>
      </c>
      <c r="CR29">
        <f t="shared" si="800"/>
        <v>0</v>
      </c>
      <c r="CS29">
        <f t="shared" si="801"/>
        <v>4.242</v>
      </c>
      <c r="CT29">
        <f t="shared" si="802"/>
        <v>4.242</v>
      </c>
      <c r="CU29">
        <f t="shared" si="803"/>
        <v>0</v>
      </c>
      <c r="CV29">
        <f t="shared" si="804"/>
        <v>14.7</v>
      </c>
      <c r="CW29">
        <f t="shared" si="805"/>
        <v>0.315</v>
      </c>
      <c r="CX29">
        <f t="shared" si="806"/>
        <v>0</v>
      </c>
      <c r="CY29">
        <f t="shared" si="807"/>
        <v>0.315</v>
      </c>
      <c r="CZ29">
        <f t="shared" si="808"/>
        <v>0</v>
      </c>
      <c r="DA29">
        <f t="shared" si="809"/>
        <v>0</v>
      </c>
      <c r="DB29">
        <f t="shared" si="810"/>
        <v>11.865</v>
      </c>
      <c r="DC29">
        <f t="shared" si="811"/>
        <v>4.2000000000000003E-2</v>
      </c>
      <c r="DD29">
        <f t="shared" si="812"/>
        <v>75.599999999999994</v>
      </c>
      <c r="DE29">
        <f t="shared" si="813"/>
        <v>302.39999999999998</v>
      </c>
      <c r="DF29">
        <f t="shared" si="814"/>
        <v>19.95</v>
      </c>
      <c r="DG29">
        <f t="shared" si="815"/>
        <v>58.8</v>
      </c>
      <c r="DH29">
        <f t="shared" si="816"/>
        <v>0.18900000000000003</v>
      </c>
      <c r="DI29">
        <f t="shared" si="817"/>
        <v>4.2</v>
      </c>
      <c r="DJ29">
        <f t="shared" si="818"/>
        <v>1.4700000000000001E-2</v>
      </c>
      <c r="DK29">
        <f t="shared" si="819"/>
        <v>3.15</v>
      </c>
      <c r="DL29">
        <f t="shared" si="820"/>
        <v>493.5</v>
      </c>
      <c r="DM29">
        <f t="shared" si="821"/>
        <v>6.09</v>
      </c>
      <c r="DN29">
        <f t="shared" si="822"/>
        <v>1.0499999999999999E-3</v>
      </c>
      <c r="DO29">
        <f t="shared" si="823"/>
        <v>42</v>
      </c>
      <c r="DP29">
        <f t="shared" si="824"/>
        <v>8.3999999999999995E-3</v>
      </c>
      <c r="DQ29">
        <f t="shared" si="825"/>
        <v>4.41E-2</v>
      </c>
      <c r="DR29">
        <f t="shared" si="826"/>
        <v>0.105</v>
      </c>
      <c r="DS29">
        <f t="shared" si="827"/>
        <v>4.2000000000000003E-2</v>
      </c>
      <c r="DT29">
        <f t="shared" si="828"/>
        <v>1.4700000000000001E-2</v>
      </c>
      <c r="DU29">
        <f t="shared" si="829"/>
        <v>4.83</v>
      </c>
      <c r="DV29">
        <f t="shared" si="830"/>
        <v>7.5600000000000001E-2</v>
      </c>
      <c r="DW29">
        <f t="shared" si="831"/>
        <v>0.504</v>
      </c>
      <c r="DX29">
        <f t="shared" si="832"/>
        <v>0.23100000000000001</v>
      </c>
      <c r="DY29">
        <f t="shared" si="833"/>
        <v>47.46</v>
      </c>
      <c r="DZ29">
        <f t="shared" si="834"/>
        <v>46.2</v>
      </c>
      <c r="EA29">
        <f t="shared" si="835"/>
        <v>6.93</v>
      </c>
      <c r="EB29">
        <f t="shared" si="836"/>
        <v>7.7699999999999991E-2</v>
      </c>
      <c r="EC29">
        <f t="shared" si="837"/>
        <v>0.105</v>
      </c>
      <c r="ED29">
        <f t="shared" si="838"/>
        <v>0.37800000000000006</v>
      </c>
      <c r="EE29">
        <f t="shared" si="839"/>
        <v>2.9792699999999996</v>
      </c>
      <c r="EF29">
        <f t="shared" si="840"/>
        <v>0.77174999999999994</v>
      </c>
      <c r="EG29">
        <f t="shared" si="841"/>
        <v>0.23100000000000001</v>
      </c>
      <c r="EH29">
        <f t="shared" si="842"/>
        <v>0.55040999999999995</v>
      </c>
      <c r="EI29">
        <f t="shared" si="843"/>
        <v>1.0268999999999999</v>
      </c>
      <c r="EJ29">
        <f t="shared" si="844"/>
        <v>0.29651999999999995</v>
      </c>
      <c r="EK29">
        <f t="shared" si="845"/>
        <v>0</v>
      </c>
      <c r="EL29">
        <f t="shared" si="846"/>
        <v>0</v>
      </c>
      <c r="EM29">
        <f t="shared" si="847"/>
        <v>0.92147999999999997</v>
      </c>
      <c r="EN29">
        <f t="shared" si="848"/>
        <v>5.2499999999999998E-2</v>
      </c>
      <c r="EO29">
        <f t="shared" si="849"/>
        <v>7.6649999999999996E-2</v>
      </c>
      <c r="EP29">
        <f t="shared" si="850"/>
        <v>0.79233000000000009</v>
      </c>
      <c r="EQ29">
        <f t="shared" si="851"/>
        <v>0</v>
      </c>
      <c r="ER29">
        <f t="shared" si="852"/>
        <v>0</v>
      </c>
      <c r="ES29">
        <f t="shared" si="853"/>
        <v>0.11781000000000001</v>
      </c>
      <c r="ET29">
        <f t="shared" si="854"/>
        <v>6.4890000000000003E-2</v>
      </c>
      <c r="EU29">
        <f t="shared" si="855"/>
        <v>5.2919999999999995E-2</v>
      </c>
      <c r="EV29">
        <f t="shared" si="856"/>
        <v>0</v>
      </c>
      <c r="EW29">
        <f t="shared" si="857"/>
        <v>0</v>
      </c>
      <c r="EX29">
        <f t="shared" si="858"/>
        <v>0</v>
      </c>
      <c r="EY29">
        <f t="shared" si="859"/>
        <v>0</v>
      </c>
      <c r="EZ29">
        <f t="shared" si="860"/>
        <v>46.2</v>
      </c>
      <c r="FA29">
        <f t="shared" si="861"/>
        <v>146.79</v>
      </c>
      <c r="FB29">
        <f t="shared" si="862"/>
        <v>185.22</v>
      </c>
      <c r="FC29">
        <f t="shared" si="863"/>
        <v>321.51</v>
      </c>
      <c r="FD29">
        <f t="shared" si="864"/>
        <v>280.98</v>
      </c>
      <c r="FE29">
        <f t="shared" si="865"/>
        <v>84.84</v>
      </c>
      <c r="FF29">
        <f t="shared" si="866"/>
        <v>19.11</v>
      </c>
      <c r="FG29">
        <f t="shared" si="867"/>
        <v>155.61000000000001</v>
      </c>
      <c r="FH29">
        <f t="shared" si="868"/>
        <v>153.93</v>
      </c>
      <c r="FI29">
        <f t="shared" si="869"/>
        <v>245.49</v>
      </c>
      <c r="FJ29">
        <f t="shared" si="870"/>
        <v>108.36</v>
      </c>
      <c r="FK29">
        <f t="shared" si="871"/>
        <v>91.56</v>
      </c>
      <c r="FL29">
        <f t="shared" si="872"/>
        <v>147.41999999999999</v>
      </c>
      <c r="FM29">
        <f t="shared" si="873"/>
        <v>179.55</v>
      </c>
      <c r="FN29">
        <f t="shared" si="874"/>
        <v>558.17999999999995</v>
      </c>
      <c r="FO29">
        <f t="shared" si="875"/>
        <v>22.26</v>
      </c>
      <c r="FP29">
        <f t="shared" si="876"/>
        <v>317.73</v>
      </c>
      <c r="FQ29">
        <f t="shared" si="877"/>
        <v>269.43</v>
      </c>
      <c r="FR29">
        <f t="shared" si="878"/>
        <v>0</v>
      </c>
      <c r="FS29">
        <f t="shared" si="879"/>
        <v>0</v>
      </c>
      <c r="FT29">
        <f t="shared" si="880"/>
        <v>2.1000000000000001E-2</v>
      </c>
      <c r="FU29">
        <f t="shared" si="881"/>
        <v>0</v>
      </c>
      <c r="FV29">
        <f t="shared" si="882"/>
        <v>0</v>
      </c>
      <c r="FW29">
        <f t="shared" si="883"/>
        <v>0.29399999999999998</v>
      </c>
    </row>
    <row r="30" spans="1:179" x14ac:dyDescent="0.35">
      <c r="B30" s="36" t="s">
        <v>229</v>
      </c>
      <c r="C30">
        <v>9</v>
      </c>
      <c r="D30" s="54">
        <v>240</v>
      </c>
      <c r="E30" s="54">
        <v>988</v>
      </c>
      <c r="F30" s="54">
        <v>1.6</v>
      </c>
      <c r="G30" s="54">
        <v>0</v>
      </c>
      <c r="H30" s="54">
        <v>1.6</v>
      </c>
      <c r="I30" s="54">
        <v>25.1</v>
      </c>
      <c r="J30" s="54">
        <v>0</v>
      </c>
      <c r="K30" s="54">
        <v>25.1</v>
      </c>
      <c r="L30" s="54">
        <v>0</v>
      </c>
      <c r="M30" s="54">
        <v>0.8</v>
      </c>
      <c r="N30" s="54">
        <v>0</v>
      </c>
      <c r="O30" s="54">
        <v>0.8</v>
      </c>
      <c r="P30" s="54">
        <v>2.4</v>
      </c>
      <c r="Q30" s="54">
        <v>0</v>
      </c>
      <c r="R30" s="54">
        <v>68.599999999999994</v>
      </c>
      <c r="S30" s="54">
        <v>1.6</v>
      </c>
      <c r="T30" s="54">
        <v>62</v>
      </c>
      <c r="U30" s="54">
        <v>54</v>
      </c>
      <c r="V30" s="54">
        <v>432</v>
      </c>
      <c r="W30" s="54">
        <v>18</v>
      </c>
      <c r="X30" s="54">
        <v>0.5</v>
      </c>
      <c r="Y30" s="81">
        <v>0</v>
      </c>
      <c r="Z30" s="81">
        <v>0</v>
      </c>
      <c r="AA30" s="81">
        <v>0</v>
      </c>
      <c r="AB30" s="81">
        <v>0</v>
      </c>
      <c r="AC30" s="81">
        <v>0</v>
      </c>
      <c r="AD30" s="81">
        <v>0</v>
      </c>
      <c r="AE30" s="81">
        <v>0</v>
      </c>
      <c r="AF30" s="54">
        <v>0.1</v>
      </c>
      <c r="AG30" s="54">
        <v>0.1</v>
      </c>
      <c r="AH30" s="54">
        <v>20</v>
      </c>
      <c r="AI30" s="54">
        <v>1</v>
      </c>
      <c r="AJ30" s="54">
        <v>0.02</v>
      </c>
      <c r="AK30" s="51">
        <v>0.5</v>
      </c>
      <c r="AL30" s="81">
        <v>0</v>
      </c>
      <c r="AM30" s="81">
        <v>0</v>
      </c>
      <c r="AN30" s="81">
        <v>0</v>
      </c>
      <c r="AO30" s="54">
        <v>55</v>
      </c>
      <c r="AP30" s="54">
        <v>0</v>
      </c>
      <c r="AQ30" s="54">
        <v>330</v>
      </c>
      <c r="AR30" s="54">
        <v>1.99</v>
      </c>
      <c r="AS30" s="54">
        <v>0</v>
      </c>
      <c r="AT30" s="81">
        <v>0</v>
      </c>
      <c r="AU30" s="54">
        <v>3.51</v>
      </c>
      <c r="AV30" s="81">
        <v>0</v>
      </c>
      <c r="AW30" s="81">
        <v>0</v>
      </c>
      <c r="AX30" s="81">
        <v>0</v>
      </c>
      <c r="AY30" s="81">
        <v>0</v>
      </c>
      <c r="AZ30" s="81">
        <v>0</v>
      </c>
      <c r="BA30" s="81">
        <v>0</v>
      </c>
      <c r="BB30" s="81">
        <v>0</v>
      </c>
      <c r="BC30" s="54">
        <v>17.52</v>
      </c>
      <c r="BD30" s="81">
        <v>0</v>
      </c>
      <c r="BE30" s="81">
        <v>0</v>
      </c>
      <c r="BF30" s="54">
        <v>17.27</v>
      </c>
      <c r="BG30" s="81">
        <v>0</v>
      </c>
      <c r="BH30" s="81">
        <v>0</v>
      </c>
      <c r="BI30" s="54">
        <v>2.81</v>
      </c>
      <c r="BJ30" s="54">
        <v>2.65</v>
      </c>
      <c r="BK30" s="54">
        <v>0.16</v>
      </c>
      <c r="BL30" s="82">
        <v>0</v>
      </c>
      <c r="BM30" s="82">
        <v>0</v>
      </c>
      <c r="BN30" s="82">
        <v>0</v>
      </c>
      <c r="BO30" s="54">
        <v>0</v>
      </c>
      <c r="BP30" s="88">
        <v>0</v>
      </c>
      <c r="BQ30" s="56">
        <v>50</v>
      </c>
      <c r="BR30" s="56">
        <v>59</v>
      </c>
      <c r="BS30" s="56">
        <v>95</v>
      </c>
      <c r="BT30" s="56">
        <v>61</v>
      </c>
      <c r="BU30" s="56">
        <v>23</v>
      </c>
      <c r="BV30" s="88">
        <v>0</v>
      </c>
      <c r="BW30" s="56">
        <v>55</v>
      </c>
      <c r="BX30" s="56">
        <v>44</v>
      </c>
      <c r="BY30" s="56">
        <v>72</v>
      </c>
      <c r="BZ30" s="56">
        <v>128</v>
      </c>
      <c r="CA30" s="56">
        <v>44</v>
      </c>
      <c r="CB30" s="56">
        <v>82</v>
      </c>
      <c r="CC30" s="56">
        <v>175</v>
      </c>
      <c r="CD30" s="56">
        <v>177</v>
      </c>
      <c r="CE30" s="56">
        <v>93</v>
      </c>
      <c r="CF30" s="56">
        <v>76</v>
      </c>
      <c r="CG30" s="56">
        <v>59</v>
      </c>
      <c r="CH30" s="81">
        <v>0</v>
      </c>
      <c r="CI30" s="81">
        <v>0</v>
      </c>
      <c r="CJ30" s="83">
        <v>0</v>
      </c>
      <c r="CK30" s="81">
        <v>0</v>
      </c>
      <c r="CL30" s="81">
        <v>0</v>
      </c>
      <c r="CM30" s="83">
        <v>0</v>
      </c>
      <c r="CN30">
        <f t="shared" si="796"/>
        <v>21.6</v>
      </c>
      <c r="CO30">
        <f t="shared" si="797"/>
        <v>88.92</v>
      </c>
      <c r="CP30">
        <f t="shared" si="798"/>
        <v>0.14400000000000002</v>
      </c>
      <c r="CQ30">
        <f t="shared" si="799"/>
        <v>0</v>
      </c>
      <c r="CR30">
        <f t="shared" si="800"/>
        <v>0.14400000000000002</v>
      </c>
      <c r="CS30">
        <f t="shared" si="801"/>
        <v>2.2589999999999999</v>
      </c>
      <c r="CT30">
        <f t="shared" si="802"/>
        <v>0</v>
      </c>
      <c r="CU30">
        <f t="shared" si="803"/>
        <v>2.2589999999999999</v>
      </c>
      <c r="CV30">
        <f t="shared" si="804"/>
        <v>0</v>
      </c>
      <c r="CW30">
        <f t="shared" si="805"/>
        <v>7.2000000000000008E-2</v>
      </c>
      <c r="CX30">
        <f t="shared" si="806"/>
        <v>0</v>
      </c>
      <c r="CY30">
        <f t="shared" si="807"/>
        <v>7.2000000000000008E-2</v>
      </c>
      <c r="CZ30">
        <f t="shared" si="808"/>
        <v>0.21599999999999997</v>
      </c>
      <c r="DA30">
        <f t="shared" si="809"/>
        <v>0</v>
      </c>
      <c r="DB30">
        <f t="shared" si="810"/>
        <v>6.1739999999999995</v>
      </c>
      <c r="DC30">
        <f t="shared" si="811"/>
        <v>0.14400000000000002</v>
      </c>
      <c r="DD30">
        <f t="shared" si="812"/>
        <v>5.58</v>
      </c>
      <c r="DE30">
        <f t="shared" si="813"/>
        <v>4.8600000000000003</v>
      </c>
      <c r="DF30">
        <f t="shared" si="814"/>
        <v>38.880000000000003</v>
      </c>
      <c r="DG30">
        <f t="shared" si="815"/>
        <v>1.62</v>
      </c>
      <c r="DH30">
        <f t="shared" si="816"/>
        <v>4.4999999999999998E-2</v>
      </c>
      <c r="DI30">
        <f t="shared" si="817"/>
        <v>0</v>
      </c>
      <c r="DJ30">
        <f t="shared" si="818"/>
        <v>0</v>
      </c>
      <c r="DK30">
        <f t="shared" si="819"/>
        <v>0</v>
      </c>
      <c r="DL30">
        <f t="shared" si="820"/>
        <v>0</v>
      </c>
      <c r="DM30">
        <f t="shared" si="821"/>
        <v>0</v>
      </c>
      <c r="DN30">
        <f t="shared" si="822"/>
        <v>0</v>
      </c>
      <c r="DO30">
        <f t="shared" si="823"/>
        <v>0</v>
      </c>
      <c r="DP30">
        <f t="shared" si="824"/>
        <v>9.0000000000000011E-3</v>
      </c>
      <c r="DQ30">
        <f t="shared" si="825"/>
        <v>9.0000000000000011E-3</v>
      </c>
      <c r="DR30">
        <f t="shared" si="826"/>
        <v>1.8</v>
      </c>
      <c r="DS30">
        <f t="shared" si="827"/>
        <v>0.09</v>
      </c>
      <c r="DT30">
        <f t="shared" si="828"/>
        <v>1.8E-3</v>
      </c>
      <c r="DU30">
        <f t="shared" si="829"/>
        <v>4.4999999999999998E-2</v>
      </c>
      <c r="DV30">
        <f t="shared" si="830"/>
        <v>0</v>
      </c>
      <c r="DW30">
        <f t="shared" si="831"/>
        <v>0</v>
      </c>
      <c r="DX30">
        <f t="shared" si="832"/>
        <v>0</v>
      </c>
      <c r="DY30">
        <f t="shared" si="833"/>
        <v>4.95</v>
      </c>
      <c r="DZ30">
        <f t="shared" si="834"/>
        <v>0</v>
      </c>
      <c r="EA30">
        <f t="shared" si="835"/>
        <v>29.7</v>
      </c>
      <c r="EB30">
        <f t="shared" si="836"/>
        <v>0.17910000000000001</v>
      </c>
      <c r="EC30">
        <f t="shared" si="837"/>
        <v>0</v>
      </c>
      <c r="ED30">
        <f t="shared" si="838"/>
        <v>0</v>
      </c>
      <c r="EE30">
        <f t="shared" si="839"/>
        <v>0.31589999999999996</v>
      </c>
      <c r="EF30">
        <f t="shared" si="840"/>
        <v>0</v>
      </c>
      <c r="EG30">
        <f t="shared" si="841"/>
        <v>0</v>
      </c>
      <c r="EH30">
        <f t="shared" si="842"/>
        <v>0</v>
      </c>
      <c r="EI30">
        <f t="shared" si="843"/>
        <v>0</v>
      </c>
      <c r="EJ30">
        <f t="shared" si="844"/>
        <v>0</v>
      </c>
      <c r="EK30">
        <f t="shared" si="845"/>
        <v>0</v>
      </c>
      <c r="EL30">
        <f t="shared" si="846"/>
        <v>0</v>
      </c>
      <c r="EM30">
        <f t="shared" si="847"/>
        <v>1.5768</v>
      </c>
      <c r="EN30">
        <f t="shared" si="848"/>
        <v>0</v>
      </c>
      <c r="EO30">
        <f t="shared" si="849"/>
        <v>0</v>
      </c>
      <c r="EP30">
        <f t="shared" si="850"/>
        <v>1.5543</v>
      </c>
      <c r="EQ30">
        <f t="shared" si="851"/>
        <v>0</v>
      </c>
      <c r="ER30">
        <f t="shared" si="852"/>
        <v>0</v>
      </c>
      <c r="ES30">
        <f t="shared" si="853"/>
        <v>0.25290000000000001</v>
      </c>
      <c r="ET30">
        <f t="shared" si="854"/>
        <v>0.23849999999999999</v>
      </c>
      <c r="EU30">
        <f t="shared" si="855"/>
        <v>1.44E-2</v>
      </c>
      <c r="EV30">
        <f t="shared" si="856"/>
        <v>0</v>
      </c>
      <c r="EW30">
        <f t="shared" si="857"/>
        <v>0</v>
      </c>
      <c r="EX30">
        <f t="shared" si="858"/>
        <v>0</v>
      </c>
      <c r="EY30">
        <f t="shared" si="859"/>
        <v>0</v>
      </c>
      <c r="EZ30">
        <f t="shared" si="860"/>
        <v>0</v>
      </c>
      <c r="FA30">
        <f t="shared" si="861"/>
        <v>4.5</v>
      </c>
      <c r="FB30">
        <f t="shared" si="862"/>
        <v>5.31</v>
      </c>
      <c r="FC30">
        <f t="shared" si="863"/>
        <v>8.5500000000000007</v>
      </c>
      <c r="FD30">
        <f t="shared" si="864"/>
        <v>5.49</v>
      </c>
      <c r="FE30">
        <f t="shared" si="865"/>
        <v>2.0699999999999998</v>
      </c>
      <c r="FF30">
        <f t="shared" si="866"/>
        <v>0</v>
      </c>
      <c r="FG30">
        <f t="shared" si="867"/>
        <v>4.95</v>
      </c>
      <c r="FH30">
        <f t="shared" si="868"/>
        <v>3.96</v>
      </c>
      <c r="FI30">
        <f t="shared" si="869"/>
        <v>6.48</v>
      </c>
      <c r="FJ30">
        <f t="shared" si="870"/>
        <v>11.52</v>
      </c>
      <c r="FK30">
        <f t="shared" si="871"/>
        <v>3.96</v>
      </c>
      <c r="FL30">
        <f t="shared" si="872"/>
        <v>7.38</v>
      </c>
      <c r="FM30">
        <f t="shared" si="873"/>
        <v>15.75</v>
      </c>
      <c r="FN30">
        <f t="shared" si="874"/>
        <v>15.93</v>
      </c>
      <c r="FO30">
        <f t="shared" si="875"/>
        <v>8.3699999999999992</v>
      </c>
      <c r="FP30">
        <f t="shared" si="876"/>
        <v>6.84</v>
      </c>
      <c r="FQ30">
        <f t="shared" si="877"/>
        <v>5.31</v>
      </c>
      <c r="FR30">
        <f t="shared" si="878"/>
        <v>0</v>
      </c>
      <c r="FS30">
        <f t="shared" si="879"/>
        <v>0</v>
      </c>
      <c r="FT30">
        <f t="shared" si="880"/>
        <v>0</v>
      </c>
      <c r="FU30">
        <f t="shared" si="881"/>
        <v>0</v>
      </c>
      <c r="FV30">
        <f t="shared" si="882"/>
        <v>0</v>
      </c>
      <c r="FW30">
        <f t="shared" si="883"/>
        <v>0</v>
      </c>
    </row>
    <row r="31" spans="1:179" x14ac:dyDescent="0.35">
      <c r="B31" s="72" t="s">
        <v>211</v>
      </c>
      <c r="C31">
        <v>4</v>
      </c>
      <c r="D31" s="6">
        <v>899</v>
      </c>
      <c r="E31" s="6">
        <v>3696</v>
      </c>
      <c r="F31" s="6">
        <v>0</v>
      </c>
      <c r="G31" s="6">
        <v>0</v>
      </c>
      <c r="H31" s="6">
        <v>0</v>
      </c>
      <c r="I31" s="6">
        <v>99.9</v>
      </c>
      <c r="J31" s="6">
        <v>0</v>
      </c>
      <c r="K31" s="6">
        <v>99.9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0.2</v>
      </c>
      <c r="T31" s="6">
        <v>0</v>
      </c>
      <c r="U31" s="51">
        <v>0.5</v>
      </c>
      <c r="V31" s="51">
        <v>0.5</v>
      </c>
      <c r="W31" s="6">
        <v>0</v>
      </c>
      <c r="X31" s="51">
        <v>5.0000000000000001E-3</v>
      </c>
      <c r="Y31" s="51">
        <v>0.5</v>
      </c>
      <c r="Z31" s="6">
        <v>0.01</v>
      </c>
      <c r="AA31" s="51">
        <v>0.05</v>
      </c>
      <c r="AB31" s="51">
        <v>0.5</v>
      </c>
      <c r="AC31" s="51">
        <v>0.5</v>
      </c>
      <c r="AD31" s="51">
        <v>5.0000000000000001E-3</v>
      </c>
      <c r="AE31" s="51">
        <v>0.5</v>
      </c>
      <c r="AF31" s="6">
        <v>0</v>
      </c>
      <c r="AG31" s="6">
        <v>0</v>
      </c>
      <c r="AH31" s="6">
        <v>0</v>
      </c>
      <c r="AI31" s="6">
        <v>0</v>
      </c>
      <c r="AJ31" s="51">
        <v>5.0000000000000001E-3</v>
      </c>
      <c r="AK31" s="51">
        <v>0.5</v>
      </c>
      <c r="AL31" s="51">
        <v>5.0000000000000001E-3</v>
      </c>
      <c r="AM31" s="51">
        <v>0.05</v>
      </c>
      <c r="AN31" s="6">
        <v>0</v>
      </c>
      <c r="AO31" s="6">
        <v>36</v>
      </c>
      <c r="AP31" s="6">
        <v>0</v>
      </c>
      <c r="AQ31" s="6">
        <v>216</v>
      </c>
      <c r="AR31" s="6">
        <v>21.42</v>
      </c>
      <c r="AS31" s="6">
        <v>0</v>
      </c>
      <c r="AT31" s="6">
        <v>57.5</v>
      </c>
      <c r="AU31" s="6">
        <v>14.46</v>
      </c>
      <c r="AV31" s="6">
        <v>0</v>
      </c>
      <c r="AW31" s="6">
        <v>0</v>
      </c>
      <c r="AX31" s="6">
        <v>0</v>
      </c>
      <c r="AY31" s="6">
        <v>10.64</v>
      </c>
      <c r="AZ31" s="6">
        <v>3.06</v>
      </c>
      <c r="BA31" s="6">
        <v>0.76</v>
      </c>
      <c r="BB31" s="6">
        <v>0</v>
      </c>
      <c r="BC31" s="6">
        <v>72.95</v>
      </c>
      <c r="BD31" s="6">
        <v>0</v>
      </c>
      <c r="BE31" s="6">
        <v>0.79</v>
      </c>
      <c r="BF31" s="6">
        <v>71.87</v>
      </c>
      <c r="BG31" s="6">
        <v>0.28999999999999998</v>
      </c>
      <c r="BH31" s="6">
        <v>0</v>
      </c>
      <c r="BI31" s="6">
        <v>7.52</v>
      </c>
      <c r="BJ31" s="6">
        <v>6.79</v>
      </c>
      <c r="BK31" s="6">
        <v>0.73</v>
      </c>
      <c r="BL31" s="6">
        <v>0</v>
      </c>
      <c r="BM31" s="6">
        <v>0</v>
      </c>
      <c r="BN31" s="6">
        <v>0</v>
      </c>
      <c r="BO31" s="6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>
        <f>($C31*D31)/100</f>
        <v>35.96</v>
      </c>
      <c r="CO31">
        <f t="shared" ref="CO31" si="884">($C31*E31)/100</f>
        <v>147.84</v>
      </c>
      <c r="CP31">
        <f t="shared" ref="CP31" si="885">($C31*F31)/100</f>
        <v>0</v>
      </c>
      <c r="CQ31">
        <f t="shared" ref="CQ31" si="886">($C31*G31)/100</f>
        <v>0</v>
      </c>
      <c r="CR31">
        <f t="shared" ref="CR31" si="887">($C31*H31)/100</f>
        <v>0</v>
      </c>
      <c r="CS31">
        <f t="shared" ref="CS31" si="888">($C31*I31)/100</f>
        <v>3.9960000000000004</v>
      </c>
      <c r="CT31">
        <f t="shared" ref="CT31" si="889">($C31*J31)/100</f>
        <v>0</v>
      </c>
      <c r="CU31">
        <f t="shared" ref="CU31" si="890">($C31*K31)/100</f>
        <v>3.9960000000000004</v>
      </c>
      <c r="CV31">
        <f t="shared" ref="CV31" si="891">($C31*L31)/100</f>
        <v>0</v>
      </c>
      <c r="CW31">
        <f t="shared" ref="CW31" si="892">($C31*M31)/100</f>
        <v>0</v>
      </c>
      <c r="CX31">
        <f t="shared" ref="CX31" si="893">($C31*N31)/100</f>
        <v>0</v>
      </c>
      <c r="CY31">
        <f t="shared" ref="CY31" si="894">($C31*O31)/100</f>
        <v>0</v>
      </c>
      <c r="CZ31">
        <f t="shared" ref="CZ31" si="895">($C31*P31)/100</f>
        <v>0</v>
      </c>
      <c r="DA31">
        <f t="shared" ref="DA31" si="896">($C31*Q31)/100</f>
        <v>0</v>
      </c>
      <c r="DB31">
        <f t="shared" ref="DB31" si="897">($C31*R31)/100</f>
        <v>0</v>
      </c>
      <c r="DC31">
        <f t="shared" ref="DC31" si="898">($C31*S31)/100</f>
        <v>8.0000000000000002E-3</v>
      </c>
      <c r="DD31">
        <f t="shared" ref="DD31" si="899">($C31*T31)/100</f>
        <v>0</v>
      </c>
      <c r="DE31">
        <f t="shared" ref="DE31" si="900">($C31*U31)/100</f>
        <v>0.02</v>
      </c>
      <c r="DF31">
        <f t="shared" ref="DF31" si="901">($C31*V31)/100</f>
        <v>0.02</v>
      </c>
      <c r="DG31">
        <f t="shared" ref="DG31" si="902">($C31*W31)/100</f>
        <v>0</v>
      </c>
      <c r="DH31">
        <f t="shared" ref="DH31" si="903">($C31*X31)/100</f>
        <v>2.0000000000000001E-4</v>
      </c>
      <c r="DI31">
        <f t="shared" ref="DI31" si="904">($C31*Y31)/100</f>
        <v>0.02</v>
      </c>
      <c r="DJ31">
        <f t="shared" ref="DJ31" si="905">($C31*Z31)/100</f>
        <v>4.0000000000000002E-4</v>
      </c>
      <c r="DK31">
        <f t="shared" ref="DK31" si="906">($C31*AA31)/100</f>
        <v>2E-3</v>
      </c>
      <c r="DL31">
        <f t="shared" ref="DL31" si="907">($C31*AB31)/100</f>
        <v>0.02</v>
      </c>
      <c r="DM31">
        <f t="shared" ref="DM31" si="908">($C31*AC31)/100</f>
        <v>0.02</v>
      </c>
      <c r="DN31">
        <f t="shared" ref="DN31" si="909">($C31*AD31)/100</f>
        <v>2.0000000000000001E-4</v>
      </c>
      <c r="DO31">
        <f t="shared" ref="DO31" si="910">($C31*AE31)/100</f>
        <v>0.02</v>
      </c>
      <c r="DP31">
        <f t="shared" ref="DP31" si="911">($C31*AF31)/100</f>
        <v>0</v>
      </c>
      <c r="DQ31">
        <f t="shared" ref="DQ31" si="912">($C31*AG31)/100</f>
        <v>0</v>
      </c>
      <c r="DR31">
        <f t="shared" ref="DR31" si="913">($C31*AH31)/100</f>
        <v>0</v>
      </c>
      <c r="DS31">
        <f t="shared" ref="DS31" si="914">($C31*AI31)/100</f>
        <v>0</v>
      </c>
      <c r="DT31">
        <f t="shared" ref="DT31" si="915">($C31*AJ31)/100</f>
        <v>2.0000000000000001E-4</v>
      </c>
      <c r="DU31">
        <f t="shared" ref="DU31" si="916">($C31*AK31)/100</f>
        <v>0.02</v>
      </c>
      <c r="DV31">
        <f t="shared" ref="DV31" si="917">($C31*AL31)/100</f>
        <v>2.0000000000000001E-4</v>
      </c>
      <c r="DW31">
        <f t="shared" ref="DW31" si="918">($C31*AM31)/100</f>
        <v>2E-3</v>
      </c>
      <c r="DX31">
        <f t="shared" ref="DX31" si="919">($C31*AN31)/100</f>
        <v>0</v>
      </c>
      <c r="DY31">
        <f t="shared" ref="DY31" si="920">($C31*AO31)/100</f>
        <v>1.44</v>
      </c>
      <c r="DZ31">
        <f t="shared" ref="DZ31" si="921">($C31*AP31)/100</f>
        <v>0</v>
      </c>
      <c r="EA31">
        <f t="shared" ref="EA31" si="922">($C31*AQ31)/100</f>
        <v>8.64</v>
      </c>
      <c r="EB31">
        <f t="shared" ref="EB31" si="923">($C31*AR31)/100</f>
        <v>0.85680000000000012</v>
      </c>
      <c r="EC31">
        <f t="shared" ref="EC31" si="924">($C31*AS31)/100</f>
        <v>0</v>
      </c>
      <c r="ED31">
        <f t="shared" ref="ED31" si="925">($C31*AT31)/100</f>
        <v>2.2999999999999998</v>
      </c>
      <c r="EE31">
        <f t="shared" ref="EE31" si="926">($C31*AU31)/100</f>
        <v>0.57840000000000003</v>
      </c>
      <c r="EF31">
        <f t="shared" ref="EF31" si="927">($C31*AV31)/100</f>
        <v>0</v>
      </c>
      <c r="EG31">
        <f t="shared" ref="EG31" si="928">($C31*AW31)/100</f>
        <v>0</v>
      </c>
      <c r="EH31">
        <f t="shared" ref="EH31" si="929">($C31*AX31)/100</f>
        <v>0</v>
      </c>
      <c r="EI31">
        <f t="shared" ref="EI31" si="930">($C31*AY31)/100</f>
        <v>0.42560000000000003</v>
      </c>
      <c r="EJ31">
        <f t="shared" ref="EJ31" si="931">($C31*AZ31)/100</f>
        <v>0.12240000000000001</v>
      </c>
      <c r="EK31">
        <f t="shared" ref="EK31" si="932">($C31*BA31)/100</f>
        <v>3.04E-2</v>
      </c>
      <c r="EL31">
        <f t="shared" ref="EL31" si="933">($C31*BB31)/100</f>
        <v>0</v>
      </c>
      <c r="EM31">
        <f t="shared" ref="EM31" si="934">($C31*BC31)/100</f>
        <v>2.9180000000000001</v>
      </c>
      <c r="EN31">
        <f t="shared" ref="EN31" si="935">($C31*BD31)/100</f>
        <v>0</v>
      </c>
      <c r="EO31">
        <f t="shared" ref="EO31" si="936">($C31*BE31)/100</f>
        <v>3.1600000000000003E-2</v>
      </c>
      <c r="EP31">
        <f t="shared" ref="EP31" si="937">($C31*BF31)/100</f>
        <v>2.8748</v>
      </c>
      <c r="EQ31">
        <f t="shared" ref="EQ31" si="938">($C31*BG31)/100</f>
        <v>1.1599999999999999E-2</v>
      </c>
      <c r="ER31">
        <f t="shared" ref="ER31" si="939">($C31*BH31)/100</f>
        <v>0</v>
      </c>
      <c r="ES31">
        <f t="shared" ref="ES31" si="940">($C31*BI31)/100</f>
        <v>0.30079999999999996</v>
      </c>
      <c r="ET31">
        <f t="shared" ref="ET31" si="941">($C31*BJ31)/100</f>
        <v>0.27160000000000001</v>
      </c>
      <c r="EU31">
        <f t="shared" ref="EU31" si="942">($C31*BK31)/100</f>
        <v>2.92E-2</v>
      </c>
      <c r="EV31">
        <f t="shared" ref="EV31" si="943">($C31*BL31)/100</f>
        <v>0</v>
      </c>
      <c r="EW31">
        <f t="shared" ref="EW31" si="944">($C31*BM31)/100</f>
        <v>0</v>
      </c>
      <c r="EX31">
        <f t="shared" ref="EX31" si="945">($C31*BN31)/100</f>
        <v>0</v>
      </c>
      <c r="EY31">
        <f t="shared" ref="EY31" si="946">($C31*BO31)/100</f>
        <v>0</v>
      </c>
      <c r="EZ31">
        <f t="shared" ref="EZ31" si="947">($C31*BP31)/100</f>
        <v>0</v>
      </c>
      <c r="FA31">
        <f t="shared" ref="FA31" si="948">($C31*BQ31)/100</f>
        <v>0</v>
      </c>
      <c r="FB31">
        <f t="shared" ref="FB31" si="949">($C31*BR31)/100</f>
        <v>0</v>
      </c>
      <c r="FC31">
        <f t="shared" ref="FC31" si="950">($C31*BS31)/100</f>
        <v>0</v>
      </c>
      <c r="FD31">
        <f t="shared" ref="FD31" si="951">($C31*BT31)/100</f>
        <v>0</v>
      </c>
      <c r="FE31">
        <f t="shared" ref="FE31" si="952">($C31*BU31)/100</f>
        <v>0</v>
      </c>
      <c r="FF31">
        <f t="shared" ref="FF31" si="953">($C31*BV31)/100</f>
        <v>0</v>
      </c>
      <c r="FG31">
        <f t="shared" ref="FG31" si="954">($C31*BW31)/100</f>
        <v>0</v>
      </c>
      <c r="FH31">
        <f t="shared" ref="FH31" si="955">($C31*BX31)/100</f>
        <v>0</v>
      </c>
      <c r="FI31">
        <f t="shared" ref="FI31" si="956">($C31*BY31)/100</f>
        <v>0</v>
      </c>
      <c r="FJ31">
        <f t="shared" ref="FJ31" si="957">($C31*BZ31)/100</f>
        <v>0</v>
      </c>
      <c r="FK31">
        <f t="shared" ref="FK31" si="958">($C31*CA31)/100</f>
        <v>0</v>
      </c>
      <c r="FL31">
        <f t="shared" ref="FL31" si="959">($C31*CB31)/100</f>
        <v>0</v>
      </c>
      <c r="FM31">
        <f t="shared" ref="FM31" si="960">($C31*CC31)/100</f>
        <v>0</v>
      </c>
      <c r="FN31">
        <f t="shared" ref="FN31" si="961">($C31*CD31)/100</f>
        <v>0</v>
      </c>
      <c r="FO31">
        <f t="shared" ref="FO31" si="962">($C31*CE31)/100</f>
        <v>0</v>
      </c>
      <c r="FP31">
        <f t="shared" ref="FP31" si="963">($C31*CF31)/100</f>
        <v>0</v>
      </c>
      <c r="FQ31">
        <f t="shared" ref="FQ31" si="964">($C31*CG31)/100</f>
        <v>0</v>
      </c>
      <c r="FR31">
        <f t="shared" ref="FR31" si="965">($C31*CH31)/100</f>
        <v>0</v>
      </c>
      <c r="FS31">
        <f t="shared" ref="FS31" si="966">($C31*CI31)/100</f>
        <v>0</v>
      </c>
      <c r="FT31">
        <f t="shared" ref="FT31" si="967">($C31*CJ31)/100</f>
        <v>0</v>
      </c>
      <c r="FU31">
        <f t="shared" ref="FU31" si="968">($C31*CK31)/100</f>
        <v>0</v>
      </c>
      <c r="FV31">
        <f t="shared" ref="FV31" si="969">($C31*CL31)/100</f>
        <v>0</v>
      </c>
      <c r="FW31">
        <f t="shared" ref="FW31" si="970">($C31*CM31)/100</f>
        <v>0</v>
      </c>
    </row>
    <row r="32" spans="1:179" x14ac:dyDescent="0.35">
      <c r="C32">
        <f>SUM(C27:C31)</f>
        <v>100</v>
      </c>
      <c r="CN32">
        <f>SUM(CN27:CN31)</f>
        <v>121.28</v>
      </c>
      <c r="CO32">
        <f t="shared" ref="CO32:EZ32" si="971">SUM(CO27:CO31)</f>
        <v>502.38</v>
      </c>
      <c r="CP32">
        <f t="shared" si="971"/>
        <v>4.0469999999999997</v>
      </c>
      <c r="CQ32">
        <f t="shared" si="971"/>
        <v>3.2759999999999998</v>
      </c>
      <c r="CR32">
        <f t="shared" si="971"/>
        <v>0.77100000000000002</v>
      </c>
      <c r="CS32">
        <f t="shared" si="971"/>
        <v>10.728</v>
      </c>
      <c r="CT32">
        <f t="shared" si="971"/>
        <v>4.242</v>
      </c>
      <c r="CU32">
        <f t="shared" si="971"/>
        <v>6.4860000000000007</v>
      </c>
      <c r="CV32">
        <f t="shared" si="971"/>
        <v>14.7</v>
      </c>
      <c r="CW32">
        <f t="shared" si="971"/>
        <v>1.9049999999999998</v>
      </c>
      <c r="CX32">
        <f t="shared" si="971"/>
        <v>0</v>
      </c>
      <c r="CY32">
        <f t="shared" si="971"/>
        <v>1.9049999999999998</v>
      </c>
      <c r="CZ32">
        <f t="shared" si="971"/>
        <v>0.77700000000000002</v>
      </c>
      <c r="DA32">
        <f t="shared" si="971"/>
        <v>0</v>
      </c>
      <c r="DB32">
        <f t="shared" si="971"/>
        <v>80.97</v>
      </c>
      <c r="DC32">
        <f t="shared" si="971"/>
        <v>0.42500000000000004</v>
      </c>
      <c r="DD32">
        <f t="shared" si="971"/>
        <v>90.089999999999989</v>
      </c>
      <c r="DE32">
        <f t="shared" si="971"/>
        <v>312.55999999999995</v>
      </c>
      <c r="DF32">
        <f t="shared" si="971"/>
        <v>200.75</v>
      </c>
      <c r="DG32">
        <f t="shared" si="971"/>
        <v>74.61</v>
      </c>
      <c r="DH32">
        <f t="shared" si="971"/>
        <v>0.32990000000000003</v>
      </c>
      <c r="DI32">
        <f t="shared" si="971"/>
        <v>4.22</v>
      </c>
      <c r="DJ32">
        <f t="shared" si="971"/>
        <v>1.5100000000000001E-2</v>
      </c>
      <c r="DK32">
        <f t="shared" si="971"/>
        <v>3.1519999999999997</v>
      </c>
      <c r="DL32">
        <f t="shared" si="971"/>
        <v>493.52</v>
      </c>
      <c r="DM32">
        <f t="shared" si="971"/>
        <v>6.1099999999999994</v>
      </c>
      <c r="DN32">
        <f t="shared" si="971"/>
        <v>1.25E-3</v>
      </c>
      <c r="DO32">
        <f t="shared" si="971"/>
        <v>42.02</v>
      </c>
      <c r="DP32">
        <f t="shared" si="971"/>
        <v>3.39E-2</v>
      </c>
      <c r="DQ32">
        <f t="shared" si="971"/>
        <v>7.2899999999999993E-2</v>
      </c>
      <c r="DR32">
        <f t="shared" si="971"/>
        <v>12.465</v>
      </c>
      <c r="DS32">
        <f t="shared" si="971"/>
        <v>0.56099999999999994</v>
      </c>
      <c r="DT32">
        <f t="shared" si="971"/>
        <v>6.9500000000000006E-2</v>
      </c>
      <c r="DU32">
        <f t="shared" si="971"/>
        <v>12.484999999999999</v>
      </c>
      <c r="DV32">
        <f t="shared" si="971"/>
        <v>7.5800000000000006E-2</v>
      </c>
      <c r="DW32">
        <f t="shared" si="971"/>
        <v>0.50600000000000001</v>
      </c>
      <c r="DX32">
        <f t="shared" si="971"/>
        <v>0.23100000000000001</v>
      </c>
      <c r="DY32">
        <f t="shared" si="971"/>
        <v>67.875</v>
      </c>
      <c r="DZ32">
        <f t="shared" si="971"/>
        <v>46.2</v>
      </c>
      <c r="EA32">
        <f t="shared" si="971"/>
        <v>128.595</v>
      </c>
      <c r="EB32">
        <f t="shared" si="971"/>
        <v>1.4766000000000001</v>
      </c>
      <c r="EC32">
        <f t="shared" si="971"/>
        <v>0.105</v>
      </c>
      <c r="ED32">
        <f t="shared" si="971"/>
        <v>2.6779999999999999</v>
      </c>
      <c r="EE32">
        <f t="shared" si="971"/>
        <v>3.9395699999999998</v>
      </c>
      <c r="EF32">
        <f t="shared" si="971"/>
        <v>0.77174999999999994</v>
      </c>
      <c r="EG32">
        <f t="shared" si="971"/>
        <v>0.23100000000000001</v>
      </c>
      <c r="EH32">
        <f t="shared" si="971"/>
        <v>0.55040999999999995</v>
      </c>
      <c r="EI32">
        <f t="shared" si="971"/>
        <v>1.4524999999999999</v>
      </c>
      <c r="EJ32">
        <f t="shared" si="971"/>
        <v>0.41891999999999996</v>
      </c>
      <c r="EK32">
        <f t="shared" si="971"/>
        <v>3.04E-2</v>
      </c>
      <c r="EL32">
        <f t="shared" si="971"/>
        <v>0</v>
      </c>
      <c r="EM32">
        <f t="shared" si="971"/>
        <v>5.4294799999999999</v>
      </c>
      <c r="EN32">
        <f t="shared" si="971"/>
        <v>5.2499999999999998E-2</v>
      </c>
      <c r="EO32">
        <f t="shared" si="971"/>
        <v>0.10825</v>
      </c>
      <c r="EP32">
        <f t="shared" si="971"/>
        <v>5.2346300000000001</v>
      </c>
      <c r="EQ32">
        <f t="shared" si="971"/>
        <v>1.1599999999999999E-2</v>
      </c>
      <c r="ER32">
        <f t="shared" si="971"/>
        <v>0</v>
      </c>
      <c r="ES32">
        <f t="shared" si="971"/>
        <v>0.77381</v>
      </c>
      <c r="ET32">
        <f t="shared" si="971"/>
        <v>0.64098999999999995</v>
      </c>
      <c r="EU32">
        <f t="shared" si="971"/>
        <v>0.13446999999999998</v>
      </c>
      <c r="EV32">
        <f t="shared" si="971"/>
        <v>0</v>
      </c>
      <c r="EW32">
        <f t="shared" si="971"/>
        <v>0</v>
      </c>
      <c r="EX32">
        <f t="shared" si="971"/>
        <v>0</v>
      </c>
      <c r="EY32">
        <f t="shared" si="971"/>
        <v>0</v>
      </c>
      <c r="EZ32">
        <f t="shared" si="971"/>
        <v>51.480000000000004</v>
      </c>
      <c r="FA32">
        <f t="shared" ref="FA32:FW32" si="972">SUM(FA27:FA31)</f>
        <v>167.45999999999998</v>
      </c>
      <c r="FB32">
        <f t="shared" si="972"/>
        <v>205.38</v>
      </c>
      <c r="FC32">
        <f t="shared" si="972"/>
        <v>351.51</v>
      </c>
      <c r="FD32">
        <f t="shared" si="972"/>
        <v>307.92</v>
      </c>
      <c r="FE32">
        <f t="shared" si="972"/>
        <v>91.53</v>
      </c>
      <c r="FF32">
        <f t="shared" si="972"/>
        <v>23.07</v>
      </c>
      <c r="FG32">
        <f t="shared" si="972"/>
        <v>174.75</v>
      </c>
      <c r="FH32">
        <f t="shared" si="972"/>
        <v>167.13000000000002</v>
      </c>
      <c r="FI32">
        <f t="shared" si="972"/>
        <v>268.8</v>
      </c>
      <c r="FJ32">
        <f t="shared" si="972"/>
        <v>144.30000000000001</v>
      </c>
      <c r="FK32">
        <f t="shared" si="972"/>
        <v>105.42</v>
      </c>
      <c r="FL32">
        <f t="shared" si="972"/>
        <v>173.27999999999997</v>
      </c>
      <c r="FM32">
        <f t="shared" si="972"/>
        <v>260.31</v>
      </c>
      <c r="FN32">
        <f t="shared" si="972"/>
        <v>820.61999999999989</v>
      </c>
      <c r="FO32">
        <f t="shared" si="972"/>
        <v>46.47</v>
      </c>
      <c r="FP32">
        <f t="shared" si="972"/>
        <v>336.78</v>
      </c>
      <c r="FQ32">
        <f t="shared" si="972"/>
        <v>292.56</v>
      </c>
      <c r="FR32">
        <f t="shared" si="972"/>
        <v>0</v>
      </c>
      <c r="FS32">
        <f t="shared" si="972"/>
        <v>0</v>
      </c>
      <c r="FT32">
        <f t="shared" si="972"/>
        <v>2.1000000000000001E-2</v>
      </c>
      <c r="FU32">
        <f t="shared" si="972"/>
        <v>0</v>
      </c>
      <c r="FV32">
        <f t="shared" si="972"/>
        <v>0</v>
      </c>
      <c r="FW32">
        <f t="shared" si="972"/>
        <v>0.29399999999999998</v>
      </c>
    </row>
    <row r="34" spans="1:179" x14ac:dyDescent="0.35">
      <c r="A34" s="80" t="s">
        <v>230</v>
      </c>
      <c r="B34" s="36" t="s">
        <v>232</v>
      </c>
      <c r="C34">
        <v>20</v>
      </c>
      <c r="D34" s="6">
        <v>604</v>
      </c>
      <c r="E34" s="6">
        <v>2503</v>
      </c>
      <c r="F34" s="6">
        <v>31.9</v>
      </c>
      <c r="G34" s="6">
        <v>0</v>
      </c>
      <c r="H34" s="6">
        <v>31.9</v>
      </c>
      <c r="I34" s="6">
        <v>50.3</v>
      </c>
      <c r="J34" s="6">
        <v>0</v>
      </c>
      <c r="K34" s="6">
        <v>50.3</v>
      </c>
      <c r="L34" s="6">
        <v>0</v>
      </c>
      <c r="M34" s="6">
        <v>4</v>
      </c>
      <c r="N34" s="6">
        <v>0.1</v>
      </c>
      <c r="O34" s="6">
        <v>3.9</v>
      </c>
      <c r="P34" s="6">
        <v>4.5</v>
      </c>
      <c r="Q34" s="6">
        <v>0</v>
      </c>
      <c r="R34" s="6">
        <v>4.3</v>
      </c>
      <c r="S34" s="6">
        <v>2</v>
      </c>
      <c r="T34" s="6">
        <v>40</v>
      </c>
      <c r="U34" s="6">
        <v>1</v>
      </c>
      <c r="V34" s="6">
        <v>780</v>
      </c>
      <c r="W34" s="6">
        <v>466</v>
      </c>
      <c r="X34" s="6">
        <v>6.5</v>
      </c>
      <c r="Y34" s="6">
        <v>270</v>
      </c>
      <c r="Z34" s="6">
        <v>1.32</v>
      </c>
      <c r="AA34" s="6">
        <v>0.7</v>
      </c>
      <c r="AB34" s="6">
        <v>41</v>
      </c>
      <c r="AC34" s="6">
        <v>2</v>
      </c>
      <c r="AD34" s="6">
        <v>7.9</v>
      </c>
      <c r="AE34" s="6">
        <v>150</v>
      </c>
      <c r="AF34" s="6">
        <v>0.39</v>
      </c>
      <c r="AG34" s="6">
        <v>0.25</v>
      </c>
      <c r="AH34" s="6">
        <v>0</v>
      </c>
      <c r="AI34" s="6">
        <v>2.7</v>
      </c>
      <c r="AJ34" s="6">
        <v>0.09</v>
      </c>
      <c r="AK34" s="6">
        <v>34</v>
      </c>
      <c r="AL34" s="6">
        <v>0.31</v>
      </c>
      <c r="AM34" s="6">
        <v>64</v>
      </c>
      <c r="AN34" s="6">
        <v>0</v>
      </c>
      <c r="AO34" s="6">
        <v>9</v>
      </c>
      <c r="AP34" s="6">
        <v>0</v>
      </c>
      <c r="AQ34" s="6">
        <v>54</v>
      </c>
      <c r="AR34" s="6">
        <v>13.65</v>
      </c>
      <c r="AS34" s="6">
        <v>0</v>
      </c>
      <c r="AT34" s="6">
        <v>53.9</v>
      </c>
      <c r="AU34" s="6">
        <v>3.6040000000000001</v>
      </c>
      <c r="AV34" s="6">
        <v>0</v>
      </c>
      <c r="AW34" s="6">
        <v>0</v>
      </c>
      <c r="AX34" s="6">
        <v>0</v>
      </c>
      <c r="AY34" s="6">
        <v>2.363</v>
      </c>
      <c r="AZ34" s="6">
        <v>1.0229999999999999</v>
      </c>
      <c r="BA34" s="6">
        <v>0.16800000000000001</v>
      </c>
      <c r="BB34" s="6">
        <v>0.05</v>
      </c>
      <c r="BC34" s="6">
        <v>13.805</v>
      </c>
      <c r="BD34" s="6">
        <v>0</v>
      </c>
      <c r="BE34" s="6">
        <v>1.2999999999999999E-2</v>
      </c>
      <c r="BF34" s="6">
        <v>13.204000000000001</v>
      </c>
      <c r="BG34" s="6">
        <v>0.58899999999999997</v>
      </c>
      <c r="BH34" s="6">
        <v>0</v>
      </c>
      <c r="BI34" s="6">
        <v>25.065999999999999</v>
      </c>
      <c r="BJ34" s="6">
        <v>24.388999999999999</v>
      </c>
      <c r="BK34" s="6">
        <v>0.121</v>
      </c>
      <c r="BL34" s="6">
        <v>0</v>
      </c>
      <c r="BM34" s="6">
        <v>0</v>
      </c>
      <c r="BN34" s="6">
        <v>0</v>
      </c>
      <c r="BO34" s="6">
        <v>0.56000000000000005</v>
      </c>
      <c r="BP34" s="7">
        <v>300</v>
      </c>
      <c r="BQ34" s="7">
        <v>804</v>
      </c>
      <c r="BR34" s="7">
        <v>991</v>
      </c>
      <c r="BS34" s="7">
        <v>2121</v>
      </c>
      <c r="BT34" s="7">
        <v>754</v>
      </c>
      <c r="BU34" s="7">
        <v>731</v>
      </c>
      <c r="BV34" s="7">
        <v>942</v>
      </c>
      <c r="BW34" s="7">
        <v>1044</v>
      </c>
      <c r="BX34" s="7">
        <v>1242</v>
      </c>
      <c r="BY34" s="7">
        <v>1594</v>
      </c>
      <c r="BZ34" s="7">
        <v>6229</v>
      </c>
      <c r="CA34" s="7">
        <v>642</v>
      </c>
      <c r="CB34" s="7">
        <v>1469</v>
      </c>
      <c r="CC34" s="7">
        <v>2820</v>
      </c>
      <c r="CD34" s="7">
        <v>6740</v>
      </c>
      <c r="CE34" s="7">
        <v>1502</v>
      </c>
      <c r="CF34" s="7">
        <v>1716</v>
      </c>
      <c r="CG34" s="7">
        <v>1726</v>
      </c>
      <c r="CH34" s="6">
        <v>0.1</v>
      </c>
      <c r="CI34" s="6">
        <v>0.1</v>
      </c>
      <c r="CJ34" s="6">
        <v>0</v>
      </c>
      <c r="CK34" s="6">
        <v>3.7</v>
      </c>
      <c r="CL34" s="6">
        <v>0</v>
      </c>
      <c r="CM34" s="6">
        <v>0</v>
      </c>
      <c r="CN34">
        <f t="shared" ref="CN34:CN35" si="973">($C34*D34)/100</f>
        <v>120.8</v>
      </c>
      <c r="CO34">
        <f t="shared" ref="CO34:CO35" si="974">($C34*E34)/100</f>
        <v>500.6</v>
      </c>
      <c r="CP34">
        <f t="shared" ref="CP34:CP35" si="975">($C34*F34)/100</f>
        <v>6.38</v>
      </c>
      <c r="CQ34">
        <f t="shared" ref="CQ34:CQ35" si="976">($C34*G34)/100</f>
        <v>0</v>
      </c>
      <c r="CR34">
        <f t="shared" ref="CR34:CR35" si="977">($C34*H34)/100</f>
        <v>6.38</v>
      </c>
      <c r="CS34">
        <f t="shared" ref="CS34:CS35" si="978">($C34*I34)/100</f>
        <v>10.06</v>
      </c>
      <c r="CT34">
        <f t="shared" ref="CT34:CT35" si="979">($C34*J34)/100</f>
        <v>0</v>
      </c>
      <c r="CU34">
        <f t="shared" ref="CU34:CU35" si="980">($C34*K34)/100</f>
        <v>10.06</v>
      </c>
      <c r="CV34">
        <f t="shared" ref="CV34:CV35" si="981">($C34*L34)/100</f>
        <v>0</v>
      </c>
      <c r="CW34">
        <f t="shared" ref="CW34:CW35" si="982">($C34*M34)/100</f>
        <v>0.8</v>
      </c>
      <c r="CX34">
        <f t="shared" ref="CX34:CX35" si="983">($C34*N34)/100</f>
        <v>0.02</v>
      </c>
      <c r="CY34">
        <f t="shared" ref="CY34:CY35" si="984">($C34*O34)/100</f>
        <v>0.78</v>
      </c>
      <c r="CZ34">
        <f t="shared" ref="CZ34:CZ35" si="985">($C34*P34)/100</f>
        <v>0.9</v>
      </c>
      <c r="DA34">
        <f t="shared" ref="DA34:DA35" si="986">($C34*Q34)/100</f>
        <v>0</v>
      </c>
      <c r="DB34">
        <f t="shared" ref="DB34:DB35" si="987">($C34*R34)/100</f>
        <v>0.86</v>
      </c>
      <c r="DC34">
        <f t="shared" ref="DC34:DC35" si="988">($C34*S34)/100</f>
        <v>0.4</v>
      </c>
      <c r="DD34">
        <f t="shared" ref="DD34:DD35" si="989">($C34*T34)/100</f>
        <v>8</v>
      </c>
      <c r="DE34">
        <f t="shared" ref="DE34:DE35" si="990">($C34*U34)/100</f>
        <v>0.2</v>
      </c>
      <c r="DF34">
        <f t="shared" ref="DF34:DF35" si="991">($C34*V34)/100</f>
        <v>156</v>
      </c>
      <c r="DG34">
        <f t="shared" ref="DG34:DG35" si="992">($C34*W34)/100</f>
        <v>93.2</v>
      </c>
      <c r="DH34">
        <f t="shared" ref="DH34:DH35" si="993">($C34*X34)/100</f>
        <v>1.3</v>
      </c>
      <c r="DI34">
        <f t="shared" ref="DI34:DI35" si="994">($C34*Y34)/100</f>
        <v>54</v>
      </c>
      <c r="DJ34">
        <f t="shared" ref="DJ34:DJ35" si="995">($C34*Z34)/100</f>
        <v>0.26400000000000001</v>
      </c>
      <c r="DK34">
        <f t="shared" ref="DK34:DK35" si="996">($C34*AA34)/100</f>
        <v>0.14000000000000001</v>
      </c>
      <c r="DL34">
        <f t="shared" ref="DL34:DL35" si="997">($C34*AB34)/100</f>
        <v>8.1999999999999993</v>
      </c>
      <c r="DM34">
        <f t="shared" ref="DM34:DM35" si="998">($C34*AC34)/100</f>
        <v>0.4</v>
      </c>
      <c r="DN34">
        <f t="shared" ref="DN34:DN35" si="999">($C34*AD34)/100</f>
        <v>1.58</v>
      </c>
      <c r="DO34">
        <f t="shared" ref="DO34:DO35" si="1000">($C34*AE34)/100</f>
        <v>30</v>
      </c>
      <c r="DP34">
        <f t="shared" ref="DP34:DP35" si="1001">($C34*AF34)/100</f>
        <v>7.8000000000000014E-2</v>
      </c>
      <c r="DQ34">
        <f t="shared" ref="DQ34:DQ35" si="1002">($C34*AG34)/100</f>
        <v>0.05</v>
      </c>
      <c r="DR34">
        <f t="shared" ref="DR34:DR35" si="1003">($C34*AH34)/100</f>
        <v>0</v>
      </c>
      <c r="DS34">
        <f t="shared" ref="DS34:DS35" si="1004">($C34*AI34)/100</f>
        <v>0.54</v>
      </c>
      <c r="DT34">
        <f t="shared" ref="DT34:DT35" si="1005">($C34*AJ34)/100</f>
        <v>1.7999999999999999E-2</v>
      </c>
      <c r="DU34">
        <f t="shared" ref="DU34:DU35" si="1006">($C34*AK34)/100</f>
        <v>6.8</v>
      </c>
      <c r="DV34">
        <f t="shared" ref="DV34:DV35" si="1007">($C34*AL34)/100</f>
        <v>6.2E-2</v>
      </c>
      <c r="DW34">
        <f t="shared" ref="DW34:DW35" si="1008">($C34*AM34)/100</f>
        <v>12.8</v>
      </c>
      <c r="DX34">
        <f t="shared" ref="DX34:DX35" si="1009">($C34*AN34)/100</f>
        <v>0</v>
      </c>
      <c r="DY34">
        <f t="shared" ref="DY34:DY35" si="1010">($C34*AO34)/100</f>
        <v>1.8</v>
      </c>
      <c r="DZ34">
        <f t="shared" ref="DZ34:DZ35" si="1011">($C34*AP34)/100</f>
        <v>0</v>
      </c>
      <c r="EA34">
        <f t="shared" ref="EA34:EA35" si="1012">($C34*AQ34)/100</f>
        <v>10.8</v>
      </c>
      <c r="EB34">
        <f t="shared" ref="EB34:EB35" si="1013">($C34*AR34)/100</f>
        <v>2.73</v>
      </c>
      <c r="EC34">
        <f t="shared" ref="EC34:EC35" si="1014">($C34*AS34)/100</f>
        <v>0</v>
      </c>
      <c r="ED34">
        <f t="shared" ref="ED34:ED35" si="1015">($C34*AT34)/100</f>
        <v>10.78</v>
      </c>
      <c r="EE34">
        <f t="shared" ref="EE34:EE35" si="1016">($C34*AU34)/100</f>
        <v>0.7208</v>
      </c>
      <c r="EF34">
        <f t="shared" ref="EF34:EF35" si="1017">($C34*AV34)/100</f>
        <v>0</v>
      </c>
      <c r="EG34">
        <f t="shared" ref="EG34:EG35" si="1018">($C34*AW34)/100</f>
        <v>0</v>
      </c>
      <c r="EH34">
        <f t="shared" ref="EH34:EH35" si="1019">($C34*AX34)/100</f>
        <v>0</v>
      </c>
      <c r="EI34">
        <f t="shared" ref="EI34:EI35" si="1020">($C34*AY34)/100</f>
        <v>0.47259999999999996</v>
      </c>
      <c r="EJ34">
        <f t="shared" ref="EJ34:EJ35" si="1021">($C34*AZ34)/100</f>
        <v>0.20459999999999998</v>
      </c>
      <c r="EK34">
        <f t="shared" ref="EK34:EK35" si="1022">($C34*BA34)/100</f>
        <v>3.3600000000000005E-2</v>
      </c>
      <c r="EL34">
        <f t="shared" ref="EL34:EL35" si="1023">($C34*BB34)/100</f>
        <v>0.01</v>
      </c>
      <c r="EM34">
        <f t="shared" ref="EM34:EM35" si="1024">($C34*BC34)/100</f>
        <v>2.7610000000000001</v>
      </c>
      <c r="EN34">
        <f t="shared" ref="EN34:EN35" si="1025">($C34*BD34)/100</f>
        <v>0</v>
      </c>
      <c r="EO34">
        <f t="shared" ref="EO34:EO35" si="1026">($C34*BE34)/100</f>
        <v>2.5999999999999999E-3</v>
      </c>
      <c r="EP34">
        <f t="shared" ref="EP34:EP35" si="1027">($C34*BF34)/100</f>
        <v>2.6408000000000005</v>
      </c>
      <c r="EQ34">
        <f t="shared" ref="EQ34:EQ35" si="1028">($C34*BG34)/100</f>
        <v>0.11779999999999999</v>
      </c>
      <c r="ER34">
        <f t="shared" ref="ER34:ER35" si="1029">($C34*BH34)/100</f>
        <v>0</v>
      </c>
      <c r="ES34">
        <f t="shared" ref="ES34:ES35" si="1030">($C34*BI34)/100</f>
        <v>5.0132000000000003</v>
      </c>
      <c r="ET34">
        <f t="shared" ref="ET34:ET35" si="1031">($C34*BJ34)/100</f>
        <v>4.8777999999999997</v>
      </c>
      <c r="EU34">
        <f t="shared" ref="EU34:EU35" si="1032">($C34*BK34)/100</f>
        <v>2.4199999999999999E-2</v>
      </c>
      <c r="EV34">
        <f t="shared" ref="EV34:EV35" si="1033">($C34*BL34)/100</f>
        <v>0</v>
      </c>
      <c r="EW34">
        <f t="shared" ref="EW34:EW35" si="1034">($C34*BM34)/100</f>
        <v>0</v>
      </c>
      <c r="EX34">
        <f t="shared" ref="EX34:EX35" si="1035">($C34*BN34)/100</f>
        <v>0</v>
      </c>
      <c r="EY34">
        <f t="shared" ref="EY34:EY35" si="1036">($C34*BO34)/100</f>
        <v>0.11200000000000002</v>
      </c>
      <c r="EZ34">
        <f t="shared" ref="EZ34:EZ35" si="1037">($C34*BP34)/100</f>
        <v>60</v>
      </c>
      <c r="FA34">
        <f t="shared" ref="FA34:FA35" si="1038">($C34*BQ34)/100</f>
        <v>160.80000000000001</v>
      </c>
      <c r="FB34">
        <f t="shared" ref="FB34:FB35" si="1039">($C34*BR34)/100</f>
        <v>198.2</v>
      </c>
      <c r="FC34">
        <f t="shared" ref="FC34:FC35" si="1040">($C34*BS34)/100</f>
        <v>424.2</v>
      </c>
      <c r="FD34">
        <f t="shared" ref="FD34:FD35" si="1041">($C34*BT34)/100</f>
        <v>150.80000000000001</v>
      </c>
      <c r="FE34">
        <f t="shared" ref="FE34:FE35" si="1042">($C34*BU34)/100</f>
        <v>146.19999999999999</v>
      </c>
      <c r="FF34">
        <f t="shared" ref="FF34:FF35" si="1043">($C34*BV34)/100</f>
        <v>188.4</v>
      </c>
      <c r="FG34">
        <f t="shared" ref="FG34:FG35" si="1044">($C34*BW34)/100</f>
        <v>208.8</v>
      </c>
      <c r="FH34">
        <f t="shared" ref="FH34:FH35" si="1045">($C34*BX34)/100</f>
        <v>248.4</v>
      </c>
      <c r="FI34">
        <f t="shared" ref="FI34:FI35" si="1046">($C34*BY34)/100</f>
        <v>318.8</v>
      </c>
      <c r="FJ34">
        <f t="shared" ref="FJ34:FJ35" si="1047">($C34*BZ34)/100</f>
        <v>1245.8</v>
      </c>
      <c r="FK34">
        <f t="shared" ref="FK34:FK35" si="1048">($C34*CA34)/100</f>
        <v>128.4</v>
      </c>
      <c r="FL34">
        <f t="shared" ref="FL34:FL35" si="1049">($C34*CB34)/100</f>
        <v>293.8</v>
      </c>
      <c r="FM34">
        <f t="shared" ref="FM34:FM35" si="1050">($C34*CC34)/100</f>
        <v>564</v>
      </c>
      <c r="FN34">
        <f t="shared" ref="FN34:FN35" si="1051">($C34*CD34)/100</f>
        <v>1348</v>
      </c>
      <c r="FO34">
        <f t="shared" ref="FO34:FO35" si="1052">($C34*CE34)/100</f>
        <v>300.39999999999998</v>
      </c>
      <c r="FP34">
        <f t="shared" ref="FP34:FP35" si="1053">($C34*CF34)/100</f>
        <v>343.2</v>
      </c>
      <c r="FQ34">
        <f t="shared" ref="FQ34:FQ35" si="1054">($C34*CG34)/100</f>
        <v>345.2</v>
      </c>
      <c r="FR34">
        <f t="shared" ref="FR34:FR35" si="1055">($C34*CH34)/100</f>
        <v>0.02</v>
      </c>
      <c r="FS34">
        <f t="shared" ref="FS34:FS35" si="1056">($C34*CI34)/100</f>
        <v>0.02</v>
      </c>
      <c r="FT34">
        <f t="shared" ref="FT34:FT35" si="1057">($C34*CJ34)/100</f>
        <v>0</v>
      </c>
      <c r="FU34">
        <f t="shared" ref="FU34:FU35" si="1058">($C34*CK34)/100</f>
        <v>0.74</v>
      </c>
      <c r="FV34">
        <f t="shared" ref="FV34:FV35" si="1059">($C34*CL34)/100</f>
        <v>0</v>
      </c>
      <c r="FW34">
        <f t="shared" ref="FW34:FW35" si="1060">($C34*CM34)/100</f>
        <v>0</v>
      </c>
    </row>
    <row r="35" spans="1:179" x14ac:dyDescent="0.35">
      <c r="B35" s="36" t="s">
        <v>231</v>
      </c>
      <c r="C35">
        <v>50</v>
      </c>
      <c r="D35" s="54">
        <v>379</v>
      </c>
      <c r="E35" s="54">
        <v>1574</v>
      </c>
      <c r="F35" s="54">
        <v>29.5</v>
      </c>
      <c r="G35" s="54">
        <v>29.5</v>
      </c>
      <c r="H35" s="54">
        <v>0</v>
      </c>
      <c r="I35" s="54">
        <v>28.9</v>
      </c>
      <c r="J35" s="54">
        <v>28.9</v>
      </c>
      <c r="K35" s="54">
        <v>0</v>
      </c>
      <c r="L35" s="54">
        <v>104</v>
      </c>
      <c r="M35" s="54">
        <v>0.2</v>
      </c>
      <c r="N35" s="54">
        <v>0</v>
      </c>
      <c r="O35" s="54">
        <v>0.2</v>
      </c>
      <c r="P35" s="54">
        <v>0</v>
      </c>
      <c r="Q35" s="54">
        <v>0</v>
      </c>
      <c r="R35" s="54">
        <v>28</v>
      </c>
      <c r="S35" s="54">
        <v>1.8</v>
      </c>
      <c r="T35" s="54">
        <v>923</v>
      </c>
      <c r="U35" s="54">
        <v>1890</v>
      </c>
      <c r="V35" s="54">
        <v>94</v>
      </c>
      <c r="W35" s="54">
        <v>675</v>
      </c>
      <c r="X35" s="54">
        <v>3.5</v>
      </c>
      <c r="Y35" s="54">
        <v>40</v>
      </c>
      <c r="Z35" s="54">
        <v>1.01</v>
      </c>
      <c r="AA35" s="54">
        <v>6.3</v>
      </c>
      <c r="AB35" s="54">
        <v>2350</v>
      </c>
      <c r="AC35" s="54">
        <v>39</v>
      </c>
      <c r="AD35" s="54">
        <v>0.02</v>
      </c>
      <c r="AE35" s="54">
        <v>230</v>
      </c>
      <c r="AF35" s="54">
        <v>0.03</v>
      </c>
      <c r="AG35" s="54">
        <v>0.47</v>
      </c>
      <c r="AH35" s="54">
        <v>0</v>
      </c>
      <c r="AI35" s="54">
        <v>0.2</v>
      </c>
      <c r="AJ35" s="54">
        <v>0.09</v>
      </c>
      <c r="AK35" s="54">
        <v>7</v>
      </c>
      <c r="AL35" s="54">
        <v>0.42</v>
      </c>
      <c r="AM35" s="54">
        <v>2.4</v>
      </c>
      <c r="AN35" s="54">
        <v>1.1000000000000001</v>
      </c>
      <c r="AO35" s="54">
        <v>574</v>
      </c>
      <c r="AP35" s="54">
        <v>573</v>
      </c>
      <c r="AQ35" s="54">
        <v>4</v>
      </c>
      <c r="AR35" s="54">
        <v>0.7</v>
      </c>
      <c r="AS35" s="54">
        <v>0.5</v>
      </c>
      <c r="AT35" s="52">
        <v>2.2000000000000002</v>
      </c>
      <c r="AU35" s="54">
        <v>17.344000000000001</v>
      </c>
      <c r="AV35" s="54">
        <v>2.8420000000000001</v>
      </c>
      <c r="AW35" s="54">
        <v>0.97699999999999998</v>
      </c>
      <c r="AX35" s="54">
        <v>3.077</v>
      </c>
      <c r="AY35" s="54">
        <v>7.3620000000000001</v>
      </c>
      <c r="AZ35" s="54">
        <v>2.4319999999999999</v>
      </c>
      <c r="BA35" s="69">
        <v>0</v>
      </c>
      <c r="BB35" s="69">
        <v>0</v>
      </c>
      <c r="BC35" s="54">
        <v>7.9429999999999996</v>
      </c>
      <c r="BD35" s="63">
        <v>0.49199999999999999</v>
      </c>
      <c r="BE35" s="54">
        <v>0.41599999999999998</v>
      </c>
      <c r="BF35" s="54">
        <v>7.0350000000000001</v>
      </c>
      <c r="BG35" s="54">
        <v>0</v>
      </c>
      <c r="BH35" s="54">
        <v>0</v>
      </c>
      <c r="BI35" s="54">
        <v>0.60099999999999998</v>
      </c>
      <c r="BJ35" s="54">
        <v>0.28799999999999998</v>
      </c>
      <c r="BK35" s="54">
        <v>0.314</v>
      </c>
      <c r="BL35" s="54">
        <v>0</v>
      </c>
      <c r="BM35" s="54">
        <v>0</v>
      </c>
      <c r="BN35" s="54">
        <v>0</v>
      </c>
      <c r="BO35" s="54">
        <v>0</v>
      </c>
      <c r="BP35" s="56">
        <v>372</v>
      </c>
      <c r="BQ35" s="56">
        <v>1013</v>
      </c>
      <c r="BR35" s="56">
        <v>1557</v>
      </c>
      <c r="BS35" s="56">
        <v>2990</v>
      </c>
      <c r="BT35" s="56">
        <v>2315</v>
      </c>
      <c r="BU35" s="56">
        <v>899</v>
      </c>
      <c r="BV35" s="56">
        <v>150</v>
      </c>
      <c r="BW35" s="56">
        <v>1478</v>
      </c>
      <c r="BX35" s="56">
        <v>1591</v>
      </c>
      <c r="BY35" s="56">
        <v>2104</v>
      </c>
      <c r="BZ35" s="56">
        <v>777</v>
      </c>
      <c r="CA35" s="56">
        <v>730</v>
      </c>
      <c r="CB35" s="56">
        <v>865</v>
      </c>
      <c r="CC35" s="56">
        <v>1997</v>
      </c>
      <c r="CD35" s="56">
        <v>5804</v>
      </c>
      <c r="CE35" s="56">
        <v>523</v>
      </c>
      <c r="CF35" s="56">
        <v>3438</v>
      </c>
      <c r="CG35" s="56">
        <v>1446</v>
      </c>
      <c r="CH35" s="54">
        <v>0</v>
      </c>
      <c r="CI35" s="54">
        <v>0</v>
      </c>
      <c r="CJ35" s="51">
        <v>0.05</v>
      </c>
      <c r="CK35" s="54">
        <v>0</v>
      </c>
      <c r="CL35" s="54">
        <v>0</v>
      </c>
      <c r="CM35" s="54">
        <v>0.2</v>
      </c>
      <c r="CN35">
        <f t="shared" si="973"/>
        <v>189.5</v>
      </c>
      <c r="CO35">
        <f t="shared" si="974"/>
        <v>787</v>
      </c>
      <c r="CP35">
        <f t="shared" si="975"/>
        <v>14.75</v>
      </c>
      <c r="CQ35">
        <f t="shared" si="976"/>
        <v>14.75</v>
      </c>
      <c r="CR35">
        <f t="shared" si="977"/>
        <v>0</v>
      </c>
      <c r="CS35">
        <f t="shared" si="978"/>
        <v>14.45</v>
      </c>
      <c r="CT35">
        <f t="shared" si="979"/>
        <v>14.45</v>
      </c>
      <c r="CU35">
        <f t="shared" si="980"/>
        <v>0</v>
      </c>
      <c r="CV35">
        <f t="shared" si="981"/>
        <v>52</v>
      </c>
      <c r="CW35">
        <f t="shared" si="982"/>
        <v>0.1</v>
      </c>
      <c r="CX35">
        <f t="shared" si="983"/>
        <v>0</v>
      </c>
      <c r="CY35">
        <f t="shared" si="984"/>
        <v>0.1</v>
      </c>
      <c r="CZ35">
        <f t="shared" si="985"/>
        <v>0</v>
      </c>
      <c r="DA35">
        <f t="shared" si="986"/>
        <v>0</v>
      </c>
      <c r="DB35">
        <f t="shared" si="987"/>
        <v>14</v>
      </c>
      <c r="DC35">
        <f t="shared" si="988"/>
        <v>0.9</v>
      </c>
      <c r="DD35">
        <f t="shared" si="989"/>
        <v>461.5</v>
      </c>
      <c r="DE35">
        <f t="shared" si="990"/>
        <v>945</v>
      </c>
      <c r="DF35">
        <f t="shared" si="991"/>
        <v>47</v>
      </c>
      <c r="DG35">
        <f t="shared" si="992"/>
        <v>337.5</v>
      </c>
      <c r="DH35">
        <f t="shared" si="993"/>
        <v>1.75</v>
      </c>
      <c r="DI35">
        <f t="shared" si="994"/>
        <v>20</v>
      </c>
      <c r="DJ35">
        <f t="shared" si="995"/>
        <v>0.505</v>
      </c>
      <c r="DK35">
        <f t="shared" si="996"/>
        <v>3.15</v>
      </c>
      <c r="DL35">
        <f t="shared" si="997"/>
        <v>1175</v>
      </c>
      <c r="DM35">
        <f t="shared" si="998"/>
        <v>19.5</v>
      </c>
      <c r="DN35">
        <f t="shared" si="999"/>
        <v>0.01</v>
      </c>
      <c r="DO35">
        <f t="shared" si="1000"/>
        <v>115</v>
      </c>
      <c r="DP35">
        <f t="shared" si="1001"/>
        <v>1.4999999999999999E-2</v>
      </c>
      <c r="DQ35">
        <f t="shared" si="1002"/>
        <v>0.23499999999999999</v>
      </c>
      <c r="DR35">
        <f t="shared" si="1003"/>
        <v>0</v>
      </c>
      <c r="DS35">
        <f t="shared" si="1004"/>
        <v>0.1</v>
      </c>
      <c r="DT35">
        <f t="shared" si="1005"/>
        <v>4.4999999999999998E-2</v>
      </c>
      <c r="DU35">
        <f t="shared" si="1006"/>
        <v>3.5</v>
      </c>
      <c r="DV35">
        <f t="shared" si="1007"/>
        <v>0.21</v>
      </c>
      <c r="DW35">
        <f t="shared" si="1008"/>
        <v>1.2</v>
      </c>
      <c r="DX35">
        <f t="shared" si="1009"/>
        <v>0.55000000000000004</v>
      </c>
      <c r="DY35">
        <f t="shared" si="1010"/>
        <v>287</v>
      </c>
      <c r="DZ35">
        <f t="shared" si="1011"/>
        <v>286.5</v>
      </c>
      <c r="EA35">
        <f t="shared" si="1012"/>
        <v>2</v>
      </c>
      <c r="EB35">
        <f t="shared" si="1013"/>
        <v>0.35</v>
      </c>
      <c r="EC35">
        <f t="shared" si="1014"/>
        <v>0.25</v>
      </c>
      <c r="ED35">
        <f t="shared" si="1015"/>
        <v>1.1000000000000001</v>
      </c>
      <c r="EE35">
        <f t="shared" si="1016"/>
        <v>8.6720000000000006</v>
      </c>
      <c r="EF35">
        <f t="shared" si="1017"/>
        <v>1.421</v>
      </c>
      <c r="EG35">
        <f t="shared" si="1018"/>
        <v>0.48849999999999999</v>
      </c>
      <c r="EH35">
        <f t="shared" si="1019"/>
        <v>1.5385</v>
      </c>
      <c r="EI35">
        <f t="shared" si="1020"/>
        <v>3.681</v>
      </c>
      <c r="EJ35">
        <f t="shared" si="1021"/>
        <v>1.216</v>
      </c>
      <c r="EK35">
        <f t="shared" si="1022"/>
        <v>0</v>
      </c>
      <c r="EL35">
        <f t="shared" si="1023"/>
        <v>0</v>
      </c>
      <c r="EM35">
        <f t="shared" si="1024"/>
        <v>3.9714999999999998</v>
      </c>
      <c r="EN35">
        <f t="shared" si="1025"/>
        <v>0.24600000000000002</v>
      </c>
      <c r="EO35">
        <f t="shared" si="1026"/>
        <v>0.20800000000000002</v>
      </c>
      <c r="EP35">
        <f t="shared" si="1027"/>
        <v>3.5175000000000001</v>
      </c>
      <c r="EQ35">
        <f t="shared" si="1028"/>
        <v>0</v>
      </c>
      <c r="ER35">
        <f t="shared" si="1029"/>
        <v>0</v>
      </c>
      <c r="ES35">
        <f t="shared" si="1030"/>
        <v>0.30049999999999999</v>
      </c>
      <c r="ET35">
        <f t="shared" si="1031"/>
        <v>0.14399999999999999</v>
      </c>
      <c r="EU35">
        <f t="shared" si="1032"/>
        <v>0.157</v>
      </c>
      <c r="EV35">
        <f t="shared" si="1033"/>
        <v>0</v>
      </c>
      <c r="EW35">
        <f t="shared" si="1034"/>
        <v>0</v>
      </c>
      <c r="EX35">
        <f t="shared" si="1035"/>
        <v>0</v>
      </c>
      <c r="EY35">
        <f t="shared" si="1036"/>
        <v>0</v>
      </c>
      <c r="EZ35">
        <f t="shared" si="1037"/>
        <v>186</v>
      </c>
      <c r="FA35">
        <f t="shared" si="1038"/>
        <v>506.5</v>
      </c>
      <c r="FB35">
        <f t="shared" si="1039"/>
        <v>778.5</v>
      </c>
      <c r="FC35">
        <f t="shared" si="1040"/>
        <v>1495</v>
      </c>
      <c r="FD35">
        <f t="shared" si="1041"/>
        <v>1157.5</v>
      </c>
      <c r="FE35">
        <f t="shared" si="1042"/>
        <v>449.5</v>
      </c>
      <c r="FF35">
        <f t="shared" si="1043"/>
        <v>75</v>
      </c>
      <c r="FG35">
        <f t="shared" si="1044"/>
        <v>739</v>
      </c>
      <c r="FH35">
        <f t="shared" si="1045"/>
        <v>795.5</v>
      </c>
      <c r="FI35">
        <f t="shared" si="1046"/>
        <v>1052</v>
      </c>
      <c r="FJ35">
        <f t="shared" si="1047"/>
        <v>388.5</v>
      </c>
      <c r="FK35">
        <f t="shared" si="1048"/>
        <v>365</v>
      </c>
      <c r="FL35">
        <f t="shared" si="1049"/>
        <v>432.5</v>
      </c>
      <c r="FM35">
        <f t="shared" si="1050"/>
        <v>998.5</v>
      </c>
      <c r="FN35">
        <f t="shared" si="1051"/>
        <v>2902</v>
      </c>
      <c r="FO35">
        <f t="shared" si="1052"/>
        <v>261.5</v>
      </c>
      <c r="FP35">
        <f t="shared" si="1053"/>
        <v>1719</v>
      </c>
      <c r="FQ35">
        <f t="shared" si="1054"/>
        <v>723</v>
      </c>
      <c r="FR35">
        <f t="shared" si="1055"/>
        <v>0</v>
      </c>
      <c r="FS35">
        <f t="shared" si="1056"/>
        <v>0</v>
      </c>
      <c r="FT35">
        <f t="shared" si="1057"/>
        <v>2.5000000000000001E-2</v>
      </c>
      <c r="FU35">
        <f t="shared" si="1058"/>
        <v>0</v>
      </c>
      <c r="FV35">
        <f t="shared" si="1059"/>
        <v>0</v>
      </c>
      <c r="FW35">
        <f t="shared" si="1060"/>
        <v>0.1</v>
      </c>
    </row>
    <row r="36" spans="1:179" x14ac:dyDescent="0.35">
      <c r="B36" s="72" t="s">
        <v>211</v>
      </c>
      <c r="C36">
        <v>15</v>
      </c>
      <c r="D36" s="6">
        <v>899</v>
      </c>
      <c r="E36" s="6">
        <v>3696</v>
      </c>
      <c r="F36" s="6">
        <v>0</v>
      </c>
      <c r="G36" s="6">
        <v>0</v>
      </c>
      <c r="H36" s="6">
        <v>0</v>
      </c>
      <c r="I36" s="6">
        <v>99.9</v>
      </c>
      <c r="J36" s="6">
        <v>0</v>
      </c>
      <c r="K36" s="6">
        <v>99.9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0.2</v>
      </c>
      <c r="T36" s="6">
        <v>0</v>
      </c>
      <c r="U36" s="51">
        <v>0.5</v>
      </c>
      <c r="V36" s="51">
        <v>0.5</v>
      </c>
      <c r="W36" s="6">
        <v>0</v>
      </c>
      <c r="X36" s="51">
        <v>5.0000000000000001E-3</v>
      </c>
      <c r="Y36" s="51">
        <v>0.5</v>
      </c>
      <c r="Z36" s="6">
        <v>0.01</v>
      </c>
      <c r="AA36" s="51">
        <v>0.05</v>
      </c>
      <c r="AB36" s="51">
        <v>0.5</v>
      </c>
      <c r="AC36" s="51">
        <v>0.5</v>
      </c>
      <c r="AD36" s="51">
        <v>5.0000000000000001E-3</v>
      </c>
      <c r="AE36" s="51">
        <v>0.5</v>
      </c>
      <c r="AF36" s="6">
        <v>0</v>
      </c>
      <c r="AG36" s="6">
        <v>0</v>
      </c>
      <c r="AH36" s="6">
        <v>0</v>
      </c>
      <c r="AI36" s="6">
        <v>0</v>
      </c>
      <c r="AJ36" s="51">
        <v>5.0000000000000001E-3</v>
      </c>
      <c r="AK36" s="51">
        <v>0.5</v>
      </c>
      <c r="AL36" s="51">
        <v>5.0000000000000001E-3</v>
      </c>
      <c r="AM36" s="51">
        <v>0.05</v>
      </c>
      <c r="AN36" s="6">
        <v>0</v>
      </c>
      <c r="AO36" s="6">
        <v>36</v>
      </c>
      <c r="AP36" s="6">
        <v>0</v>
      </c>
      <c r="AQ36" s="6">
        <v>216</v>
      </c>
      <c r="AR36" s="6">
        <v>21.42</v>
      </c>
      <c r="AS36" s="6">
        <v>0</v>
      </c>
      <c r="AT36" s="6">
        <v>57.5</v>
      </c>
      <c r="AU36" s="6">
        <v>14.46</v>
      </c>
      <c r="AV36" s="6">
        <v>0</v>
      </c>
      <c r="AW36" s="6">
        <v>0</v>
      </c>
      <c r="AX36" s="6">
        <v>0</v>
      </c>
      <c r="AY36" s="6">
        <v>10.64</v>
      </c>
      <c r="AZ36" s="6">
        <v>3.06</v>
      </c>
      <c r="BA36" s="6">
        <v>0.76</v>
      </c>
      <c r="BB36" s="6">
        <v>0</v>
      </c>
      <c r="BC36" s="6">
        <v>72.95</v>
      </c>
      <c r="BD36" s="6">
        <v>0</v>
      </c>
      <c r="BE36" s="6">
        <v>0.79</v>
      </c>
      <c r="BF36" s="6">
        <v>71.87</v>
      </c>
      <c r="BG36" s="6">
        <v>0.28999999999999998</v>
      </c>
      <c r="BH36" s="6">
        <v>0</v>
      </c>
      <c r="BI36" s="6">
        <v>7.52</v>
      </c>
      <c r="BJ36" s="6">
        <v>6.79</v>
      </c>
      <c r="BK36" s="6">
        <v>0.73</v>
      </c>
      <c r="BL36" s="6">
        <v>0</v>
      </c>
      <c r="BM36" s="6">
        <v>0</v>
      </c>
      <c r="BN36" s="6">
        <v>0</v>
      </c>
      <c r="BO36" s="6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>
        <f>($C36*D36)/100</f>
        <v>134.85</v>
      </c>
      <c r="CO36">
        <f t="shared" ref="CO36" si="1061">($C36*E36)/100</f>
        <v>554.4</v>
      </c>
      <c r="CP36">
        <f t="shared" ref="CP36" si="1062">($C36*F36)/100</f>
        <v>0</v>
      </c>
      <c r="CQ36">
        <f t="shared" ref="CQ36" si="1063">($C36*G36)/100</f>
        <v>0</v>
      </c>
      <c r="CR36">
        <f t="shared" ref="CR36" si="1064">($C36*H36)/100</f>
        <v>0</v>
      </c>
      <c r="CS36">
        <f t="shared" ref="CS36" si="1065">($C36*I36)/100</f>
        <v>14.984999999999999</v>
      </c>
      <c r="CT36">
        <f t="shared" ref="CT36" si="1066">($C36*J36)/100</f>
        <v>0</v>
      </c>
      <c r="CU36">
        <f t="shared" ref="CU36" si="1067">($C36*K36)/100</f>
        <v>14.984999999999999</v>
      </c>
      <c r="CV36">
        <f t="shared" ref="CV36" si="1068">($C36*L36)/100</f>
        <v>0</v>
      </c>
      <c r="CW36">
        <f t="shared" ref="CW36" si="1069">($C36*M36)/100</f>
        <v>0</v>
      </c>
      <c r="CX36">
        <f t="shared" ref="CX36" si="1070">($C36*N36)/100</f>
        <v>0</v>
      </c>
      <c r="CY36">
        <f t="shared" ref="CY36" si="1071">($C36*O36)/100</f>
        <v>0</v>
      </c>
      <c r="CZ36">
        <f t="shared" ref="CZ36" si="1072">($C36*P36)/100</f>
        <v>0</v>
      </c>
      <c r="DA36">
        <f t="shared" ref="DA36" si="1073">($C36*Q36)/100</f>
        <v>0</v>
      </c>
      <c r="DB36">
        <f t="shared" ref="DB36" si="1074">($C36*R36)/100</f>
        <v>0</v>
      </c>
      <c r="DC36">
        <f t="shared" ref="DC36" si="1075">($C36*S36)/100</f>
        <v>0.03</v>
      </c>
      <c r="DD36">
        <f t="shared" ref="DD36" si="1076">($C36*T36)/100</f>
        <v>0</v>
      </c>
      <c r="DE36">
        <f t="shared" ref="DE36" si="1077">($C36*U36)/100</f>
        <v>7.4999999999999997E-2</v>
      </c>
      <c r="DF36">
        <f t="shared" ref="DF36" si="1078">($C36*V36)/100</f>
        <v>7.4999999999999997E-2</v>
      </c>
      <c r="DG36">
        <f t="shared" ref="DG36" si="1079">($C36*W36)/100</f>
        <v>0</v>
      </c>
      <c r="DH36">
        <f t="shared" ref="DH36" si="1080">($C36*X36)/100</f>
        <v>7.5000000000000002E-4</v>
      </c>
      <c r="DI36">
        <f t="shared" ref="DI36" si="1081">($C36*Y36)/100</f>
        <v>7.4999999999999997E-2</v>
      </c>
      <c r="DJ36">
        <f t="shared" ref="DJ36" si="1082">($C36*Z36)/100</f>
        <v>1.5E-3</v>
      </c>
      <c r="DK36">
        <f t="shared" ref="DK36" si="1083">($C36*AA36)/100</f>
        <v>7.4999999999999997E-3</v>
      </c>
      <c r="DL36">
        <f t="shared" ref="DL36" si="1084">($C36*AB36)/100</f>
        <v>7.4999999999999997E-2</v>
      </c>
      <c r="DM36">
        <f t="shared" ref="DM36" si="1085">($C36*AC36)/100</f>
        <v>7.4999999999999997E-2</v>
      </c>
      <c r="DN36">
        <f t="shared" ref="DN36" si="1086">($C36*AD36)/100</f>
        <v>7.5000000000000002E-4</v>
      </c>
      <c r="DO36">
        <f t="shared" ref="DO36" si="1087">($C36*AE36)/100</f>
        <v>7.4999999999999997E-2</v>
      </c>
      <c r="DP36">
        <f t="shared" ref="DP36" si="1088">($C36*AF36)/100</f>
        <v>0</v>
      </c>
      <c r="DQ36">
        <f t="shared" ref="DQ36" si="1089">($C36*AG36)/100</f>
        <v>0</v>
      </c>
      <c r="DR36">
        <f t="shared" ref="DR36" si="1090">($C36*AH36)/100</f>
        <v>0</v>
      </c>
      <c r="DS36">
        <f t="shared" ref="DS36" si="1091">($C36*AI36)/100</f>
        <v>0</v>
      </c>
      <c r="DT36">
        <f t="shared" ref="DT36" si="1092">($C36*AJ36)/100</f>
        <v>7.5000000000000002E-4</v>
      </c>
      <c r="DU36">
        <f t="shared" ref="DU36" si="1093">($C36*AK36)/100</f>
        <v>7.4999999999999997E-2</v>
      </c>
      <c r="DV36">
        <f t="shared" ref="DV36" si="1094">($C36*AL36)/100</f>
        <v>7.5000000000000002E-4</v>
      </c>
      <c r="DW36">
        <f t="shared" ref="DW36" si="1095">($C36*AM36)/100</f>
        <v>7.4999999999999997E-3</v>
      </c>
      <c r="DX36">
        <f t="shared" ref="DX36" si="1096">($C36*AN36)/100</f>
        <v>0</v>
      </c>
      <c r="DY36">
        <f t="shared" ref="DY36" si="1097">($C36*AO36)/100</f>
        <v>5.4</v>
      </c>
      <c r="DZ36">
        <f t="shared" ref="DZ36" si="1098">($C36*AP36)/100</f>
        <v>0</v>
      </c>
      <c r="EA36">
        <f t="shared" ref="EA36" si="1099">($C36*AQ36)/100</f>
        <v>32.4</v>
      </c>
      <c r="EB36">
        <f t="shared" ref="EB36" si="1100">($C36*AR36)/100</f>
        <v>3.2130000000000001</v>
      </c>
      <c r="EC36">
        <f t="shared" ref="EC36" si="1101">($C36*AS36)/100</f>
        <v>0</v>
      </c>
      <c r="ED36">
        <f t="shared" ref="ED36" si="1102">($C36*AT36)/100</f>
        <v>8.625</v>
      </c>
      <c r="EE36">
        <f t="shared" ref="EE36" si="1103">($C36*AU36)/100</f>
        <v>2.169</v>
      </c>
      <c r="EF36">
        <f t="shared" ref="EF36" si="1104">($C36*AV36)/100</f>
        <v>0</v>
      </c>
      <c r="EG36">
        <f t="shared" ref="EG36" si="1105">($C36*AW36)/100</f>
        <v>0</v>
      </c>
      <c r="EH36">
        <f t="shared" ref="EH36" si="1106">($C36*AX36)/100</f>
        <v>0</v>
      </c>
      <c r="EI36">
        <f t="shared" ref="EI36" si="1107">($C36*AY36)/100</f>
        <v>1.5960000000000003</v>
      </c>
      <c r="EJ36">
        <f t="shared" ref="EJ36" si="1108">($C36*AZ36)/100</f>
        <v>0.45899999999999996</v>
      </c>
      <c r="EK36">
        <f t="shared" ref="EK36" si="1109">($C36*BA36)/100</f>
        <v>0.114</v>
      </c>
      <c r="EL36">
        <f t="shared" ref="EL36" si="1110">($C36*BB36)/100</f>
        <v>0</v>
      </c>
      <c r="EM36">
        <f t="shared" ref="EM36" si="1111">($C36*BC36)/100</f>
        <v>10.942500000000001</v>
      </c>
      <c r="EN36">
        <f t="shared" ref="EN36" si="1112">($C36*BD36)/100</f>
        <v>0</v>
      </c>
      <c r="EO36">
        <f t="shared" ref="EO36" si="1113">($C36*BE36)/100</f>
        <v>0.11850000000000001</v>
      </c>
      <c r="EP36">
        <f t="shared" ref="EP36" si="1114">($C36*BF36)/100</f>
        <v>10.780500000000002</v>
      </c>
      <c r="EQ36">
        <f t="shared" ref="EQ36" si="1115">($C36*BG36)/100</f>
        <v>4.3499999999999997E-2</v>
      </c>
      <c r="ER36">
        <f t="shared" ref="ER36" si="1116">($C36*BH36)/100</f>
        <v>0</v>
      </c>
      <c r="ES36">
        <f t="shared" ref="ES36" si="1117">($C36*BI36)/100</f>
        <v>1.1279999999999999</v>
      </c>
      <c r="ET36">
        <f t="shared" ref="ET36" si="1118">($C36*BJ36)/100</f>
        <v>1.0185</v>
      </c>
      <c r="EU36">
        <f t="shared" ref="EU36" si="1119">($C36*BK36)/100</f>
        <v>0.10949999999999999</v>
      </c>
      <c r="EV36">
        <f t="shared" ref="EV36" si="1120">($C36*BL36)/100</f>
        <v>0</v>
      </c>
      <c r="EW36">
        <f t="shared" ref="EW36" si="1121">($C36*BM36)/100</f>
        <v>0</v>
      </c>
      <c r="EX36">
        <f t="shared" ref="EX36" si="1122">($C36*BN36)/100</f>
        <v>0</v>
      </c>
      <c r="EY36">
        <f t="shared" ref="EY36" si="1123">($C36*BO36)/100</f>
        <v>0</v>
      </c>
      <c r="EZ36">
        <f t="shared" ref="EZ36" si="1124">($C36*BP36)/100</f>
        <v>0</v>
      </c>
      <c r="FA36">
        <f t="shared" ref="FA36" si="1125">($C36*BQ36)/100</f>
        <v>0</v>
      </c>
      <c r="FB36">
        <f t="shared" ref="FB36" si="1126">($C36*BR36)/100</f>
        <v>0</v>
      </c>
      <c r="FC36">
        <f t="shared" ref="FC36" si="1127">($C36*BS36)/100</f>
        <v>0</v>
      </c>
      <c r="FD36">
        <f t="shared" ref="FD36" si="1128">($C36*BT36)/100</f>
        <v>0</v>
      </c>
      <c r="FE36">
        <f t="shared" ref="FE36" si="1129">($C36*BU36)/100</f>
        <v>0</v>
      </c>
      <c r="FF36">
        <f t="shared" ref="FF36" si="1130">($C36*BV36)/100</f>
        <v>0</v>
      </c>
      <c r="FG36">
        <f t="shared" ref="FG36" si="1131">($C36*BW36)/100</f>
        <v>0</v>
      </c>
      <c r="FH36">
        <f t="shared" ref="FH36" si="1132">($C36*BX36)/100</f>
        <v>0</v>
      </c>
      <c r="FI36">
        <f t="shared" ref="FI36" si="1133">($C36*BY36)/100</f>
        <v>0</v>
      </c>
      <c r="FJ36">
        <f t="shared" ref="FJ36" si="1134">($C36*BZ36)/100</f>
        <v>0</v>
      </c>
      <c r="FK36">
        <f t="shared" ref="FK36" si="1135">($C36*CA36)/100</f>
        <v>0</v>
      </c>
      <c r="FL36">
        <f t="shared" ref="FL36" si="1136">($C36*CB36)/100</f>
        <v>0</v>
      </c>
      <c r="FM36">
        <f t="shared" ref="FM36" si="1137">($C36*CC36)/100</f>
        <v>0</v>
      </c>
      <c r="FN36">
        <f t="shared" ref="FN36" si="1138">($C36*CD36)/100</f>
        <v>0</v>
      </c>
      <c r="FO36">
        <f t="shared" ref="FO36" si="1139">($C36*CE36)/100</f>
        <v>0</v>
      </c>
      <c r="FP36">
        <f t="shared" ref="FP36" si="1140">($C36*CF36)/100</f>
        <v>0</v>
      </c>
      <c r="FQ36">
        <f t="shared" ref="FQ36" si="1141">($C36*CG36)/100</f>
        <v>0</v>
      </c>
      <c r="FR36">
        <f t="shared" ref="FR36" si="1142">($C36*CH36)/100</f>
        <v>0</v>
      </c>
      <c r="FS36">
        <f t="shared" ref="FS36" si="1143">($C36*CI36)/100</f>
        <v>0</v>
      </c>
      <c r="FT36">
        <f t="shared" ref="FT36" si="1144">($C36*CJ36)/100</f>
        <v>0</v>
      </c>
      <c r="FU36">
        <f t="shared" ref="FU36" si="1145">($C36*CK36)/100</f>
        <v>0</v>
      </c>
      <c r="FV36">
        <f t="shared" ref="FV36" si="1146">($C36*CL36)/100</f>
        <v>0</v>
      </c>
      <c r="FW36">
        <f t="shared" ref="FW36" si="1147">($C36*CM36)/100</f>
        <v>0</v>
      </c>
    </row>
    <row r="37" spans="1:179" x14ac:dyDescent="0.35">
      <c r="B37" s="72" t="s">
        <v>233</v>
      </c>
      <c r="C37">
        <v>5</v>
      </c>
      <c r="D37" s="54">
        <v>45</v>
      </c>
      <c r="E37" s="54">
        <v>190</v>
      </c>
      <c r="F37" s="54">
        <v>0.9</v>
      </c>
      <c r="G37" s="54">
        <v>0</v>
      </c>
      <c r="H37" s="54">
        <v>0.9</v>
      </c>
      <c r="I37" s="54">
        <v>0.6</v>
      </c>
      <c r="J37" s="54">
        <v>0</v>
      </c>
      <c r="K37" s="54">
        <v>0.6</v>
      </c>
      <c r="L37" s="54">
        <v>0</v>
      </c>
      <c r="M37" s="54">
        <v>8.4</v>
      </c>
      <c r="N37" s="54">
        <v>0</v>
      </c>
      <c r="O37" s="54">
        <v>8.4</v>
      </c>
      <c r="P37" s="54">
        <v>2.2999999999999998</v>
      </c>
      <c r="Q37" s="54">
        <v>0</v>
      </c>
      <c r="R37" s="54">
        <v>80</v>
      </c>
      <c r="S37" s="54">
        <v>1.5</v>
      </c>
      <c r="T37" s="54">
        <v>14</v>
      </c>
      <c r="U37" s="54">
        <v>2</v>
      </c>
      <c r="V37" s="54">
        <v>347</v>
      </c>
      <c r="W37" s="54">
        <v>63</v>
      </c>
      <c r="X37" s="54">
        <v>0.56000000000000005</v>
      </c>
      <c r="Y37" s="81">
        <v>0</v>
      </c>
      <c r="Z37" s="81">
        <v>0</v>
      </c>
      <c r="AA37" s="81">
        <v>0</v>
      </c>
      <c r="AB37" s="81">
        <v>0</v>
      </c>
      <c r="AC37" s="81">
        <v>0</v>
      </c>
      <c r="AD37" s="81">
        <v>0</v>
      </c>
      <c r="AE37" s="81">
        <v>0</v>
      </c>
      <c r="AF37" s="54">
        <v>0.14000000000000001</v>
      </c>
      <c r="AG37" s="54">
        <v>0.02</v>
      </c>
      <c r="AH37" s="54">
        <v>5</v>
      </c>
      <c r="AI37" s="54">
        <v>1.3</v>
      </c>
      <c r="AJ37" s="54">
        <v>0.21</v>
      </c>
      <c r="AK37" s="54">
        <v>3</v>
      </c>
      <c r="AL37" s="81">
        <v>0</v>
      </c>
      <c r="AM37" s="81">
        <v>0</v>
      </c>
      <c r="AN37" s="81">
        <v>0</v>
      </c>
      <c r="AO37" s="54">
        <v>5</v>
      </c>
      <c r="AP37" s="54">
        <v>0</v>
      </c>
      <c r="AQ37" s="54">
        <v>30</v>
      </c>
      <c r="AR37" s="54">
        <v>0.01</v>
      </c>
      <c r="AS37" s="54">
        <v>0</v>
      </c>
      <c r="AT37" s="81">
        <v>0</v>
      </c>
      <c r="AU37" s="54">
        <v>0.11</v>
      </c>
      <c r="AV37" s="81">
        <v>0</v>
      </c>
      <c r="AW37" s="81">
        <v>0</v>
      </c>
      <c r="AX37" s="81">
        <v>0</v>
      </c>
      <c r="AY37" s="81">
        <v>0</v>
      </c>
      <c r="AZ37" s="81">
        <v>0</v>
      </c>
      <c r="BA37" s="81">
        <v>0</v>
      </c>
      <c r="BB37" s="81">
        <v>0</v>
      </c>
      <c r="BC37" s="54">
        <v>0.01</v>
      </c>
      <c r="BD37" s="82">
        <v>0</v>
      </c>
      <c r="BE37" s="82">
        <v>0</v>
      </c>
      <c r="BF37" s="54">
        <v>0.01</v>
      </c>
      <c r="BG37" s="82">
        <v>0</v>
      </c>
      <c r="BH37" s="82">
        <v>0</v>
      </c>
      <c r="BI37" s="54">
        <v>0.3</v>
      </c>
      <c r="BJ37" s="54">
        <v>0.27</v>
      </c>
      <c r="BK37" s="54">
        <v>0.02</v>
      </c>
      <c r="BL37" s="82">
        <v>0</v>
      </c>
      <c r="BM37" s="82">
        <v>0</v>
      </c>
      <c r="BN37" s="82">
        <v>0</v>
      </c>
      <c r="BO37" s="54">
        <v>0.01</v>
      </c>
      <c r="BP37" s="56">
        <v>9</v>
      </c>
      <c r="BQ37" s="56">
        <v>22</v>
      </c>
      <c r="BR37" s="56">
        <v>31</v>
      </c>
      <c r="BS37" s="56">
        <v>44</v>
      </c>
      <c r="BT37" s="56">
        <v>39</v>
      </c>
      <c r="BU37" s="56">
        <v>11</v>
      </c>
      <c r="BV37" s="56">
        <v>9</v>
      </c>
      <c r="BW37" s="56">
        <v>26</v>
      </c>
      <c r="BX37" s="56">
        <v>11</v>
      </c>
      <c r="BY37" s="56">
        <v>41</v>
      </c>
      <c r="BZ37" s="56">
        <v>90</v>
      </c>
      <c r="CA37" s="56">
        <v>16</v>
      </c>
      <c r="CB37" s="56">
        <v>19</v>
      </c>
      <c r="CC37" s="56">
        <v>69</v>
      </c>
      <c r="CD37" s="56">
        <v>114</v>
      </c>
      <c r="CE37" s="56">
        <v>28</v>
      </c>
      <c r="CF37" s="56">
        <v>14</v>
      </c>
      <c r="CG37" s="56">
        <v>27</v>
      </c>
      <c r="CH37" s="81">
        <v>0</v>
      </c>
      <c r="CI37" s="81">
        <v>0</v>
      </c>
      <c r="CJ37" s="83">
        <v>0</v>
      </c>
      <c r="CK37" s="81">
        <v>0</v>
      </c>
      <c r="CL37" s="81">
        <v>0</v>
      </c>
      <c r="CM37" s="83">
        <v>0</v>
      </c>
      <c r="CN37">
        <f t="shared" ref="CN37:CN38" si="1148">($C37*D37)/100</f>
        <v>2.25</v>
      </c>
      <c r="CO37">
        <f t="shared" ref="CO37:CO38" si="1149">($C37*E37)/100</f>
        <v>9.5</v>
      </c>
      <c r="CP37">
        <f t="shared" ref="CP37:CP38" si="1150">($C37*F37)/100</f>
        <v>4.4999999999999998E-2</v>
      </c>
      <c r="CQ37">
        <f t="shared" ref="CQ37:CQ38" si="1151">($C37*G37)/100</f>
        <v>0</v>
      </c>
      <c r="CR37">
        <f t="shared" ref="CR37:CR38" si="1152">($C37*H37)/100</f>
        <v>4.4999999999999998E-2</v>
      </c>
      <c r="CS37">
        <f t="shared" ref="CS37:CS38" si="1153">($C37*I37)/100</f>
        <v>0.03</v>
      </c>
      <c r="CT37">
        <f t="shared" ref="CT37:CT38" si="1154">($C37*J37)/100</f>
        <v>0</v>
      </c>
      <c r="CU37">
        <f t="shared" ref="CU37:CU38" si="1155">($C37*K37)/100</f>
        <v>0.03</v>
      </c>
      <c r="CV37">
        <f t="shared" ref="CV37:CV38" si="1156">($C37*L37)/100</f>
        <v>0</v>
      </c>
      <c r="CW37">
        <f t="shared" ref="CW37:CW38" si="1157">($C37*M37)/100</f>
        <v>0.42</v>
      </c>
      <c r="CX37">
        <f t="shared" ref="CX37:CX38" si="1158">($C37*N37)/100</f>
        <v>0</v>
      </c>
      <c r="CY37">
        <f t="shared" ref="CY37:CY38" si="1159">($C37*O37)/100</f>
        <v>0.42</v>
      </c>
      <c r="CZ37">
        <f t="shared" ref="CZ37:CZ38" si="1160">($C37*P37)/100</f>
        <v>0.115</v>
      </c>
      <c r="DA37">
        <f t="shared" ref="DA37:DA38" si="1161">($C37*Q37)/100</f>
        <v>0</v>
      </c>
      <c r="DB37">
        <f t="shared" ref="DB37:DB38" si="1162">($C37*R37)/100</f>
        <v>4</v>
      </c>
      <c r="DC37">
        <f t="shared" ref="DC37:DC38" si="1163">($C37*S37)/100</f>
        <v>7.4999999999999997E-2</v>
      </c>
      <c r="DD37">
        <f t="shared" ref="DD37:DD38" si="1164">($C37*T37)/100</f>
        <v>0.7</v>
      </c>
      <c r="DE37">
        <f t="shared" ref="DE37:DE38" si="1165">($C37*U37)/100</f>
        <v>0.1</v>
      </c>
      <c r="DF37">
        <f t="shared" ref="DF37:DF38" si="1166">($C37*V37)/100</f>
        <v>17.350000000000001</v>
      </c>
      <c r="DG37">
        <f t="shared" ref="DG37:DG38" si="1167">($C37*W37)/100</f>
        <v>3.15</v>
      </c>
      <c r="DH37">
        <f t="shared" ref="DH37:DH38" si="1168">($C37*X37)/100</f>
        <v>2.8000000000000004E-2</v>
      </c>
      <c r="DI37">
        <f t="shared" ref="DI37:DI38" si="1169">($C37*Y37)/100</f>
        <v>0</v>
      </c>
      <c r="DJ37">
        <f t="shared" ref="DJ37:DJ38" si="1170">($C37*Z37)/100</f>
        <v>0</v>
      </c>
      <c r="DK37">
        <f t="shared" ref="DK37:DK38" si="1171">($C37*AA37)/100</f>
        <v>0</v>
      </c>
      <c r="DL37">
        <f t="shared" ref="DL37:DL38" si="1172">($C37*AB37)/100</f>
        <v>0</v>
      </c>
      <c r="DM37">
        <f t="shared" ref="DM37:DM38" si="1173">($C37*AC37)/100</f>
        <v>0</v>
      </c>
      <c r="DN37">
        <f t="shared" ref="DN37:DN38" si="1174">($C37*AD37)/100</f>
        <v>0</v>
      </c>
      <c r="DO37">
        <f t="shared" ref="DO37:DO38" si="1175">($C37*AE37)/100</f>
        <v>0</v>
      </c>
      <c r="DP37">
        <f t="shared" ref="DP37:DP38" si="1176">($C37*AF37)/100</f>
        <v>7.000000000000001E-3</v>
      </c>
      <c r="DQ37">
        <f t="shared" ref="DQ37:DQ38" si="1177">($C37*AG37)/100</f>
        <v>1E-3</v>
      </c>
      <c r="DR37">
        <f t="shared" ref="DR37:DR38" si="1178">($C37*AH37)/100</f>
        <v>0.25</v>
      </c>
      <c r="DS37">
        <f t="shared" ref="DS37:DS38" si="1179">($C37*AI37)/100</f>
        <v>6.5000000000000002E-2</v>
      </c>
      <c r="DT37">
        <f t="shared" ref="DT37:DT38" si="1180">($C37*AJ37)/100</f>
        <v>1.0500000000000001E-2</v>
      </c>
      <c r="DU37">
        <f t="shared" ref="DU37:DU38" si="1181">($C37*AK37)/100</f>
        <v>0.15</v>
      </c>
      <c r="DV37">
        <f t="shared" ref="DV37:DV38" si="1182">($C37*AL37)/100</f>
        <v>0</v>
      </c>
      <c r="DW37">
        <f t="shared" ref="DW37:DW38" si="1183">($C37*AM37)/100</f>
        <v>0</v>
      </c>
      <c r="DX37">
        <f t="shared" ref="DX37:DX38" si="1184">($C37*AN37)/100</f>
        <v>0</v>
      </c>
      <c r="DY37">
        <f t="shared" ref="DY37:DY38" si="1185">($C37*AO37)/100</f>
        <v>0.25</v>
      </c>
      <c r="DZ37">
        <f t="shared" ref="DZ37:DZ38" si="1186">($C37*AP37)/100</f>
        <v>0</v>
      </c>
      <c r="EA37">
        <f t="shared" ref="EA37:EA38" si="1187">($C37*AQ37)/100</f>
        <v>1.5</v>
      </c>
      <c r="EB37">
        <f t="shared" ref="EB37:EB38" si="1188">($C37*AR37)/100</f>
        <v>5.0000000000000001E-4</v>
      </c>
      <c r="EC37">
        <f t="shared" ref="EC37:EC38" si="1189">($C37*AS37)/100</f>
        <v>0</v>
      </c>
      <c r="ED37">
        <f t="shared" ref="ED37:ED38" si="1190">($C37*AT37)/100</f>
        <v>0</v>
      </c>
      <c r="EE37">
        <f t="shared" ref="EE37:EE38" si="1191">($C37*AU37)/100</f>
        <v>5.5000000000000005E-3</v>
      </c>
      <c r="EF37">
        <f t="shared" ref="EF37:EF38" si="1192">($C37*AV37)/100</f>
        <v>0</v>
      </c>
      <c r="EG37">
        <f t="shared" ref="EG37:EG38" si="1193">($C37*AW37)/100</f>
        <v>0</v>
      </c>
      <c r="EH37">
        <f t="shared" ref="EH37:EH38" si="1194">($C37*AX37)/100</f>
        <v>0</v>
      </c>
      <c r="EI37">
        <f t="shared" ref="EI37:EI38" si="1195">($C37*AY37)/100</f>
        <v>0</v>
      </c>
      <c r="EJ37">
        <f t="shared" ref="EJ37:EJ38" si="1196">($C37*AZ37)/100</f>
        <v>0</v>
      </c>
      <c r="EK37">
        <f t="shared" ref="EK37:EK38" si="1197">($C37*BA37)/100</f>
        <v>0</v>
      </c>
      <c r="EL37">
        <f t="shared" ref="EL37:EL38" si="1198">($C37*BB37)/100</f>
        <v>0</v>
      </c>
      <c r="EM37">
        <f t="shared" ref="EM37:EM38" si="1199">($C37*BC37)/100</f>
        <v>5.0000000000000001E-4</v>
      </c>
      <c r="EN37">
        <f t="shared" ref="EN37:EN38" si="1200">($C37*BD37)/100</f>
        <v>0</v>
      </c>
      <c r="EO37">
        <f t="shared" ref="EO37:EO38" si="1201">($C37*BE37)/100</f>
        <v>0</v>
      </c>
      <c r="EP37">
        <f t="shared" ref="EP37:EP38" si="1202">($C37*BF37)/100</f>
        <v>5.0000000000000001E-4</v>
      </c>
      <c r="EQ37">
        <f t="shared" ref="EQ37:EQ38" si="1203">($C37*BG37)/100</f>
        <v>0</v>
      </c>
      <c r="ER37">
        <f t="shared" ref="ER37:ER38" si="1204">($C37*BH37)/100</f>
        <v>0</v>
      </c>
      <c r="ES37">
        <f t="shared" ref="ES37:ES38" si="1205">($C37*BI37)/100</f>
        <v>1.4999999999999999E-2</v>
      </c>
      <c r="ET37">
        <f t="shared" ref="ET37:ET38" si="1206">($C37*BJ37)/100</f>
        <v>1.3500000000000002E-2</v>
      </c>
      <c r="EU37">
        <f t="shared" ref="EU37:EU38" si="1207">($C37*BK37)/100</f>
        <v>1E-3</v>
      </c>
      <c r="EV37">
        <f t="shared" ref="EV37:EV38" si="1208">($C37*BL37)/100</f>
        <v>0</v>
      </c>
      <c r="EW37">
        <f t="shared" ref="EW37:EW38" si="1209">($C37*BM37)/100</f>
        <v>0</v>
      </c>
      <c r="EX37">
        <f t="shared" ref="EX37:EX38" si="1210">($C37*BN37)/100</f>
        <v>0</v>
      </c>
      <c r="EY37">
        <f t="shared" ref="EY37:EY38" si="1211">($C37*BO37)/100</f>
        <v>5.0000000000000001E-4</v>
      </c>
      <c r="EZ37">
        <f t="shared" ref="EZ37:EZ38" si="1212">($C37*BP37)/100</f>
        <v>0.45</v>
      </c>
      <c r="FA37">
        <f t="shared" ref="FA37:FA38" si="1213">($C37*BQ37)/100</f>
        <v>1.1000000000000001</v>
      </c>
      <c r="FB37">
        <f t="shared" ref="FB37:FB38" si="1214">($C37*BR37)/100</f>
        <v>1.55</v>
      </c>
      <c r="FC37">
        <f t="shared" ref="FC37:FC38" si="1215">($C37*BS37)/100</f>
        <v>2.2000000000000002</v>
      </c>
      <c r="FD37">
        <f t="shared" ref="FD37:FD38" si="1216">($C37*BT37)/100</f>
        <v>1.95</v>
      </c>
      <c r="FE37">
        <f t="shared" ref="FE37:FE38" si="1217">($C37*BU37)/100</f>
        <v>0.55000000000000004</v>
      </c>
      <c r="FF37">
        <f t="shared" ref="FF37:FF38" si="1218">($C37*BV37)/100</f>
        <v>0.45</v>
      </c>
      <c r="FG37">
        <f t="shared" ref="FG37:FG38" si="1219">($C37*BW37)/100</f>
        <v>1.3</v>
      </c>
      <c r="FH37">
        <f t="shared" ref="FH37:FH38" si="1220">($C37*BX37)/100</f>
        <v>0.55000000000000004</v>
      </c>
      <c r="FI37">
        <f t="shared" ref="FI37:FI38" si="1221">($C37*BY37)/100</f>
        <v>2.0499999999999998</v>
      </c>
      <c r="FJ37">
        <f t="shared" ref="FJ37:FJ38" si="1222">($C37*BZ37)/100</f>
        <v>4.5</v>
      </c>
      <c r="FK37">
        <f t="shared" ref="FK37:FK38" si="1223">($C37*CA37)/100</f>
        <v>0.8</v>
      </c>
      <c r="FL37">
        <f t="shared" ref="FL37:FL38" si="1224">($C37*CB37)/100</f>
        <v>0.95</v>
      </c>
      <c r="FM37">
        <f t="shared" ref="FM37:FM38" si="1225">($C37*CC37)/100</f>
        <v>3.45</v>
      </c>
      <c r="FN37">
        <f t="shared" ref="FN37:FN38" si="1226">($C37*CD37)/100</f>
        <v>5.7</v>
      </c>
      <c r="FO37">
        <f t="shared" ref="FO37:FO38" si="1227">($C37*CE37)/100</f>
        <v>1.4</v>
      </c>
      <c r="FP37">
        <f t="shared" ref="FP37:FP38" si="1228">($C37*CF37)/100</f>
        <v>0.7</v>
      </c>
      <c r="FQ37">
        <f t="shared" ref="FQ37:FQ38" si="1229">($C37*CG37)/100</f>
        <v>1.35</v>
      </c>
      <c r="FR37">
        <f t="shared" ref="FR37:FR38" si="1230">($C37*CH37)/100</f>
        <v>0</v>
      </c>
      <c r="FS37">
        <f t="shared" ref="FS37:FS38" si="1231">($C37*CI37)/100</f>
        <v>0</v>
      </c>
      <c r="FT37">
        <f t="shared" ref="FT37:FT38" si="1232">($C37*CJ37)/100</f>
        <v>0</v>
      </c>
      <c r="FU37">
        <f t="shared" ref="FU37:FU38" si="1233">($C37*CK37)/100</f>
        <v>0</v>
      </c>
      <c r="FV37">
        <f t="shared" ref="FV37:FV38" si="1234">($C37*CL37)/100</f>
        <v>0</v>
      </c>
      <c r="FW37">
        <f t="shared" ref="FW37:FW38" si="1235">($C37*CM37)/100</f>
        <v>0</v>
      </c>
    </row>
    <row r="38" spans="1:179" x14ac:dyDescent="0.35">
      <c r="B38" s="72" t="s">
        <v>234</v>
      </c>
      <c r="C38">
        <v>10</v>
      </c>
      <c r="D38" s="54">
        <v>49</v>
      </c>
      <c r="E38" s="54">
        <v>206</v>
      </c>
      <c r="F38" s="54">
        <v>3.1</v>
      </c>
      <c r="G38" s="54">
        <v>0</v>
      </c>
      <c r="H38" s="54">
        <v>3.1</v>
      </c>
      <c r="I38" s="54">
        <v>0.8</v>
      </c>
      <c r="J38" s="54">
        <v>0</v>
      </c>
      <c r="K38" s="54">
        <v>0.8</v>
      </c>
      <c r="L38" s="54">
        <v>0</v>
      </c>
      <c r="M38" s="54">
        <v>5.0999999999999996</v>
      </c>
      <c r="N38" s="51">
        <v>0.05</v>
      </c>
      <c r="O38" s="54">
        <v>5.0999999999999996</v>
      </c>
      <c r="P38" s="54">
        <v>5.2</v>
      </c>
      <c r="Q38" s="54">
        <v>0</v>
      </c>
      <c r="R38" s="54">
        <v>88</v>
      </c>
      <c r="S38" s="54">
        <v>5.5</v>
      </c>
      <c r="T38" s="54">
        <v>250</v>
      </c>
      <c r="U38" s="54">
        <v>9</v>
      </c>
      <c r="V38" s="54">
        <v>300</v>
      </c>
      <c r="W38" s="54">
        <v>37</v>
      </c>
      <c r="X38" s="54">
        <v>0.7</v>
      </c>
      <c r="Y38" s="54">
        <v>11</v>
      </c>
      <c r="Z38" s="54">
        <v>0.38</v>
      </c>
      <c r="AA38" s="54">
        <v>0.4</v>
      </c>
      <c r="AB38" s="54">
        <v>156</v>
      </c>
      <c r="AC38" s="54">
        <v>3.4</v>
      </c>
      <c r="AD38" s="54">
        <v>1.92</v>
      </c>
      <c r="AE38" s="54">
        <v>50</v>
      </c>
      <c r="AF38" s="54">
        <v>0.08</v>
      </c>
      <c r="AG38" s="54">
        <v>0.31</v>
      </c>
      <c r="AH38" s="54">
        <v>26</v>
      </c>
      <c r="AI38" s="54">
        <v>1.1000000000000001</v>
      </c>
      <c r="AJ38" s="54">
        <v>0.17</v>
      </c>
      <c r="AK38" s="54">
        <v>85</v>
      </c>
      <c r="AL38" s="54">
        <v>0.32</v>
      </c>
      <c r="AM38" s="54">
        <v>0.4</v>
      </c>
      <c r="AN38" s="54">
        <v>0</v>
      </c>
      <c r="AO38" s="54">
        <v>658</v>
      </c>
      <c r="AP38" s="54">
        <v>0</v>
      </c>
      <c r="AQ38" s="54">
        <v>3950</v>
      </c>
      <c r="AR38" s="54">
        <v>0.35</v>
      </c>
      <c r="AS38" s="54">
        <v>0</v>
      </c>
      <c r="AT38" s="54">
        <v>421</v>
      </c>
      <c r="AU38" s="54">
        <v>0.05</v>
      </c>
      <c r="AV38" s="81">
        <v>0</v>
      </c>
      <c r="AW38" s="81">
        <v>0</v>
      </c>
      <c r="AX38" s="81">
        <v>0</v>
      </c>
      <c r="AY38" s="81">
        <v>0</v>
      </c>
      <c r="AZ38" s="81">
        <v>0</v>
      </c>
      <c r="BA38" s="81">
        <v>0</v>
      </c>
      <c r="BB38" s="81">
        <v>0</v>
      </c>
      <c r="BC38" s="54">
        <v>0.12</v>
      </c>
      <c r="BD38" s="82">
        <v>0</v>
      </c>
      <c r="BE38" s="82">
        <v>0</v>
      </c>
      <c r="BF38" s="54">
        <v>0.12</v>
      </c>
      <c r="BG38" s="82">
        <v>0</v>
      </c>
      <c r="BH38" s="82">
        <v>0</v>
      </c>
      <c r="BI38" s="54">
        <v>0.51</v>
      </c>
      <c r="BJ38" s="54">
        <v>0.1</v>
      </c>
      <c r="BK38" s="54">
        <v>0.41</v>
      </c>
      <c r="BL38" s="82">
        <v>0</v>
      </c>
      <c r="BM38" s="82">
        <v>0</v>
      </c>
      <c r="BN38" s="82">
        <v>0</v>
      </c>
      <c r="BO38" s="54">
        <v>0</v>
      </c>
      <c r="BP38" s="56">
        <v>48</v>
      </c>
      <c r="BQ38" s="56">
        <v>127</v>
      </c>
      <c r="BR38" s="56">
        <v>127</v>
      </c>
      <c r="BS38" s="56">
        <v>233</v>
      </c>
      <c r="BT38" s="56">
        <v>134</v>
      </c>
      <c r="BU38" s="56">
        <v>44</v>
      </c>
      <c r="BV38" s="56">
        <v>34</v>
      </c>
      <c r="BW38" s="56">
        <v>159</v>
      </c>
      <c r="BX38" s="56">
        <v>94</v>
      </c>
      <c r="BY38" s="56">
        <v>155</v>
      </c>
      <c r="BZ38" s="56">
        <v>143</v>
      </c>
      <c r="CA38" s="56">
        <v>62</v>
      </c>
      <c r="CB38" s="56">
        <v>161</v>
      </c>
      <c r="CC38" s="56">
        <v>367</v>
      </c>
      <c r="CD38" s="56">
        <v>338</v>
      </c>
      <c r="CE38" s="56">
        <v>149</v>
      </c>
      <c r="CF38" s="56">
        <v>127</v>
      </c>
      <c r="CG38" s="56">
        <v>121</v>
      </c>
      <c r="CH38" s="54">
        <v>3.1</v>
      </c>
      <c r="CI38" s="54">
        <v>2</v>
      </c>
      <c r="CJ38" s="54">
        <v>0</v>
      </c>
      <c r="CK38" s="51">
        <v>0.05</v>
      </c>
      <c r="CL38" s="54">
        <v>0</v>
      </c>
      <c r="CM38" s="54">
        <v>0</v>
      </c>
      <c r="CN38">
        <f t="shared" si="1148"/>
        <v>4.9000000000000004</v>
      </c>
      <c r="CO38">
        <f t="shared" si="1149"/>
        <v>20.6</v>
      </c>
      <c r="CP38">
        <f t="shared" si="1150"/>
        <v>0.31</v>
      </c>
      <c r="CQ38">
        <f t="shared" si="1151"/>
        <v>0</v>
      </c>
      <c r="CR38">
        <f t="shared" si="1152"/>
        <v>0.31</v>
      </c>
      <c r="CS38">
        <f t="shared" si="1153"/>
        <v>0.08</v>
      </c>
      <c r="CT38">
        <f t="shared" si="1154"/>
        <v>0</v>
      </c>
      <c r="CU38">
        <f t="shared" si="1155"/>
        <v>0.08</v>
      </c>
      <c r="CV38">
        <f t="shared" si="1156"/>
        <v>0</v>
      </c>
      <c r="CW38">
        <f t="shared" si="1157"/>
        <v>0.51</v>
      </c>
      <c r="CX38">
        <f t="shared" si="1158"/>
        <v>5.0000000000000001E-3</v>
      </c>
      <c r="CY38">
        <f t="shared" si="1159"/>
        <v>0.51</v>
      </c>
      <c r="CZ38">
        <f t="shared" si="1160"/>
        <v>0.52</v>
      </c>
      <c r="DA38">
        <f t="shared" si="1161"/>
        <v>0</v>
      </c>
      <c r="DB38">
        <f t="shared" si="1162"/>
        <v>8.8000000000000007</v>
      </c>
      <c r="DC38">
        <f t="shared" si="1163"/>
        <v>0.55000000000000004</v>
      </c>
      <c r="DD38">
        <f t="shared" si="1164"/>
        <v>25</v>
      </c>
      <c r="DE38">
        <f t="shared" si="1165"/>
        <v>0.9</v>
      </c>
      <c r="DF38">
        <f t="shared" si="1166"/>
        <v>30</v>
      </c>
      <c r="DG38">
        <f t="shared" si="1167"/>
        <v>3.7</v>
      </c>
      <c r="DH38">
        <f t="shared" si="1168"/>
        <v>7.0000000000000007E-2</v>
      </c>
      <c r="DI38">
        <f t="shared" si="1169"/>
        <v>1.1000000000000001</v>
      </c>
      <c r="DJ38">
        <f t="shared" si="1170"/>
        <v>3.7999999999999999E-2</v>
      </c>
      <c r="DK38">
        <f t="shared" si="1171"/>
        <v>0.04</v>
      </c>
      <c r="DL38">
        <f t="shared" si="1172"/>
        <v>15.6</v>
      </c>
      <c r="DM38">
        <f t="shared" si="1173"/>
        <v>0.34</v>
      </c>
      <c r="DN38">
        <f t="shared" si="1174"/>
        <v>0.192</v>
      </c>
      <c r="DO38">
        <f t="shared" si="1175"/>
        <v>5</v>
      </c>
      <c r="DP38">
        <f t="shared" si="1176"/>
        <v>8.0000000000000002E-3</v>
      </c>
      <c r="DQ38">
        <f t="shared" si="1177"/>
        <v>3.1E-2</v>
      </c>
      <c r="DR38">
        <f t="shared" si="1178"/>
        <v>2.6</v>
      </c>
      <c r="DS38">
        <f t="shared" si="1179"/>
        <v>0.11</v>
      </c>
      <c r="DT38">
        <f t="shared" si="1180"/>
        <v>1.7000000000000001E-2</v>
      </c>
      <c r="DU38">
        <f t="shared" si="1181"/>
        <v>8.5</v>
      </c>
      <c r="DV38">
        <f t="shared" si="1182"/>
        <v>3.2000000000000001E-2</v>
      </c>
      <c r="DW38">
        <f t="shared" si="1183"/>
        <v>0.04</v>
      </c>
      <c r="DX38">
        <f t="shared" si="1184"/>
        <v>0</v>
      </c>
      <c r="DY38">
        <f t="shared" si="1185"/>
        <v>65.8</v>
      </c>
      <c r="DZ38">
        <f t="shared" si="1186"/>
        <v>0</v>
      </c>
      <c r="EA38">
        <f t="shared" si="1187"/>
        <v>395</v>
      </c>
      <c r="EB38">
        <f t="shared" si="1188"/>
        <v>3.5000000000000003E-2</v>
      </c>
      <c r="EC38">
        <f t="shared" si="1189"/>
        <v>0</v>
      </c>
      <c r="ED38">
        <f t="shared" si="1190"/>
        <v>42.1</v>
      </c>
      <c r="EE38">
        <f t="shared" si="1191"/>
        <v>5.0000000000000001E-3</v>
      </c>
      <c r="EF38">
        <f t="shared" si="1192"/>
        <v>0</v>
      </c>
      <c r="EG38">
        <f t="shared" si="1193"/>
        <v>0</v>
      </c>
      <c r="EH38">
        <f t="shared" si="1194"/>
        <v>0</v>
      </c>
      <c r="EI38">
        <f t="shared" si="1195"/>
        <v>0</v>
      </c>
      <c r="EJ38">
        <f t="shared" si="1196"/>
        <v>0</v>
      </c>
      <c r="EK38">
        <f t="shared" si="1197"/>
        <v>0</v>
      </c>
      <c r="EL38">
        <f t="shared" si="1198"/>
        <v>0</v>
      </c>
      <c r="EM38">
        <f t="shared" si="1199"/>
        <v>1.2E-2</v>
      </c>
      <c r="EN38">
        <f t="shared" si="1200"/>
        <v>0</v>
      </c>
      <c r="EO38">
        <f t="shared" si="1201"/>
        <v>0</v>
      </c>
      <c r="EP38">
        <f t="shared" si="1202"/>
        <v>1.2E-2</v>
      </c>
      <c r="EQ38">
        <f t="shared" si="1203"/>
        <v>0</v>
      </c>
      <c r="ER38">
        <f t="shared" si="1204"/>
        <v>0</v>
      </c>
      <c r="ES38">
        <f t="shared" si="1205"/>
        <v>5.0999999999999997E-2</v>
      </c>
      <c r="ET38">
        <f t="shared" si="1206"/>
        <v>0.01</v>
      </c>
      <c r="EU38">
        <f t="shared" si="1207"/>
        <v>4.0999999999999995E-2</v>
      </c>
      <c r="EV38">
        <f t="shared" si="1208"/>
        <v>0</v>
      </c>
      <c r="EW38">
        <f t="shared" si="1209"/>
        <v>0</v>
      </c>
      <c r="EX38">
        <f t="shared" si="1210"/>
        <v>0</v>
      </c>
      <c r="EY38">
        <f t="shared" si="1211"/>
        <v>0</v>
      </c>
      <c r="EZ38">
        <f t="shared" si="1212"/>
        <v>4.8</v>
      </c>
      <c r="FA38">
        <f t="shared" si="1213"/>
        <v>12.7</v>
      </c>
      <c r="FB38">
        <f t="shared" si="1214"/>
        <v>12.7</v>
      </c>
      <c r="FC38">
        <f t="shared" si="1215"/>
        <v>23.3</v>
      </c>
      <c r="FD38">
        <f t="shared" si="1216"/>
        <v>13.4</v>
      </c>
      <c r="FE38">
        <f t="shared" si="1217"/>
        <v>4.4000000000000004</v>
      </c>
      <c r="FF38">
        <f t="shared" si="1218"/>
        <v>3.4</v>
      </c>
      <c r="FG38">
        <f t="shared" si="1219"/>
        <v>15.9</v>
      </c>
      <c r="FH38">
        <f t="shared" si="1220"/>
        <v>9.4</v>
      </c>
      <c r="FI38">
        <f t="shared" si="1221"/>
        <v>15.5</v>
      </c>
      <c r="FJ38">
        <f t="shared" si="1222"/>
        <v>14.3</v>
      </c>
      <c r="FK38">
        <f t="shared" si="1223"/>
        <v>6.2</v>
      </c>
      <c r="FL38">
        <f t="shared" si="1224"/>
        <v>16.100000000000001</v>
      </c>
      <c r="FM38">
        <f t="shared" si="1225"/>
        <v>36.700000000000003</v>
      </c>
      <c r="FN38">
        <f t="shared" si="1226"/>
        <v>33.799999999999997</v>
      </c>
      <c r="FO38">
        <f t="shared" si="1227"/>
        <v>14.9</v>
      </c>
      <c r="FP38">
        <f t="shared" si="1228"/>
        <v>12.7</v>
      </c>
      <c r="FQ38">
        <f t="shared" si="1229"/>
        <v>12.1</v>
      </c>
      <c r="FR38">
        <f t="shared" si="1230"/>
        <v>0.31</v>
      </c>
      <c r="FS38">
        <f t="shared" si="1231"/>
        <v>0.2</v>
      </c>
      <c r="FT38">
        <f t="shared" si="1232"/>
        <v>0</v>
      </c>
      <c r="FU38">
        <f t="shared" si="1233"/>
        <v>5.0000000000000001E-3</v>
      </c>
      <c r="FV38">
        <f t="shared" si="1234"/>
        <v>0</v>
      </c>
      <c r="FW38">
        <f t="shared" si="1235"/>
        <v>0</v>
      </c>
    </row>
    <row r="39" spans="1:179" x14ac:dyDescent="0.35">
      <c r="C39">
        <f>SUM(C34:C38)</f>
        <v>100</v>
      </c>
      <c r="CN39">
        <f>SUM(CN34:CN38)</f>
        <v>452.29999999999995</v>
      </c>
      <c r="CO39">
        <f t="shared" ref="CO39:EZ39" si="1236">SUM(CO34:CO38)</f>
        <v>1872.1</v>
      </c>
      <c r="CP39">
        <f t="shared" si="1236"/>
        <v>21.484999999999999</v>
      </c>
      <c r="CQ39">
        <f t="shared" si="1236"/>
        <v>14.75</v>
      </c>
      <c r="CR39">
        <f t="shared" si="1236"/>
        <v>6.7349999999999994</v>
      </c>
      <c r="CS39">
        <f t="shared" si="1236"/>
        <v>39.604999999999997</v>
      </c>
      <c r="CT39">
        <f t="shared" si="1236"/>
        <v>14.45</v>
      </c>
      <c r="CU39">
        <f t="shared" si="1236"/>
        <v>25.155000000000001</v>
      </c>
      <c r="CV39">
        <f t="shared" si="1236"/>
        <v>52</v>
      </c>
      <c r="CW39">
        <f t="shared" si="1236"/>
        <v>1.83</v>
      </c>
      <c r="CX39">
        <f t="shared" si="1236"/>
        <v>2.5000000000000001E-2</v>
      </c>
      <c r="CY39">
        <f t="shared" si="1236"/>
        <v>1.81</v>
      </c>
      <c r="CZ39">
        <f t="shared" si="1236"/>
        <v>1.5350000000000001</v>
      </c>
      <c r="DA39">
        <f t="shared" si="1236"/>
        <v>0</v>
      </c>
      <c r="DB39">
        <f t="shared" si="1236"/>
        <v>27.66</v>
      </c>
      <c r="DC39">
        <f t="shared" si="1236"/>
        <v>1.9550000000000001</v>
      </c>
      <c r="DD39">
        <f t="shared" si="1236"/>
        <v>495.2</v>
      </c>
      <c r="DE39">
        <f t="shared" si="1236"/>
        <v>946.27500000000009</v>
      </c>
      <c r="DF39">
        <f t="shared" si="1236"/>
        <v>250.42499999999998</v>
      </c>
      <c r="DG39">
        <f t="shared" si="1236"/>
        <v>437.54999999999995</v>
      </c>
      <c r="DH39">
        <f t="shared" si="1236"/>
        <v>3.1487499999999997</v>
      </c>
      <c r="DI39">
        <f t="shared" si="1236"/>
        <v>75.174999999999997</v>
      </c>
      <c r="DJ39">
        <f t="shared" si="1236"/>
        <v>0.8085</v>
      </c>
      <c r="DK39">
        <f t="shared" si="1236"/>
        <v>3.3374999999999999</v>
      </c>
      <c r="DL39">
        <f t="shared" si="1236"/>
        <v>1198.875</v>
      </c>
      <c r="DM39">
        <f t="shared" si="1236"/>
        <v>20.314999999999998</v>
      </c>
      <c r="DN39">
        <f t="shared" si="1236"/>
        <v>1.7827500000000001</v>
      </c>
      <c r="DO39">
        <f t="shared" si="1236"/>
        <v>150.07499999999999</v>
      </c>
      <c r="DP39">
        <f t="shared" si="1236"/>
        <v>0.10800000000000001</v>
      </c>
      <c r="DQ39">
        <f t="shared" si="1236"/>
        <v>0.31699999999999995</v>
      </c>
      <c r="DR39">
        <f t="shared" si="1236"/>
        <v>2.85</v>
      </c>
      <c r="DS39">
        <f t="shared" si="1236"/>
        <v>0.81500000000000006</v>
      </c>
      <c r="DT39">
        <f t="shared" si="1236"/>
        <v>9.1249999999999998E-2</v>
      </c>
      <c r="DU39">
        <f t="shared" si="1236"/>
        <v>19.024999999999999</v>
      </c>
      <c r="DV39">
        <f t="shared" si="1236"/>
        <v>0.30474999999999997</v>
      </c>
      <c r="DW39">
        <f t="shared" si="1236"/>
        <v>14.047499999999999</v>
      </c>
      <c r="DX39">
        <f t="shared" si="1236"/>
        <v>0.55000000000000004</v>
      </c>
      <c r="DY39">
        <f t="shared" si="1236"/>
        <v>360.25</v>
      </c>
      <c r="DZ39">
        <f t="shared" si="1236"/>
        <v>286.5</v>
      </c>
      <c r="EA39">
        <f t="shared" si="1236"/>
        <v>441.7</v>
      </c>
      <c r="EB39">
        <f t="shared" si="1236"/>
        <v>6.3285</v>
      </c>
      <c r="EC39">
        <f t="shared" si="1236"/>
        <v>0.25</v>
      </c>
      <c r="ED39">
        <f t="shared" si="1236"/>
        <v>62.605000000000004</v>
      </c>
      <c r="EE39">
        <f t="shared" si="1236"/>
        <v>11.572300000000002</v>
      </c>
      <c r="EF39">
        <f t="shared" si="1236"/>
        <v>1.421</v>
      </c>
      <c r="EG39">
        <f t="shared" si="1236"/>
        <v>0.48849999999999999</v>
      </c>
      <c r="EH39">
        <f t="shared" si="1236"/>
        <v>1.5385</v>
      </c>
      <c r="EI39">
        <f t="shared" si="1236"/>
        <v>5.7496</v>
      </c>
      <c r="EJ39">
        <f t="shared" si="1236"/>
        <v>1.8795999999999999</v>
      </c>
      <c r="EK39">
        <f t="shared" si="1236"/>
        <v>0.14760000000000001</v>
      </c>
      <c r="EL39">
        <f t="shared" si="1236"/>
        <v>0.01</v>
      </c>
      <c r="EM39">
        <f t="shared" si="1236"/>
        <v>17.6875</v>
      </c>
      <c r="EN39">
        <f t="shared" si="1236"/>
        <v>0.24600000000000002</v>
      </c>
      <c r="EO39">
        <f t="shared" si="1236"/>
        <v>0.3291</v>
      </c>
      <c r="EP39">
        <f t="shared" si="1236"/>
        <v>16.9513</v>
      </c>
      <c r="EQ39">
        <f t="shared" si="1236"/>
        <v>0.1613</v>
      </c>
      <c r="ER39">
        <f t="shared" si="1236"/>
        <v>0</v>
      </c>
      <c r="ES39">
        <f t="shared" si="1236"/>
        <v>6.5077000000000007</v>
      </c>
      <c r="ET39">
        <f t="shared" si="1236"/>
        <v>6.0637999999999996</v>
      </c>
      <c r="EU39">
        <f t="shared" si="1236"/>
        <v>0.33269999999999994</v>
      </c>
      <c r="EV39">
        <f t="shared" si="1236"/>
        <v>0</v>
      </c>
      <c r="EW39">
        <f t="shared" si="1236"/>
        <v>0</v>
      </c>
      <c r="EX39">
        <f t="shared" si="1236"/>
        <v>0</v>
      </c>
      <c r="EY39">
        <f t="shared" si="1236"/>
        <v>0.11250000000000002</v>
      </c>
      <c r="EZ39">
        <f t="shared" si="1236"/>
        <v>251.25</v>
      </c>
      <c r="FA39">
        <f t="shared" ref="FA39:FW39" si="1237">SUM(FA34:FA38)</f>
        <v>681.1</v>
      </c>
      <c r="FB39">
        <f t="shared" si="1237"/>
        <v>990.95</v>
      </c>
      <c r="FC39">
        <f t="shared" si="1237"/>
        <v>1944.7</v>
      </c>
      <c r="FD39">
        <f t="shared" si="1237"/>
        <v>1323.65</v>
      </c>
      <c r="FE39">
        <f t="shared" si="1237"/>
        <v>600.65</v>
      </c>
      <c r="FF39">
        <f t="shared" si="1237"/>
        <v>267.24999999999994</v>
      </c>
      <c r="FG39">
        <f t="shared" si="1237"/>
        <v>964.99999999999989</v>
      </c>
      <c r="FH39">
        <f t="shared" si="1237"/>
        <v>1053.8500000000001</v>
      </c>
      <c r="FI39">
        <f t="shared" si="1237"/>
        <v>1388.35</v>
      </c>
      <c r="FJ39">
        <f t="shared" si="1237"/>
        <v>1653.1</v>
      </c>
      <c r="FK39">
        <f t="shared" si="1237"/>
        <v>500.4</v>
      </c>
      <c r="FL39">
        <f t="shared" si="1237"/>
        <v>743.35</v>
      </c>
      <c r="FM39">
        <f t="shared" si="1237"/>
        <v>1602.65</v>
      </c>
      <c r="FN39">
        <f t="shared" si="1237"/>
        <v>4289.5</v>
      </c>
      <c r="FO39">
        <f t="shared" si="1237"/>
        <v>578.19999999999993</v>
      </c>
      <c r="FP39">
        <f t="shared" si="1237"/>
        <v>2075.5999999999995</v>
      </c>
      <c r="FQ39">
        <f t="shared" si="1237"/>
        <v>1081.6499999999999</v>
      </c>
      <c r="FR39">
        <f t="shared" si="1237"/>
        <v>0.33</v>
      </c>
      <c r="FS39">
        <f t="shared" si="1237"/>
        <v>0.22</v>
      </c>
      <c r="FT39">
        <f t="shared" si="1237"/>
        <v>2.5000000000000001E-2</v>
      </c>
      <c r="FU39">
        <f t="shared" si="1237"/>
        <v>0.745</v>
      </c>
      <c r="FV39">
        <f t="shared" si="1237"/>
        <v>0</v>
      </c>
      <c r="FW39">
        <f t="shared" si="1237"/>
        <v>0.1</v>
      </c>
    </row>
    <row r="41" spans="1:179" x14ac:dyDescent="0.35">
      <c r="A41" s="80" t="s">
        <v>235</v>
      </c>
      <c r="B41" s="72" t="s">
        <v>239</v>
      </c>
      <c r="C41">
        <v>19</v>
      </c>
      <c r="D41" s="6">
        <v>568</v>
      </c>
      <c r="E41" s="6">
        <v>2356</v>
      </c>
      <c r="F41" s="6">
        <v>7.8</v>
      </c>
      <c r="G41" s="6">
        <v>0</v>
      </c>
      <c r="H41" s="6">
        <v>7.8</v>
      </c>
      <c r="I41" s="6">
        <v>42.6</v>
      </c>
      <c r="J41" s="6">
        <v>0</v>
      </c>
      <c r="K41" s="6">
        <v>42.6</v>
      </c>
      <c r="L41" s="6">
        <v>0</v>
      </c>
      <c r="M41" s="6">
        <v>35</v>
      </c>
      <c r="N41" s="6">
        <v>11</v>
      </c>
      <c r="O41" s="6">
        <v>24</v>
      </c>
      <c r="P41" s="6">
        <v>10.9</v>
      </c>
      <c r="Q41" s="6">
        <v>0</v>
      </c>
      <c r="R41" s="6">
        <v>1.4</v>
      </c>
      <c r="S41" s="6">
        <v>11.9</v>
      </c>
      <c r="T41" s="6">
        <v>73</v>
      </c>
      <c r="U41" s="6">
        <v>20</v>
      </c>
      <c r="V41" s="6">
        <v>715</v>
      </c>
      <c r="W41" s="6">
        <v>308</v>
      </c>
      <c r="X41" s="6">
        <v>3.31</v>
      </c>
      <c r="Y41" s="6">
        <v>228</v>
      </c>
      <c r="Z41" s="6">
        <v>1.77</v>
      </c>
      <c r="AA41" s="6">
        <v>6.8</v>
      </c>
      <c r="AB41" s="6">
        <v>25</v>
      </c>
      <c r="AC41" s="6">
        <v>10</v>
      </c>
      <c r="AD41" s="6">
        <v>1.95</v>
      </c>
      <c r="AE41" s="6">
        <v>58</v>
      </c>
      <c r="AF41" s="6">
        <v>0.03</v>
      </c>
      <c r="AG41" s="6">
        <v>0.08</v>
      </c>
      <c r="AH41" s="6">
        <v>0</v>
      </c>
      <c r="AI41" s="6">
        <v>1.05</v>
      </c>
      <c r="AJ41" s="6">
        <v>0.04</v>
      </c>
      <c r="AK41" s="6">
        <v>13</v>
      </c>
      <c r="AL41" s="6">
        <v>0.42</v>
      </c>
      <c r="AM41" s="6">
        <v>5</v>
      </c>
      <c r="AN41" s="6">
        <v>0</v>
      </c>
      <c r="AO41" s="6">
        <v>3</v>
      </c>
      <c r="AP41" s="6">
        <v>0</v>
      </c>
      <c r="AQ41" s="6">
        <v>19</v>
      </c>
      <c r="AR41" s="6">
        <v>0.59</v>
      </c>
      <c r="AS41" s="6">
        <v>0</v>
      </c>
      <c r="AT41" s="6">
        <v>7.3</v>
      </c>
      <c r="AU41" s="6">
        <v>24.5</v>
      </c>
      <c r="AV41" s="6">
        <v>0.08</v>
      </c>
      <c r="AW41" s="6">
        <v>0.02</v>
      </c>
      <c r="AX41" s="6">
        <v>0.08</v>
      </c>
      <c r="AY41" s="6">
        <v>10.1</v>
      </c>
      <c r="AZ41" s="6">
        <v>13.6</v>
      </c>
      <c r="BA41" s="6">
        <v>0.41</v>
      </c>
      <c r="BB41" s="6">
        <v>7.0000000000000007E-2</v>
      </c>
      <c r="BC41" s="6">
        <v>12.8</v>
      </c>
      <c r="BD41" s="51">
        <v>5.0000000000000001E-3</v>
      </c>
      <c r="BE41" s="6">
        <v>0.11</v>
      </c>
      <c r="BF41" s="6">
        <v>12.7</v>
      </c>
      <c r="BG41" s="6">
        <v>0.02</v>
      </c>
      <c r="BH41" s="6">
        <v>0</v>
      </c>
      <c r="BI41" s="6">
        <v>1.26</v>
      </c>
      <c r="BJ41" s="6">
        <v>1.22</v>
      </c>
      <c r="BK41" s="6">
        <v>0.03</v>
      </c>
      <c r="BL41" s="51">
        <v>5.0000000000000001E-3</v>
      </c>
      <c r="BM41" s="6">
        <v>0</v>
      </c>
      <c r="BN41" s="6">
        <v>0</v>
      </c>
      <c r="BO41" s="6">
        <v>0</v>
      </c>
      <c r="BP41" s="7">
        <v>96.139534883720899</v>
      </c>
      <c r="BQ41" s="7">
        <v>299.302325581395</v>
      </c>
      <c r="BR41" s="7">
        <v>315.62790697674399</v>
      </c>
      <c r="BS41" s="7">
        <v>480.697674418605</v>
      </c>
      <c r="BT41" s="7">
        <v>415.39534883720899</v>
      </c>
      <c r="BU41" s="7">
        <v>88.883720930232599</v>
      </c>
      <c r="BV41" s="7">
        <v>79.813953488372107</v>
      </c>
      <c r="BW41" s="7">
        <v>364.60465116279101</v>
      </c>
      <c r="BX41" s="7">
        <v>134.232558139535</v>
      </c>
      <c r="BY41" s="7">
        <v>480.697674418605</v>
      </c>
      <c r="BZ41" s="7">
        <v>415.39534883720899</v>
      </c>
      <c r="CA41" s="7">
        <v>134.232558139535</v>
      </c>
      <c r="CB41" s="7">
        <v>464.37209302325601</v>
      </c>
      <c r="CC41" s="7">
        <v>747.34883720930202</v>
      </c>
      <c r="CD41" s="7">
        <v>1244.37209302326</v>
      </c>
      <c r="CE41" s="7">
        <v>331.95348837209298</v>
      </c>
      <c r="CF41" s="7">
        <v>431.72093023255798</v>
      </c>
      <c r="CG41" s="7">
        <v>415.39534883720899</v>
      </c>
      <c r="CH41" s="6">
        <v>0</v>
      </c>
      <c r="CI41" s="6">
        <v>0</v>
      </c>
      <c r="CJ41" s="6">
        <v>0</v>
      </c>
      <c r="CK41" s="6">
        <v>24</v>
      </c>
      <c r="CL41" s="6">
        <v>0</v>
      </c>
      <c r="CM41" s="6">
        <v>0</v>
      </c>
      <c r="CN41">
        <f t="shared" ref="CN41:CN48" si="1238">($C41*D41)/100</f>
        <v>107.92</v>
      </c>
      <c r="CO41">
        <f t="shared" ref="CO41:CO48" si="1239">($C41*E41)/100</f>
        <v>447.64</v>
      </c>
      <c r="CP41">
        <f t="shared" ref="CP41:CP48" si="1240">($C41*F41)/100</f>
        <v>1.482</v>
      </c>
      <c r="CQ41">
        <f t="shared" ref="CQ41:CQ48" si="1241">($C41*G41)/100</f>
        <v>0</v>
      </c>
      <c r="CR41">
        <f t="shared" ref="CR41:CR48" si="1242">($C41*H41)/100</f>
        <v>1.482</v>
      </c>
      <c r="CS41">
        <f t="shared" ref="CS41:CS48" si="1243">($C41*I41)/100</f>
        <v>8.0939999999999994</v>
      </c>
      <c r="CT41">
        <f t="shared" ref="CT41:CT48" si="1244">($C41*J41)/100</f>
        <v>0</v>
      </c>
      <c r="CU41">
        <f t="shared" ref="CU41:CU48" si="1245">($C41*K41)/100</f>
        <v>8.0939999999999994</v>
      </c>
      <c r="CV41">
        <f t="shared" ref="CV41:CV48" si="1246">($C41*L41)/100</f>
        <v>0</v>
      </c>
      <c r="CW41">
        <f t="shared" ref="CW41:CW48" si="1247">($C41*M41)/100</f>
        <v>6.65</v>
      </c>
      <c r="CX41">
        <f t="shared" ref="CX41:CX48" si="1248">($C41*N41)/100</f>
        <v>2.09</v>
      </c>
      <c r="CY41">
        <f t="shared" ref="CY41:CY48" si="1249">($C41*O41)/100</f>
        <v>4.5599999999999996</v>
      </c>
      <c r="CZ41">
        <f t="shared" ref="CZ41:CZ48" si="1250">($C41*P41)/100</f>
        <v>2.0709999999999997</v>
      </c>
      <c r="DA41">
        <f t="shared" ref="DA41:DA48" si="1251">($C41*Q41)/100</f>
        <v>0</v>
      </c>
      <c r="DB41">
        <f t="shared" ref="DB41:DB48" si="1252">($C41*R41)/100</f>
        <v>0.26599999999999996</v>
      </c>
      <c r="DC41">
        <f t="shared" ref="DC41:DC48" si="1253">($C41*S41)/100</f>
        <v>2.2610000000000001</v>
      </c>
      <c r="DD41">
        <f t="shared" ref="DD41:DD48" si="1254">($C41*T41)/100</f>
        <v>13.87</v>
      </c>
      <c r="DE41">
        <f t="shared" ref="DE41:DE48" si="1255">($C41*U41)/100</f>
        <v>3.8</v>
      </c>
      <c r="DF41">
        <f t="shared" ref="DF41:DF48" si="1256">($C41*V41)/100</f>
        <v>135.85</v>
      </c>
      <c r="DG41">
        <f t="shared" ref="DG41:DG48" si="1257">($C41*W41)/100</f>
        <v>58.52</v>
      </c>
      <c r="DH41">
        <f t="shared" ref="DH41:DH48" si="1258">($C41*X41)/100</f>
        <v>0.62890000000000001</v>
      </c>
      <c r="DI41">
        <f t="shared" ref="DI41:DI48" si="1259">($C41*Y41)/100</f>
        <v>43.32</v>
      </c>
      <c r="DJ41">
        <f t="shared" ref="DJ41:DJ48" si="1260">($C41*Z41)/100</f>
        <v>0.33630000000000004</v>
      </c>
      <c r="DK41">
        <f t="shared" ref="DK41:DK48" si="1261">($C41*AA41)/100</f>
        <v>1.2919999999999998</v>
      </c>
      <c r="DL41">
        <f t="shared" ref="DL41:DL48" si="1262">($C41*AB41)/100</f>
        <v>4.75</v>
      </c>
      <c r="DM41">
        <f t="shared" ref="DM41:DM48" si="1263">($C41*AC41)/100</f>
        <v>1.9</v>
      </c>
      <c r="DN41">
        <f t="shared" ref="DN41:DN48" si="1264">($C41*AD41)/100</f>
        <v>0.3705</v>
      </c>
      <c r="DO41">
        <f t="shared" ref="DO41:DO48" si="1265">($C41*AE41)/100</f>
        <v>11.02</v>
      </c>
      <c r="DP41">
        <f t="shared" ref="DP41:DP48" si="1266">($C41*AF41)/100</f>
        <v>5.6999999999999993E-3</v>
      </c>
      <c r="DQ41">
        <f t="shared" ref="DQ41:DQ48" si="1267">($C41*AG41)/100</f>
        <v>1.52E-2</v>
      </c>
      <c r="DR41">
        <f t="shared" ref="DR41:DR48" si="1268">($C41*AH41)/100</f>
        <v>0</v>
      </c>
      <c r="DS41">
        <f t="shared" ref="DS41:DS48" si="1269">($C41*AI41)/100</f>
        <v>0.19949999999999998</v>
      </c>
      <c r="DT41">
        <f t="shared" ref="DT41:DT48" si="1270">($C41*AJ41)/100</f>
        <v>7.6E-3</v>
      </c>
      <c r="DU41">
        <f t="shared" ref="DU41:DU48" si="1271">($C41*AK41)/100</f>
        <v>2.4700000000000002</v>
      </c>
      <c r="DV41">
        <f t="shared" ref="DV41:DV48" si="1272">($C41*AL41)/100</f>
        <v>7.9799999999999996E-2</v>
      </c>
      <c r="DW41">
        <f t="shared" ref="DW41:DW48" si="1273">($C41*AM41)/100</f>
        <v>0.95</v>
      </c>
      <c r="DX41">
        <f t="shared" ref="DX41:DX48" si="1274">($C41*AN41)/100</f>
        <v>0</v>
      </c>
      <c r="DY41">
        <f t="shared" ref="DY41:DY48" si="1275">($C41*AO41)/100</f>
        <v>0.56999999999999995</v>
      </c>
      <c r="DZ41">
        <f t="shared" ref="DZ41:DZ48" si="1276">($C41*AP41)/100</f>
        <v>0</v>
      </c>
      <c r="EA41">
        <f t="shared" ref="EA41:EA48" si="1277">($C41*AQ41)/100</f>
        <v>3.61</v>
      </c>
      <c r="EB41">
        <f t="shared" ref="EB41:EB48" si="1278">($C41*AR41)/100</f>
        <v>0.11209999999999999</v>
      </c>
      <c r="EC41">
        <f t="shared" ref="EC41:EC48" si="1279">($C41*AS41)/100</f>
        <v>0</v>
      </c>
      <c r="ED41">
        <f t="shared" ref="ED41:ED48" si="1280">($C41*AT41)/100</f>
        <v>1.3869999999999998</v>
      </c>
      <c r="EE41">
        <f t="shared" ref="EE41:EE48" si="1281">($C41*AU41)/100</f>
        <v>4.6550000000000002</v>
      </c>
      <c r="EF41">
        <f t="shared" ref="EF41:EF48" si="1282">($C41*AV41)/100</f>
        <v>1.52E-2</v>
      </c>
      <c r="EG41">
        <f t="shared" ref="EG41:EG48" si="1283">($C41*AW41)/100</f>
        <v>3.8E-3</v>
      </c>
      <c r="EH41">
        <f t="shared" ref="EH41:EH48" si="1284">($C41*AX41)/100</f>
        <v>1.52E-2</v>
      </c>
      <c r="EI41">
        <f t="shared" ref="EI41:EI48" si="1285">($C41*AY41)/100</f>
        <v>1.919</v>
      </c>
      <c r="EJ41">
        <f t="shared" ref="EJ41:EJ48" si="1286">($C41*AZ41)/100</f>
        <v>2.5839999999999996</v>
      </c>
      <c r="EK41">
        <f t="shared" ref="EK41:EK48" si="1287">($C41*BA41)/100</f>
        <v>7.7899999999999997E-2</v>
      </c>
      <c r="EL41">
        <f t="shared" ref="EL41:EL48" si="1288">($C41*BB41)/100</f>
        <v>1.3300000000000001E-2</v>
      </c>
      <c r="EM41">
        <f t="shared" ref="EM41:EM48" si="1289">($C41*BC41)/100</f>
        <v>2.4320000000000004</v>
      </c>
      <c r="EN41">
        <f t="shared" ref="EN41:EN48" si="1290">($C41*BD41)/100</f>
        <v>9.5E-4</v>
      </c>
      <c r="EO41">
        <f t="shared" ref="EO41:EO48" si="1291">($C41*BE41)/100</f>
        <v>2.0899999999999998E-2</v>
      </c>
      <c r="EP41">
        <f t="shared" ref="EP41:EP48" si="1292">($C41*BF41)/100</f>
        <v>2.4129999999999998</v>
      </c>
      <c r="EQ41">
        <f t="shared" ref="EQ41:EQ48" si="1293">($C41*BG41)/100</f>
        <v>3.8E-3</v>
      </c>
      <c r="ER41">
        <f t="shared" ref="ER41:ER48" si="1294">($C41*BH41)/100</f>
        <v>0</v>
      </c>
      <c r="ES41">
        <f t="shared" ref="ES41:ES48" si="1295">($C41*BI41)/100</f>
        <v>0.2394</v>
      </c>
      <c r="ET41">
        <f t="shared" ref="ET41:ET48" si="1296">($C41*BJ41)/100</f>
        <v>0.23180000000000001</v>
      </c>
      <c r="EU41">
        <f t="shared" ref="EU41:EU48" si="1297">($C41*BK41)/100</f>
        <v>5.6999999999999993E-3</v>
      </c>
      <c r="EV41">
        <f t="shared" ref="EV41:EV48" si="1298">($C41*BL41)/100</f>
        <v>9.5E-4</v>
      </c>
      <c r="EW41">
        <f t="shared" ref="EW41:EW48" si="1299">($C41*BM41)/100</f>
        <v>0</v>
      </c>
      <c r="EX41">
        <f t="shared" ref="EX41:EX48" si="1300">($C41*BN41)/100</f>
        <v>0</v>
      </c>
      <c r="EY41">
        <f t="shared" ref="EY41:EY48" si="1301">($C41*BO41)/100</f>
        <v>0</v>
      </c>
      <c r="EZ41">
        <f t="shared" ref="EZ41:EZ48" si="1302">($C41*BP41)/100</f>
        <v>18.266511627906972</v>
      </c>
      <c r="FA41">
        <f t="shared" ref="FA41:FA48" si="1303">($C41*BQ41)/100</f>
        <v>56.86744186046505</v>
      </c>
      <c r="FB41">
        <f t="shared" ref="FB41:FB48" si="1304">($C41*BR41)/100</f>
        <v>59.96930232558136</v>
      </c>
      <c r="FC41">
        <f t="shared" ref="FC41:FC48" si="1305">($C41*BS41)/100</f>
        <v>91.332558139534953</v>
      </c>
      <c r="FD41">
        <f t="shared" ref="FD41:FD48" si="1306">($C41*BT41)/100</f>
        <v>78.925116279069712</v>
      </c>
      <c r="FE41">
        <f t="shared" ref="FE41:FE48" si="1307">($C41*BU41)/100</f>
        <v>16.887906976744194</v>
      </c>
      <c r="FF41">
        <f t="shared" ref="FF41:FF48" si="1308">($C41*BV41)/100</f>
        <v>15.164651162790701</v>
      </c>
      <c r="FG41">
        <f t="shared" ref="FG41:FG48" si="1309">($C41*BW41)/100</f>
        <v>69.274883720930291</v>
      </c>
      <c r="FH41">
        <f t="shared" ref="FH41:FH48" si="1310">($C41*BX41)/100</f>
        <v>25.504186046511649</v>
      </c>
      <c r="FI41">
        <f t="shared" ref="FI41:FI48" si="1311">($C41*BY41)/100</f>
        <v>91.332558139534953</v>
      </c>
      <c r="FJ41">
        <f t="shared" ref="FJ41:FJ48" si="1312">($C41*BZ41)/100</f>
        <v>78.925116279069712</v>
      </c>
      <c r="FK41">
        <f t="shared" ref="FK41:FK48" si="1313">($C41*CA41)/100</f>
        <v>25.504186046511649</v>
      </c>
      <c r="FL41">
        <f t="shared" ref="FL41:FL48" si="1314">($C41*CB41)/100</f>
        <v>88.23069767441865</v>
      </c>
      <c r="FM41">
        <f t="shared" ref="FM41:FM48" si="1315">($C41*CC41)/100</f>
        <v>141.99627906976738</v>
      </c>
      <c r="FN41">
        <f t="shared" ref="FN41:FN48" si="1316">($C41*CD41)/100</f>
        <v>236.43069767441943</v>
      </c>
      <c r="FO41">
        <f t="shared" ref="FO41:FO48" si="1317">($C41*CE41)/100</f>
        <v>63.071162790697663</v>
      </c>
      <c r="FP41">
        <f t="shared" ref="FP41:FP48" si="1318">($C41*CF41)/100</f>
        <v>82.026976744186015</v>
      </c>
      <c r="FQ41">
        <f t="shared" ref="FQ41:FQ48" si="1319">($C41*CG41)/100</f>
        <v>78.925116279069712</v>
      </c>
      <c r="FR41">
        <f t="shared" ref="FR41:FR48" si="1320">($C41*CH41)/100</f>
        <v>0</v>
      </c>
      <c r="FS41">
        <f t="shared" ref="FS41:FS48" si="1321">($C41*CI41)/100</f>
        <v>0</v>
      </c>
      <c r="FT41">
        <f t="shared" ref="FT41:FT48" si="1322">($C41*CJ41)/100</f>
        <v>0</v>
      </c>
      <c r="FU41">
        <f t="shared" ref="FU41:FU48" si="1323">($C41*CK41)/100</f>
        <v>4.5599999999999996</v>
      </c>
      <c r="FV41">
        <f t="shared" ref="FV41:FV48" si="1324">($C41*CL41)/100</f>
        <v>0</v>
      </c>
      <c r="FW41">
        <f t="shared" ref="FW41:FW48" si="1325">($C41*CM41)/100</f>
        <v>0</v>
      </c>
    </row>
    <row r="42" spans="1:179" x14ac:dyDescent="0.35">
      <c r="B42" s="71" t="s">
        <v>238</v>
      </c>
      <c r="C42">
        <v>23</v>
      </c>
      <c r="D42" s="6">
        <v>758</v>
      </c>
      <c r="E42" s="6">
        <v>3117</v>
      </c>
      <c r="F42" s="6">
        <v>0.8</v>
      </c>
      <c r="G42" s="6">
        <v>0.8</v>
      </c>
      <c r="H42" s="6">
        <v>0</v>
      </c>
      <c r="I42" s="6">
        <v>83.4</v>
      </c>
      <c r="J42" s="6">
        <v>83.4</v>
      </c>
      <c r="K42" s="6">
        <v>0</v>
      </c>
      <c r="L42" s="6">
        <v>250</v>
      </c>
      <c r="M42" s="6">
        <v>1.1000000000000001</v>
      </c>
      <c r="N42" s="6">
        <v>0</v>
      </c>
      <c r="O42" s="6">
        <v>1.1000000000000001</v>
      </c>
      <c r="P42" s="6">
        <v>0</v>
      </c>
      <c r="Q42" s="6">
        <v>0</v>
      </c>
      <c r="R42" s="6">
        <v>14.1</v>
      </c>
      <c r="S42" s="6">
        <v>0</v>
      </c>
      <c r="T42" s="6">
        <v>25</v>
      </c>
      <c r="U42" s="6">
        <v>7</v>
      </c>
      <c r="V42" s="6">
        <v>15</v>
      </c>
      <c r="W42" s="6">
        <v>16</v>
      </c>
      <c r="X42" s="6">
        <v>0.6</v>
      </c>
      <c r="Y42" s="6">
        <v>2</v>
      </c>
      <c r="Z42" s="6">
        <v>0.05</v>
      </c>
      <c r="AA42" s="51">
        <v>0.05</v>
      </c>
      <c r="AB42" s="6">
        <v>17</v>
      </c>
      <c r="AC42" s="6">
        <v>38</v>
      </c>
      <c r="AD42" s="51">
        <v>5.0000000000000001E-3</v>
      </c>
      <c r="AE42" s="6">
        <v>8</v>
      </c>
      <c r="AF42" s="51">
        <v>5.0000000000000001E-3</v>
      </c>
      <c r="AG42" s="6">
        <v>0.02</v>
      </c>
      <c r="AH42" s="6">
        <v>0</v>
      </c>
      <c r="AI42" s="51">
        <v>5.0000000000000001E-3</v>
      </c>
      <c r="AJ42" s="51">
        <v>5.0000000000000001E-3</v>
      </c>
      <c r="AK42" s="51">
        <v>0.5</v>
      </c>
      <c r="AL42" s="6">
        <v>0.04</v>
      </c>
      <c r="AM42" s="51">
        <v>0.05</v>
      </c>
      <c r="AN42" s="51">
        <v>0.05</v>
      </c>
      <c r="AO42" s="6">
        <v>930</v>
      </c>
      <c r="AP42" s="6">
        <v>906</v>
      </c>
      <c r="AQ42" s="6">
        <v>146</v>
      </c>
      <c r="AR42" s="6">
        <v>2.4</v>
      </c>
      <c r="AS42" s="6">
        <v>0.8</v>
      </c>
      <c r="AT42" s="6">
        <v>7.4</v>
      </c>
      <c r="AU42" s="6">
        <v>48.78</v>
      </c>
      <c r="AV42" s="6">
        <v>7.82</v>
      </c>
      <c r="AW42" s="6">
        <v>2.39</v>
      </c>
      <c r="AX42" s="6">
        <v>8.31</v>
      </c>
      <c r="AY42" s="6">
        <v>20.86</v>
      </c>
      <c r="AZ42" s="6">
        <v>9.4</v>
      </c>
      <c r="BA42" s="6">
        <v>0</v>
      </c>
      <c r="BB42" s="6">
        <v>0</v>
      </c>
      <c r="BC42" s="6">
        <v>23.72</v>
      </c>
      <c r="BD42" s="6">
        <v>1.1399999999999999</v>
      </c>
      <c r="BE42" s="6">
        <v>1.9</v>
      </c>
      <c r="BF42" s="6">
        <v>20.68</v>
      </c>
      <c r="BG42" s="6">
        <v>0</v>
      </c>
      <c r="BH42" s="6">
        <v>0</v>
      </c>
      <c r="BI42" s="6">
        <v>2.75</v>
      </c>
      <c r="BJ42" s="6">
        <v>1.57</v>
      </c>
      <c r="BK42" s="6">
        <v>1.18</v>
      </c>
      <c r="BL42" s="6">
        <v>0</v>
      </c>
      <c r="BM42" s="6">
        <v>0</v>
      </c>
      <c r="BN42" s="6">
        <v>0</v>
      </c>
      <c r="BO42" s="6">
        <v>0</v>
      </c>
      <c r="BP42" s="7">
        <v>12</v>
      </c>
      <c r="BQ42" s="7">
        <v>40</v>
      </c>
      <c r="BR42" s="7">
        <v>47</v>
      </c>
      <c r="BS42" s="7">
        <v>86</v>
      </c>
      <c r="BT42" s="7">
        <v>66</v>
      </c>
      <c r="BU42" s="7">
        <v>20</v>
      </c>
      <c r="BV42" s="7">
        <v>9</v>
      </c>
      <c r="BW42" s="7">
        <v>43</v>
      </c>
      <c r="BX42" s="7">
        <v>34</v>
      </c>
      <c r="BY42" s="7">
        <v>56</v>
      </c>
      <c r="BZ42" s="7">
        <v>25</v>
      </c>
      <c r="CA42" s="7">
        <v>23</v>
      </c>
      <c r="CB42" s="7">
        <v>29</v>
      </c>
      <c r="CC42" s="7">
        <v>65</v>
      </c>
      <c r="CD42" s="7">
        <v>187</v>
      </c>
      <c r="CE42" s="7">
        <v>17</v>
      </c>
      <c r="CF42" s="7">
        <v>90</v>
      </c>
      <c r="CG42" s="7">
        <v>49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1.1000000000000001</v>
      </c>
      <c r="CN42">
        <f t="shared" si="1238"/>
        <v>174.34</v>
      </c>
      <c r="CO42">
        <f t="shared" si="1239"/>
        <v>716.91</v>
      </c>
      <c r="CP42">
        <f t="shared" si="1240"/>
        <v>0.18400000000000002</v>
      </c>
      <c r="CQ42">
        <f t="shared" si="1241"/>
        <v>0.18400000000000002</v>
      </c>
      <c r="CR42">
        <f t="shared" si="1242"/>
        <v>0</v>
      </c>
      <c r="CS42">
        <f t="shared" si="1243"/>
        <v>19.182000000000002</v>
      </c>
      <c r="CT42">
        <f t="shared" si="1244"/>
        <v>19.182000000000002</v>
      </c>
      <c r="CU42">
        <f t="shared" si="1245"/>
        <v>0</v>
      </c>
      <c r="CV42">
        <f t="shared" si="1246"/>
        <v>57.5</v>
      </c>
      <c r="CW42">
        <f t="shared" si="1247"/>
        <v>0.253</v>
      </c>
      <c r="CX42">
        <f t="shared" si="1248"/>
        <v>0</v>
      </c>
      <c r="CY42">
        <f t="shared" si="1249"/>
        <v>0.253</v>
      </c>
      <c r="CZ42">
        <f t="shared" si="1250"/>
        <v>0</v>
      </c>
      <c r="DA42">
        <f t="shared" si="1251"/>
        <v>0</v>
      </c>
      <c r="DB42">
        <f t="shared" si="1252"/>
        <v>3.2430000000000003</v>
      </c>
      <c r="DC42">
        <f t="shared" si="1253"/>
        <v>0</v>
      </c>
      <c r="DD42">
        <f t="shared" si="1254"/>
        <v>5.75</v>
      </c>
      <c r="DE42">
        <f t="shared" si="1255"/>
        <v>1.61</v>
      </c>
      <c r="DF42">
        <f t="shared" si="1256"/>
        <v>3.45</v>
      </c>
      <c r="DG42">
        <f t="shared" si="1257"/>
        <v>3.68</v>
      </c>
      <c r="DH42">
        <f t="shared" si="1258"/>
        <v>0.13799999999999998</v>
      </c>
      <c r="DI42">
        <f t="shared" si="1259"/>
        <v>0.46</v>
      </c>
      <c r="DJ42">
        <f t="shared" si="1260"/>
        <v>1.1500000000000002E-2</v>
      </c>
      <c r="DK42">
        <f t="shared" si="1261"/>
        <v>1.1500000000000002E-2</v>
      </c>
      <c r="DL42">
        <f t="shared" si="1262"/>
        <v>3.91</v>
      </c>
      <c r="DM42">
        <f t="shared" si="1263"/>
        <v>8.74</v>
      </c>
      <c r="DN42">
        <f t="shared" si="1264"/>
        <v>1.15E-3</v>
      </c>
      <c r="DO42">
        <f t="shared" si="1265"/>
        <v>1.84</v>
      </c>
      <c r="DP42">
        <f t="shared" si="1266"/>
        <v>1.15E-3</v>
      </c>
      <c r="DQ42">
        <f t="shared" si="1267"/>
        <v>4.5999999999999999E-3</v>
      </c>
      <c r="DR42">
        <f t="shared" si="1268"/>
        <v>0</v>
      </c>
      <c r="DS42">
        <f t="shared" si="1269"/>
        <v>1.15E-3</v>
      </c>
      <c r="DT42">
        <f t="shared" si="1270"/>
        <v>1.15E-3</v>
      </c>
      <c r="DU42">
        <f t="shared" si="1271"/>
        <v>0.115</v>
      </c>
      <c r="DV42">
        <f t="shared" si="1272"/>
        <v>9.1999999999999998E-3</v>
      </c>
      <c r="DW42">
        <f t="shared" si="1273"/>
        <v>1.1500000000000002E-2</v>
      </c>
      <c r="DX42">
        <f t="shared" si="1274"/>
        <v>1.1500000000000002E-2</v>
      </c>
      <c r="DY42">
        <f t="shared" si="1275"/>
        <v>213.9</v>
      </c>
      <c r="DZ42">
        <f t="shared" si="1276"/>
        <v>208.38</v>
      </c>
      <c r="EA42">
        <f t="shared" si="1277"/>
        <v>33.58</v>
      </c>
      <c r="EB42">
        <f t="shared" si="1278"/>
        <v>0.55199999999999994</v>
      </c>
      <c r="EC42">
        <f t="shared" si="1279"/>
        <v>0.18400000000000002</v>
      </c>
      <c r="ED42">
        <f t="shared" si="1280"/>
        <v>1.7020000000000002</v>
      </c>
      <c r="EE42">
        <f t="shared" si="1281"/>
        <v>11.2194</v>
      </c>
      <c r="EF42">
        <f t="shared" si="1282"/>
        <v>1.7986000000000002</v>
      </c>
      <c r="EG42">
        <f t="shared" si="1283"/>
        <v>0.54970000000000008</v>
      </c>
      <c r="EH42">
        <f t="shared" si="1284"/>
        <v>1.9113000000000002</v>
      </c>
      <c r="EI42">
        <f t="shared" si="1285"/>
        <v>4.7977999999999996</v>
      </c>
      <c r="EJ42">
        <f t="shared" si="1286"/>
        <v>2.1620000000000004</v>
      </c>
      <c r="EK42">
        <f t="shared" si="1287"/>
        <v>0</v>
      </c>
      <c r="EL42">
        <f t="shared" si="1288"/>
        <v>0</v>
      </c>
      <c r="EM42">
        <f t="shared" si="1289"/>
        <v>5.4555999999999996</v>
      </c>
      <c r="EN42">
        <f t="shared" si="1290"/>
        <v>0.26219999999999999</v>
      </c>
      <c r="EO42">
        <f t="shared" si="1291"/>
        <v>0.43699999999999994</v>
      </c>
      <c r="EP42">
        <f t="shared" si="1292"/>
        <v>4.7564000000000002</v>
      </c>
      <c r="EQ42">
        <f t="shared" si="1293"/>
        <v>0</v>
      </c>
      <c r="ER42">
        <f t="shared" si="1294"/>
        <v>0</v>
      </c>
      <c r="ES42">
        <f t="shared" si="1295"/>
        <v>0.63249999999999995</v>
      </c>
      <c r="ET42">
        <f t="shared" si="1296"/>
        <v>0.36109999999999998</v>
      </c>
      <c r="EU42">
        <f t="shared" si="1297"/>
        <v>0.27139999999999997</v>
      </c>
      <c r="EV42">
        <f t="shared" si="1298"/>
        <v>0</v>
      </c>
      <c r="EW42">
        <f t="shared" si="1299"/>
        <v>0</v>
      </c>
      <c r="EX42">
        <f t="shared" si="1300"/>
        <v>0</v>
      </c>
      <c r="EY42">
        <f t="shared" si="1301"/>
        <v>0</v>
      </c>
      <c r="EZ42">
        <f t="shared" si="1302"/>
        <v>2.76</v>
      </c>
      <c r="FA42">
        <f t="shared" si="1303"/>
        <v>9.1999999999999993</v>
      </c>
      <c r="FB42">
        <f t="shared" si="1304"/>
        <v>10.81</v>
      </c>
      <c r="FC42">
        <f t="shared" si="1305"/>
        <v>19.78</v>
      </c>
      <c r="FD42">
        <f t="shared" si="1306"/>
        <v>15.18</v>
      </c>
      <c r="FE42">
        <f t="shared" si="1307"/>
        <v>4.5999999999999996</v>
      </c>
      <c r="FF42">
        <f t="shared" si="1308"/>
        <v>2.0699999999999998</v>
      </c>
      <c r="FG42">
        <f t="shared" si="1309"/>
        <v>9.89</v>
      </c>
      <c r="FH42">
        <f t="shared" si="1310"/>
        <v>7.82</v>
      </c>
      <c r="FI42">
        <f t="shared" si="1311"/>
        <v>12.88</v>
      </c>
      <c r="FJ42">
        <f t="shared" si="1312"/>
        <v>5.75</v>
      </c>
      <c r="FK42">
        <f t="shared" si="1313"/>
        <v>5.29</v>
      </c>
      <c r="FL42">
        <f t="shared" si="1314"/>
        <v>6.67</v>
      </c>
      <c r="FM42">
        <f t="shared" si="1315"/>
        <v>14.95</v>
      </c>
      <c r="FN42">
        <f t="shared" si="1316"/>
        <v>43.01</v>
      </c>
      <c r="FO42">
        <f t="shared" si="1317"/>
        <v>3.91</v>
      </c>
      <c r="FP42">
        <f t="shared" si="1318"/>
        <v>20.7</v>
      </c>
      <c r="FQ42">
        <f t="shared" si="1319"/>
        <v>11.27</v>
      </c>
      <c r="FR42">
        <f t="shared" si="1320"/>
        <v>0</v>
      </c>
      <c r="FS42">
        <f t="shared" si="1321"/>
        <v>0</v>
      </c>
      <c r="FT42">
        <f t="shared" si="1322"/>
        <v>0</v>
      </c>
      <c r="FU42">
        <f t="shared" si="1323"/>
        <v>0</v>
      </c>
      <c r="FV42">
        <f t="shared" si="1324"/>
        <v>0</v>
      </c>
      <c r="FW42">
        <f t="shared" si="1325"/>
        <v>0.253</v>
      </c>
    </row>
    <row r="43" spans="1:179" x14ac:dyDescent="0.35">
      <c r="B43" s="72" t="s">
        <v>237</v>
      </c>
      <c r="C43">
        <v>19</v>
      </c>
      <c r="D43" s="6">
        <v>380</v>
      </c>
      <c r="E43" s="6">
        <v>1622</v>
      </c>
      <c r="F43" s="6">
        <v>0.1</v>
      </c>
      <c r="G43" s="6">
        <v>0</v>
      </c>
      <c r="H43" s="6">
        <v>0.1</v>
      </c>
      <c r="I43" s="6">
        <v>0</v>
      </c>
      <c r="J43" s="6">
        <v>0</v>
      </c>
      <c r="K43" s="6">
        <v>0</v>
      </c>
      <c r="L43" s="6">
        <v>0</v>
      </c>
      <c r="M43" s="6">
        <v>101.3</v>
      </c>
      <c r="N43" s="6">
        <v>0</v>
      </c>
      <c r="O43" s="6">
        <v>101.3</v>
      </c>
      <c r="P43" s="6">
        <v>0</v>
      </c>
      <c r="Q43" s="6">
        <v>0</v>
      </c>
      <c r="R43" s="51">
        <v>0.05</v>
      </c>
      <c r="S43" s="6">
        <v>1.7</v>
      </c>
      <c r="T43" s="6">
        <v>56</v>
      </c>
      <c r="U43" s="6">
        <v>31</v>
      </c>
      <c r="V43" s="6">
        <v>140</v>
      </c>
      <c r="W43" s="6">
        <v>4</v>
      </c>
      <c r="X43" s="6">
        <v>0.1</v>
      </c>
      <c r="Y43" s="6">
        <v>17</v>
      </c>
      <c r="Z43" s="6">
        <v>0.06</v>
      </c>
      <c r="AA43" s="51">
        <v>0.05</v>
      </c>
      <c r="AB43" s="6">
        <v>0</v>
      </c>
      <c r="AC43" s="51">
        <v>0.5</v>
      </c>
      <c r="AD43" s="51">
        <v>5.0000000000000001E-3</v>
      </c>
      <c r="AE43" s="6">
        <v>0</v>
      </c>
      <c r="AF43" s="51">
        <v>5.0000000000000001E-3</v>
      </c>
      <c r="AG43" s="51">
        <v>5.0000000000000001E-3</v>
      </c>
      <c r="AH43" s="6">
        <v>0</v>
      </c>
      <c r="AI43" s="51">
        <v>5.0000000000000001E-3</v>
      </c>
      <c r="AJ43" s="51">
        <v>5.0000000000000001E-3</v>
      </c>
      <c r="AK43" s="51">
        <v>0.5</v>
      </c>
      <c r="AL43" s="51">
        <v>5.0000000000000001E-3</v>
      </c>
      <c r="AM43" s="51">
        <v>0.05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74">
        <v>0.5</v>
      </c>
      <c r="BQ43" s="74">
        <v>0.5</v>
      </c>
      <c r="BR43" s="74">
        <v>0.5</v>
      </c>
      <c r="BS43" s="74">
        <v>0.5</v>
      </c>
      <c r="BT43" s="74">
        <v>0.5</v>
      </c>
      <c r="BU43" s="74">
        <v>0.5</v>
      </c>
      <c r="BV43" s="74">
        <v>0.5</v>
      </c>
      <c r="BW43" s="74">
        <v>0.5</v>
      </c>
      <c r="BX43" s="74">
        <v>0.5</v>
      </c>
      <c r="BY43" s="74">
        <v>0.5</v>
      </c>
      <c r="BZ43" s="74">
        <v>0.5</v>
      </c>
      <c r="CA43" s="74">
        <v>0.5</v>
      </c>
      <c r="CB43" s="74">
        <v>0.5</v>
      </c>
      <c r="CC43" s="74">
        <v>0.5</v>
      </c>
      <c r="CD43" s="74">
        <v>0.5</v>
      </c>
      <c r="CE43" s="74">
        <v>0.5</v>
      </c>
      <c r="CF43" s="74">
        <v>0.5</v>
      </c>
      <c r="CG43" s="74">
        <v>0.5</v>
      </c>
      <c r="CH43" s="6">
        <v>0</v>
      </c>
      <c r="CI43" s="6">
        <v>0</v>
      </c>
      <c r="CJ43" s="6">
        <v>0</v>
      </c>
      <c r="CK43" s="6">
        <v>101.3</v>
      </c>
      <c r="CL43" s="6">
        <v>0</v>
      </c>
      <c r="CM43" s="6">
        <v>0</v>
      </c>
      <c r="CN43">
        <f t="shared" si="1238"/>
        <v>72.2</v>
      </c>
      <c r="CO43">
        <f t="shared" si="1239"/>
        <v>308.18</v>
      </c>
      <c r="CP43">
        <f t="shared" si="1240"/>
        <v>1.9000000000000003E-2</v>
      </c>
      <c r="CQ43">
        <f t="shared" si="1241"/>
        <v>0</v>
      </c>
      <c r="CR43">
        <f t="shared" si="1242"/>
        <v>1.9000000000000003E-2</v>
      </c>
      <c r="CS43">
        <f t="shared" si="1243"/>
        <v>0</v>
      </c>
      <c r="CT43">
        <f t="shared" si="1244"/>
        <v>0</v>
      </c>
      <c r="CU43">
        <f t="shared" si="1245"/>
        <v>0</v>
      </c>
      <c r="CV43">
        <f t="shared" si="1246"/>
        <v>0</v>
      </c>
      <c r="CW43">
        <f t="shared" si="1247"/>
        <v>19.247</v>
      </c>
      <c r="CX43">
        <f t="shared" si="1248"/>
        <v>0</v>
      </c>
      <c r="CY43">
        <f t="shared" si="1249"/>
        <v>19.247</v>
      </c>
      <c r="CZ43">
        <f t="shared" si="1250"/>
        <v>0</v>
      </c>
      <c r="DA43">
        <f t="shared" si="1251"/>
        <v>0</v>
      </c>
      <c r="DB43">
        <f t="shared" si="1252"/>
        <v>9.5000000000000015E-3</v>
      </c>
      <c r="DC43">
        <f t="shared" si="1253"/>
        <v>0.32299999999999995</v>
      </c>
      <c r="DD43">
        <f t="shared" si="1254"/>
        <v>10.64</v>
      </c>
      <c r="DE43">
        <f t="shared" si="1255"/>
        <v>5.89</v>
      </c>
      <c r="DF43">
        <f t="shared" si="1256"/>
        <v>26.6</v>
      </c>
      <c r="DG43">
        <f t="shared" si="1257"/>
        <v>0.76</v>
      </c>
      <c r="DH43">
        <f t="shared" si="1258"/>
        <v>1.9000000000000003E-2</v>
      </c>
      <c r="DI43">
        <f t="shared" si="1259"/>
        <v>3.23</v>
      </c>
      <c r="DJ43">
        <f t="shared" si="1260"/>
        <v>1.1399999999999999E-2</v>
      </c>
      <c r="DK43">
        <f t="shared" si="1261"/>
        <v>9.5000000000000015E-3</v>
      </c>
      <c r="DL43">
        <f t="shared" si="1262"/>
        <v>0</v>
      </c>
      <c r="DM43">
        <f t="shared" si="1263"/>
        <v>9.5000000000000001E-2</v>
      </c>
      <c r="DN43">
        <f t="shared" si="1264"/>
        <v>9.5E-4</v>
      </c>
      <c r="DO43">
        <f t="shared" si="1265"/>
        <v>0</v>
      </c>
      <c r="DP43">
        <f t="shared" si="1266"/>
        <v>9.5E-4</v>
      </c>
      <c r="DQ43">
        <f t="shared" si="1267"/>
        <v>9.5E-4</v>
      </c>
      <c r="DR43">
        <f t="shared" si="1268"/>
        <v>0</v>
      </c>
      <c r="DS43">
        <f t="shared" si="1269"/>
        <v>9.5E-4</v>
      </c>
      <c r="DT43">
        <f t="shared" si="1270"/>
        <v>9.5E-4</v>
      </c>
      <c r="DU43">
        <f t="shared" si="1271"/>
        <v>9.5000000000000001E-2</v>
      </c>
      <c r="DV43">
        <f t="shared" si="1272"/>
        <v>9.5E-4</v>
      </c>
      <c r="DW43">
        <f t="shared" si="1273"/>
        <v>9.5000000000000015E-3</v>
      </c>
      <c r="DX43">
        <f t="shared" si="1274"/>
        <v>0</v>
      </c>
      <c r="DY43">
        <f t="shared" si="1275"/>
        <v>0</v>
      </c>
      <c r="DZ43">
        <f t="shared" si="1276"/>
        <v>0</v>
      </c>
      <c r="EA43">
        <f t="shared" si="1277"/>
        <v>0</v>
      </c>
      <c r="EB43">
        <f t="shared" si="1278"/>
        <v>0</v>
      </c>
      <c r="EC43">
        <f t="shared" si="1279"/>
        <v>0</v>
      </c>
      <c r="ED43">
        <f t="shared" si="1280"/>
        <v>0</v>
      </c>
      <c r="EE43">
        <f t="shared" si="1281"/>
        <v>0</v>
      </c>
      <c r="EF43">
        <f t="shared" si="1282"/>
        <v>0</v>
      </c>
      <c r="EG43">
        <f t="shared" si="1283"/>
        <v>0</v>
      </c>
      <c r="EH43">
        <f t="shared" si="1284"/>
        <v>0</v>
      </c>
      <c r="EI43">
        <f t="shared" si="1285"/>
        <v>0</v>
      </c>
      <c r="EJ43">
        <f t="shared" si="1286"/>
        <v>0</v>
      </c>
      <c r="EK43">
        <f t="shared" si="1287"/>
        <v>0</v>
      </c>
      <c r="EL43">
        <f t="shared" si="1288"/>
        <v>0</v>
      </c>
      <c r="EM43">
        <f t="shared" si="1289"/>
        <v>0</v>
      </c>
      <c r="EN43">
        <f t="shared" si="1290"/>
        <v>0</v>
      </c>
      <c r="EO43">
        <f t="shared" si="1291"/>
        <v>0</v>
      </c>
      <c r="EP43">
        <f t="shared" si="1292"/>
        <v>0</v>
      </c>
      <c r="EQ43">
        <f t="shared" si="1293"/>
        <v>0</v>
      </c>
      <c r="ER43">
        <f t="shared" si="1294"/>
        <v>0</v>
      </c>
      <c r="ES43">
        <f t="shared" si="1295"/>
        <v>0</v>
      </c>
      <c r="ET43">
        <f t="shared" si="1296"/>
        <v>0</v>
      </c>
      <c r="EU43">
        <f t="shared" si="1297"/>
        <v>0</v>
      </c>
      <c r="EV43">
        <f t="shared" si="1298"/>
        <v>0</v>
      </c>
      <c r="EW43">
        <f t="shared" si="1299"/>
        <v>0</v>
      </c>
      <c r="EX43">
        <f t="shared" si="1300"/>
        <v>0</v>
      </c>
      <c r="EY43">
        <f t="shared" si="1301"/>
        <v>0</v>
      </c>
      <c r="EZ43">
        <f t="shared" si="1302"/>
        <v>9.5000000000000001E-2</v>
      </c>
      <c r="FA43">
        <f t="shared" si="1303"/>
        <v>9.5000000000000001E-2</v>
      </c>
      <c r="FB43">
        <f t="shared" si="1304"/>
        <v>9.5000000000000001E-2</v>
      </c>
      <c r="FC43">
        <f t="shared" si="1305"/>
        <v>9.5000000000000001E-2</v>
      </c>
      <c r="FD43">
        <f t="shared" si="1306"/>
        <v>9.5000000000000001E-2</v>
      </c>
      <c r="FE43">
        <f t="shared" si="1307"/>
        <v>9.5000000000000001E-2</v>
      </c>
      <c r="FF43">
        <f t="shared" si="1308"/>
        <v>9.5000000000000001E-2</v>
      </c>
      <c r="FG43">
        <f t="shared" si="1309"/>
        <v>9.5000000000000001E-2</v>
      </c>
      <c r="FH43">
        <f t="shared" si="1310"/>
        <v>9.5000000000000001E-2</v>
      </c>
      <c r="FI43">
        <f t="shared" si="1311"/>
        <v>9.5000000000000001E-2</v>
      </c>
      <c r="FJ43">
        <f t="shared" si="1312"/>
        <v>9.5000000000000001E-2</v>
      </c>
      <c r="FK43">
        <f t="shared" si="1313"/>
        <v>9.5000000000000001E-2</v>
      </c>
      <c r="FL43">
        <f t="shared" si="1314"/>
        <v>9.5000000000000001E-2</v>
      </c>
      <c r="FM43">
        <f t="shared" si="1315"/>
        <v>9.5000000000000001E-2</v>
      </c>
      <c r="FN43">
        <f t="shared" si="1316"/>
        <v>9.5000000000000001E-2</v>
      </c>
      <c r="FO43">
        <f t="shared" si="1317"/>
        <v>9.5000000000000001E-2</v>
      </c>
      <c r="FP43">
        <f t="shared" si="1318"/>
        <v>9.5000000000000001E-2</v>
      </c>
      <c r="FQ43">
        <f t="shared" si="1319"/>
        <v>9.5000000000000001E-2</v>
      </c>
      <c r="FR43">
        <f t="shared" si="1320"/>
        <v>0</v>
      </c>
      <c r="FS43">
        <f t="shared" si="1321"/>
        <v>0</v>
      </c>
      <c r="FT43">
        <f t="shared" si="1322"/>
        <v>0</v>
      </c>
      <c r="FU43">
        <f t="shared" si="1323"/>
        <v>19.247</v>
      </c>
      <c r="FV43">
        <f t="shared" si="1324"/>
        <v>0</v>
      </c>
      <c r="FW43">
        <f t="shared" si="1325"/>
        <v>0</v>
      </c>
    </row>
    <row r="44" spans="1:179" x14ac:dyDescent="0.35">
      <c r="B44" s="71" t="s">
        <v>236</v>
      </c>
      <c r="C44">
        <v>15</v>
      </c>
      <c r="D44" s="6">
        <v>323</v>
      </c>
      <c r="E44" s="6">
        <v>1376</v>
      </c>
      <c r="F44" s="6">
        <v>11</v>
      </c>
      <c r="G44" s="6">
        <v>0</v>
      </c>
      <c r="H44" s="6">
        <v>11</v>
      </c>
      <c r="I44" s="6">
        <v>0.7</v>
      </c>
      <c r="J44" s="6">
        <v>0</v>
      </c>
      <c r="K44" s="6">
        <v>0.7</v>
      </c>
      <c r="L44" s="6">
        <v>0</v>
      </c>
      <c r="M44" s="6">
        <v>71.599999999999994</v>
      </c>
      <c r="N44" s="6">
        <v>69.900000000000006</v>
      </c>
      <c r="O44" s="6">
        <v>1.7</v>
      </c>
      <c r="P44" s="6">
        <v>2.2000000000000002</v>
      </c>
      <c r="Q44" s="6">
        <v>0</v>
      </c>
      <c r="R44" s="6">
        <v>14.2</v>
      </c>
      <c r="S44" s="6">
        <v>0.7</v>
      </c>
      <c r="T44" s="6">
        <v>17</v>
      </c>
      <c r="U44" s="6">
        <v>3</v>
      </c>
      <c r="V44" s="6">
        <v>126</v>
      </c>
      <c r="W44" s="6">
        <v>76</v>
      </c>
      <c r="X44" s="6">
        <v>7.0000000000000007E-2</v>
      </c>
      <c r="Y44" s="6">
        <v>120</v>
      </c>
      <c r="Z44" s="6">
        <v>0.06</v>
      </c>
      <c r="AA44" s="6">
        <v>2.2999999999999998</v>
      </c>
      <c r="AB44" s="6">
        <v>143</v>
      </c>
      <c r="AC44" s="51">
        <v>0.5</v>
      </c>
      <c r="AD44" s="6">
        <v>0.7</v>
      </c>
      <c r="AE44" s="6">
        <v>130</v>
      </c>
      <c r="AF44" s="6">
        <v>0.1</v>
      </c>
      <c r="AG44" s="6">
        <v>0.03</v>
      </c>
      <c r="AH44" s="6">
        <v>0</v>
      </c>
      <c r="AI44" s="6">
        <v>1</v>
      </c>
      <c r="AJ44" s="6">
        <v>0.18</v>
      </c>
      <c r="AK44" s="6">
        <v>32</v>
      </c>
      <c r="AL44" s="6">
        <v>0.4</v>
      </c>
      <c r="AM44" s="6">
        <v>2</v>
      </c>
      <c r="AN44" s="6">
        <v>0</v>
      </c>
      <c r="AO44" s="6">
        <v>0</v>
      </c>
      <c r="AP44" s="6">
        <v>0</v>
      </c>
      <c r="AQ44" s="6">
        <v>0</v>
      </c>
      <c r="AR44" s="6">
        <v>0.59</v>
      </c>
      <c r="AS44" s="6">
        <v>0</v>
      </c>
      <c r="AT44" s="6">
        <v>0.8</v>
      </c>
      <c r="AU44" s="6">
        <v>0.08</v>
      </c>
      <c r="AV44" s="6">
        <v>0</v>
      </c>
      <c r="AW44" s="6">
        <v>0</v>
      </c>
      <c r="AX44" s="6">
        <v>0</v>
      </c>
      <c r="AY44" s="6">
        <v>0.08</v>
      </c>
      <c r="AZ44" s="51">
        <v>5.0000000000000001E-3</v>
      </c>
      <c r="BA44" s="51">
        <v>5.0000000000000001E-3</v>
      </c>
      <c r="BB44" s="6">
        <v>0</v>
      </c>
      <c r="BC44" s="6">
        <v>0.06</v>
      </c>
      <c r="BD44" s="6">
        <v>0</v>
      </c>
      <c r="BE44" s="51">
        <v>5.0000000000000001E-3</v>
      </c>
      <c r="BF44" s="6">
        <v>0.06</v>
      </c>
      <c r="BG44" s="51">
        <v>5.0000000000000001E-3</v>
      </c>
      <c r="BH44" s="6">
        <v>0</v>
      </c>
      <c r="BI44" s="6">
        <v>0.27</v>
      </c>
      <c r="BJ44" s="6">
        <v>0.25</v>
      </c>
      <c r="BK44" s="6">
        <v>0.01</v>
      </c>
      <c r="BL44" s="51">
        <v>5.0000000000000001E-3</v>
      </c>
      <c r="BM44" s="6">
        <v>0</v>
      </c>
      <c r="BN44" s="6">
        <v>0</v>
      </c>
      <c r="BO44" s="6">
        <v>0</v>
      </c>
      <c r="BP44" s="7">
        <v>116</v>
      </c>
      <c r="BQ44" s="7">
        <v>310</v>
      </c>
      <c r="BR44" s="7">
        <v>403</v>
      </c>
      <c r="BS44" s="7">
        <v>741</v>
      </c>
      <c r="BT44" s="7">
        <v>239</v>
      </c>
      <c r="BU44" s="7">
        <v>167</v>
      </c>
      <c r="BV44" s="7">
        <v>287</v>
      </c>
      <c r="BW44" s="7">
        <v>510</v>
      </c>
      <c r="BX44" s="7">
        <v>345</v>
      </c>
      <c r="BY44" s="7">
        <v>452</v>
      </c>
      <c r="BZ44" s="7">
        <v>391</v>
      </c>
      <c r="CA44" s="7">
        <v>228</v>
      </c>
      <c r="CB44" s="7">
        <v>318</v>
      </c>
      <c r="CC44" s="7">
        <v>431</v>
      </c>
      <c r="CD44" s="7">
        <v>4037</v>
      </c>
      <c r="CE44" s="7">
        <v>368</v>
      </c>
      <c r="CF44" s="7">
        <v>1309</v>
      </c>
      <c r="CG44" s="7">
        <v>543</v>
      </c>
      <c r="CH44" s="51">
        <v>0.05</v>
      </c>
      <c r="CI44" s="51">
        <v>0.05</v>
      </c>
      <c r="CJ44" s="6">
        <v>0</v>
      </c>
      <c r="CK44" s="6">
        <v>1.4</v>
      </c>
      <c r="CL44" s="6">
        <v>0.3</v>
      </c>
      <c r="CM44" s="6">
        <v>0</v>
      </c>
      <c r="CN44">
        <f t="shared" si="1238"/>
        <v>48.45</v>
      </c>
      <c r="CO44">
        <f t="shared" si="1239"/>
        <v>206.4</v>
      </c>
      <c r="CP44">
        <f t="shared" si="1240"/>
        <v>1.65</v>
      </c>
      <c r="CQ44">
        <f t="shared" si="1241"/>
        <v>0</v>
      </c>
      <c r="CR44">
        <f t="shared" si="1242"/>
        <v>1.65</v>
      </c>
      <c r="CS44">
        <f t="shared" si="1243"/>
        <v>0.105</v>
      </c>
      <c r="CT44">
        <f t="shared" si="1244"/>
        <v>0</v>
      </c>
      <c r="CU44">
        <f t="shared" si="1245"/>
        <v>0.105</v>
      </c>
      <c r="CV44">
        <f t="shared" si="1246"/>
        <v>0</v>
      </c>
      <c r="CW44">
        <f t="shared" si="1247"/>
        <v>10.74</v>
      </c>
      <c r="CX44">
        <f t="shared" si="1248"/>
        <v>10.484999999999999</v>
      </c>
      <c r="CY44">
        <f t="shared" si="1249"/>
        <v>0.255</v>
      </c>
      <c r="CZ44">
        <f t="shared" si="1250"/>
        <v>0.33</v>
      </c>
      <c r="DA44">
        <f t="shared" si="1251"/>
        <v>0</v>
      </c>
      <c r="DB44">
        <f t="shared" si="1252"/>
        <v>2.13</v>
      </c>
      <c r="DC44">
        <f t="shared" si="1253"/>
        <v>0.105</v>
      </c>
      <c r="DD44">
        <f t="shared" si="1254"/>
        <v>2.5499999999999998</v>
      </c>
      <c r="DE44">
        <f t="shared" si="1255"/>
        <v>0.45</v>
      </c>
      <c r="DF44">
        <f t="shared" si="1256"/>
        <v>18.899999999999999</v>
      </c>
      <c r="DG44">
        <f t="shared" si="1257"/>
        <v>11.4</v>
      </c>
      <c r="DH44">
        <f t="shared" si="1258"/>
        <v>1.0500000000000001E-2</v>
      </c>
      <c r="DI44">
        <f t="shared" si="1259"/>
        <v>18</v>
      </c>
      <c r="DJ44">
        <f t="shared" si="1260"/>
        <v>8.9999999999999993E-3</v>
      </c>
      <c r="DK44">
        <f t="shared" si="1261"/>
        <v>0.34499999999999997</v>
      </c>
      <c r="DL44">
        <f t="shared" si="1262"/>
        <v>21.45</v>
      </c>
      <c r="DM44">
        <f t="shared" si="1263"/>
        <v>7.4999999999999997E-2</v>
      </c>
      <c r="DN44">
        <f t="shared" si="1264"/>
        <v>0.105</v>
      </c>
      <c r="DO44">
        <f t="shared" si="1265"/>
        <v>19.5</v>
      </c>
      <c r="DP44">
        <f t="shared" si="1266"/>
        <v>1.4999999999999999E-2</v>
      </c>
      <c r="DQ44">
        <f t="shared" si="1267"/>
        <v>4.4999999999999997E-3</v>
      </c>
      <c r="DR44">
        <f t="shared" si="1268"/>
        <v>0</v>
      </c>
      <c r="DS44">
        <f t="shared" si="1269"/>
        <v>0.15</v>
      </c>
      <c r="DT44">
        <f t="shared" si="1270"/>
        <v>2.6999999999999996E-2</v>
      </c>
      <c r="DU44">
        <f t="shared" si="1271"/>
        <v>4.8</v>
      </c>
      <c r="DV44">
        <f t="shared" si="1272"/>
        <v>0.06</v>
      </c>
      <c r="DW44">
        <f t="shared" si="1273"/>
        <v>0.3</v>
      </c>
      <c r="DX44">
        <f t="shared" si="1274"/>
        <v>0</v>
      </c>
      <c r="DY44">
        <f t="shared" si="1275"/>
        <v>0</v>
      </c>
      <c r="DZ44">
        <f t="shared" si="1276"/>
        <v>0</v>
      </c>
      <c r="EA44">
        <f t="shared" si="1277"/>
        <v>0</v>
      </c>
      <c r="EB44">
        <f t="shared" si="1278"/>
        <v>8.8499999999999995E-2</v>
      </c>
      <c r="EC44">
        <f t="shared" si="1279"/>
        <v>0</v>
      </c>
      <c r="ED44">
        <f t="shared" si="1280"/>
        <v>0.12</v>
      </c>
      <c r="EE44">
        <f t="shared" si="1281"/>
        <v>1.2E-2</v>
      </c>
      <c r="EF44">
        <f t="shared" si="1282"/>
        <v>0</v>
      </c>
      <c r="EG44">
        <f t="shared" si="1283"/>
        <v>0</v>
      </c>
      <c r="EH44">
        <f t="shared" si="1284"/>
        <v>0</v>
      </c>
      <c r="EI44">
        <f t="shared" si="1285"/>
        <v>1.2E-2</v>
      </c>
      <c r="EJ44">
        <f t="shared" si="1286"/>
        <v>7.5000000000000002E-4</v>
      </c>
      <c r="EK44">
        <f t="shared" si="1287"/>
        <v>7.5000000000000002E-4</v>
      </c>
      <c r="EL44">
        <f t="shared" si="1288"/>
        <v>0</v>
      </c>
      <c r="EM44">
        <f t="shared" si="1289"/>
        <v>8.9999999999999993E-3</v>
      </c>
      <c r="EN44">
        <f t="shared" si="1290"/>
        <v>0</v>
      </c>
      <c r="EO44">
        <f t="shared" si="1291"/>
        <v>7.5000000000000002E-4</v>
      </c>
      <c r="EP44">
        <f t="shared" si="1292"/>
        <v>8.9999999999999993E-3</v>
      </c>
      <c r="EQ44">
        <f t="shared" si="1293"/>
        <v>7.5000000000000002E-4</v>
      </c>
      <c r="ER44">
        <f t="shared" si="1294"/>
        <v>0</v>
      </c>
      <c r="ES44">
        <f t="shared" si="1295"/>
        <v>4.0500000000000008E-2</v>
      </c>
      <c r="ET44">
        <f t="shared" si="1296"/>
        <v>3.7499999999999999E-2</v>
      </c>
      <c r="EU44">
        <f t="shared" si="1297"/>
        <v>1.5E-3</v>
      </c>
      <c r="EV44">
        <f t="shared" si="1298"/>
        <v>7.5000000000000002E-4</v>
      </c>
      <c r="EW44">
        <f t="shared" si="1299"/>
        <v>0</v>
      </c>
      <c r="EX44">
        <f t="shared" si="1300"/>
        <v>0</v>
      </c>
      <c r="EY44">
        <f t="shared" si="1301"/>
        <v>0</v>
      </c>
      <c r="EZ44">
        <f t="shared" si="1302"/>
        <v>17.399999999999999</v>
      </c>
      <c r="FA44">
        <f t="shared" si="1303"/>
        <v>46.5</v>
      </c>
      <c r="FB44">
        <f t="shared" si="1304"/>
        <v>60.45</v>
      </c>
      <c r="FC44">
        <f t="shared" si="1305"/>
        <v>111.15</v>
      </c>
      <c r="FD44">
        <f t="shared" si="1306"/>
        <v>35.85</v>
      </c>
      <c r="FE44">
        <f t="shared" si="1307"/>
        <v>25.05</v>
      </c>
      <c r="FF44">
        <f t="shared" si="1308"/>
        <v>43.05</v>
      </c>
      <c r="FG44">
        <f t="shared" si="1309"/>
        <v>76.5</v>
      </c>
      <c r="FH44">
        <f t="shared" si="1310"/>
        <v>51.75</v>
      </c>
      <c r="FI44">
        <f t="shared" si="1311"/>
        <v>67.8</v>
      </c>
      <c r="FJ44">
        <f t="shared" si="1312"/>
        <v>58.65</v>
      </c>
      <c r="FK44">
        <f t="shared" si="1313"/>
        <v>34.200000000000003</v>
      </c>
      <c r="FL44">
        <f t="shared" si="1314"/>
        <v>47.7</v>
      </c>
      <c r="FM44">
        <f t="shared" si="1315"/>
        <v>64.650000000000006</v>
      </c>
      <c r="FN44">
        <f t="shared" si="1316"/>
        <v>605.54999999999995</v>
      </c>
      <c r="FO44">
        <f t="shared" si="1317"/>
        <v>55.2</v>
      </c>
      <c r="FP44">
        <f t="shared" si="1318"/>
        <v>196.35</v>
      </c>
      <c r="FQ44">
        <f t="shared" si="1319"/>
        <v>81.45</v>
      </c>
      <c r="FR44">
        <f t="shared" si="1320"/>
        <v>7.4999999999999997E-3</v>
      </c>
      <c r="FS44">
        <f t="shared" si="1321"/>
        <v>7.4999999999999997E-3</v>
      </c>
      <c r="FT44">
        <f t="shared" si="1322"/>
        <v>0</v>
      </c>
      <c r="FU44">
        <f t="shared" si="1323"/>
        <v>0.21</v>
      </c>
      <c r="FV44">
        <f t="shared" si="1324"/>
        <v>4.4999999999999998E-2</v>
      </c>
      <c r="FW44">
        <f t="shared" si="1325"/>
        <v>0</v>
      </c>
    </row>
    <row r="45" spans="1:179" x14ac:dyDescent="0.35">
      <c r="B45" s="72" t="s">
        <v>222</v>
      </c>
      <c r="C45">
        <v>19</v>
      </c>
      <c r="D45" s="6">
        <v>128</v>
      </c>
      <c r="E45" s="6">
        <v>533</v>
      </c>
      <c r="F45" s="6">
        <v>12.4</v>
      </c>
      <c r="G45" s="6">
        <v>12.4</v>
      </c>
      <c r="H45" s="6">
        <v>0</v>
      </c>
      <c r="I45" s="6">
        <v>8.6999999999999993</v>
      </c>
      <c r="J45" s="6">
        <v>8.6999999999999993</v>
      </c>
      <c r="K45" s="6">
        <v>0</v>
      </c>
      <c r="L45" s="6">
        <v>371</v>
      </c>
      <c r="M45" s="51">
        <v>0.05</v>
      </c>
      <c r="N45" s="6">
        <v>0</v>
      </c>
      <c r="O45" s="51">
        <v>0.05</v>
      </c>
      <c r="P45" s="6">
        <v>0</v>
      </c>
      <c r="Q45" s="6">
        <v>0</v>
      </c>
      <c r="R45" s="6">
        <v>77.099999999999994</v>
      </c>
      <c r="S45" s="6">
        <v>1.5</v>
      </c>
      <c r="T45" s="6">
        <v>48</v>
      </c>
      <c r="U45" s="6">
        <v>137</v>
      </c>
      <c r="V45" s="6">
        <v>133</v>
      </c>
      <c r="W45" s="6">
        <v>210</v>
      </c>
      <c r="X45" s="6">
        <v>1.2</v>
      </c>
      <c r="Y45" s="6">
        <v>13</v>
      </c>
      <c r="Z45" s="6">
        <v>0.06</v>
      </c>
      <c r="AA45" s="6">
        <v>5.8</v>
      </c>
      <c r="AB45" s="6">
        <v>160</v>
      </c>
      <c r="AC45" s="6">
        <v>53</v>
      </c>
      <c r="AD45" s="51">
        <v>5.0000000000000001E-3</v>
      </c>
      <c r="AE45" s="6">
        <v>180</v>
      </c>
      <c r="AF45" s="6">
        <v>0.09</v>
      </c>
      <c r="AG45" s="6">
        <v>0.3</v>
      </c>
      <c r="AH45" s="6">
        <v>0</v>
      </c>
      <c r="AI45" s="6">
        <v>0.1</v>
      </c>
      <c r="AJ45" s="6">
        <v>0.12</v>
      </c>
      <c r="AK45" s="6">
        <v>50</v>
      </c>
      <c r="AL45" s="6">
        <v>1.77</v>
      </c>
      <c r="AM45" s="6">
        <v>20</v>
      </c>
      <c r="AN45" s="6">
        <v>2.5</v>
      </c>
      <c r="AO45" s="6">
        <v>225</v>
      </c>
      <c r="AP45" s="6">
        <v>211</v>
      </c>
      <c r="AQ45" s="6">
        <v>84</v>
      </c>
      <c r="AR45" s="6">
        <v>1.1100000000000001</v>
      </c>
      <c r="AS45" s="6">
        <v>1.75</v>
      </c>
      <c r="AT45" s="51">
        <v>5.0000000000000001E-3</v>
      </c>
      <c r="AU45" s="6">
        <v>3.17</v>
      </c>
      <c r="AV45" s="6">
        <v>0</v>
      </c>
      <c r="AW45" s="6">
        <v>0</v>
      </c>
      <c r="AX45" s="6">
        <v>0.03</v>
      </c>
      <c r="AY45" s="6">
        <v>1.9</v>
      </c>
      <c r="AZ45" s="6">
        <v>1.21</v>
      </c>
      <c r="BA45" s="6">
        <v>0</v>
      </c>
      <c r="BB45" s="6">
        <v>0</v>
      </c>
      <c r="BC45" s="6">
        <v>2.58</v>
      </c>
      <c r="BD45" s="6">
        <v>0</v>
      </c>
      <c r="BE45" s="6">
        <v>0.23</v>
      </c>
      <c r="BF45" s="6">
        <v>2.35</v>
      </c>
      <c r="BG45" s="6">
        <v>0</v>
      </c>
      <c r="BH45" s="6">
        <v>0</v>
      </c>
      <c r="BI45" s="6">
        <v>1.26</v>
      </c>
      <c r="BJ45" s="6">
        <v>1.06</v>
      </c>
      <c r="BK45" s="6">
        <v>0.04</v>
      </c>
      <c r="BL45" s="6">
        <v>0.16</v>
      </c>
      <c r="BM45" s="6">
        <v>0</v>
      </c>
      <c r="BN45" s="6">
        <v>0</v>
      </c>
      <c r="BO45" s="6">
        <v>0</v>
      </c>
      <c r="BP45" s="7">
        <v>197</v>
      </c>
      <c r="BQ45" s="7">
        <v>623</v>
      </c>
      <c r="BR45" s="7">
        <v>657</v>
      </c>
      <c r="BS45" s="7">
        <v>1041</v>
      </c>
      <c r="BT45" s="7">
        <v>880</v>
      </c>
      <c r="BU45" s="7">
        <v>437</v>
      </c>
      <c r="BV45" s="7">
        <v>323</v>
      </c>
      <c r="BW45" s="7">
        <v>662</v>
      </c>
      <c r="BX45" s="7">
        <v>503</v>
      </c>
      <c r="BY45" s="7">
        <v>823</v>
      </c>
      <c r="BZ45" s="7">
        <v>767</v>
      </c>
      <c r="CA45" s="7">
        <v>298</v>
      </c>
      <c r="CB45" s="7">
        <v>719</v>
      </c>
      <c r="CC45" s="7">
        <v>1209</v>
      </c>
      <c r="CD45" s="7">
        <v>1508</v>
      </c>
      <c r="CE45" s="7">
        <v>416</v>
      </c>
      <c r="CF45" s="7">
        <v>496</v>
      </c>
      <c r="CG45" s="7">
        <v>842</v>
      </c>
      <c r="CH45" s="51">
        <v>0.05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>
        <f t="shared" si="1238"/>
        <v>24.32</v>
      </c>
      <c r="CO45">
        <f t="shared" si="1239"/>
        <v>101.27</v>
      </c>
      <c r="CP45">
        <f t="shared" si="1240"/>
        <v>2.3559999999999999</v>
      </c>
      <c r="CQ45">
        <f t="shared" si="1241"/>
        <v>2.3559999999999999</v>
      </c>
      <c r="CR45">
        <f t="shared" si="1242"/>
        <v>0</v>
      </c>
      <c r="CS45">
        <f t="shared" si="1243"/>
        <v>1.6529999999999998</v>
      </c>
      <c r="CT45">
        <f t="shared" si="1244"/>
        <v>1.6529999999999998</v>
      </c>
      <c r="CU45">
        <f t="shared" si="1245"/>
        <v>0</v>
      </c>
      <c r="CV45">
        <f t="shared" si="1246"/>
        <v>70.489999999999995</v>
      </c>
      <c r="CW45">
        <f t="shared" si="1247"/>
        <v>9.5000000000000015E-3</v>
      </c>
      <c r="CX45">
        <f t="shared" si="1248"/>
        <v>0</v>
      </c>
      <c r="CY45">
        <f t="shared" si="1249"/>
        <v>9.5000000000000015E-3</v>
      </c>
      <c r="CZ45">
        <f t="shared" si="1250"/>
        <v>0</v>
      </c>
      <c r="DA45">
        <f t="shared" si="1251"/>
        <v>0</v>
      </c>
      <c r="DB45">
        <f t="shared" si="1252"/>
        <v>14.648999999999999</v>
      </c>
      <c r="DC45">
        <f t="shared" si="1253"/>
        <v>0.28499999999999998</v>
      </c>
      <c r="DD45">
        <f t="shared" si="1254"/>
        <v>9.1199999999999992</v>
      </c>
      <c r="DE45">
        <f t="shared" si="1255"/>
        <v>26.03</v>
      </c>
      <c r="DF45">
        <f t="shared" si="1256"/>
        <v>25.27</v>
      </c>
      <c r="DG45">
        <f t="shared" si="1257"/>
        <v>39.9</v>
      </c>
      <c r="DH45">
        <f t="shared" si="1258"/>
        <v>0.22800000000000001</v>
      </c>
      <c r="DI45">
        <f t="shared" si="1259"/>
        <v>2.4700000000000002</v>
      </c>
      <c r="DJ45">
        <f t="shared" si="1260"/>
        <v>1.1399999999999999E-2</v>
      </c>
      <c r="DK45">
        <f t="shared" si="1261"/>
        <v>1.1020000000000001</v>
      </c>
      <c r="DL45">
        <f t="shared" si="1262"/>
        <v>30.4</v>
      </c>
      <c r="DM45">
        <f t="shared" si="1263"/>
        <v>10.07</v>
      </c>
      <c r="DN45">
        <f t="shared" si="1264"/>
        <v>9.5E-4</v>
      </c>
      <c r="DO45">
        <f t="shared" si="1265"/>
        <v>34.200000000000003</v>
      </c>
      <c r="DP45">
        <f t="shared" si="1266"/>
        <v>1.7100000000000001E-2</v>
      </c>
      <c r="DQ45">
        <f t="shared" si="1267"/>
        <v>5.7000000000000002E-2</v>
      </c>
      <c r="DR45">
        <f t="shared" si="1268"/>
        <v>0</v>
      </c>
      <c r="DS45">
        <f t="shared" si="1269"/>
        <v>1.9000000000000003E-2</v>
      </c>
      <c r="DT45">
        <f t="shared" si="1270"/>
        <v>2.2799999999999997E-2</v>
      </c>
      <c r="DU45">
        <f t="shared" si="1271"/>
        <v>9.5</v>
      </c>
      <c r="DV45">
        <f t="shared" si="1272"/>
        <v>0.33630000000000004</v>
      </c>
      <c r="DW45">
        <f t="shared" si="1273"/>
        <v>3.8</v>
      </c>
      <c r="DX45">
        <f t="shared" si="1274"/>
        <v>0.47499999999999998</v>
      </c>
      <c r="DY45">
        <f t="shared" si="1275"/>
        <v>42.75</v>
      </c>
      <c r="DZ45">
        <f t="shared" si="1276"/>
        <v>40.090000000000003</v>
      </c>
      <c r="EA45">
        <f t="shared" si="1277"/>
        <v>15.96</v>
      </c>
      <c r="EB45">
        <f t="shared" si="1278"/>
        <v>0.21090000000000003</v>
      </c>
      <c r="EC45">
        <f t="shared" si="1279"/>
        <v>0.33250000000000002</v>
      </c>
      <c r="ED45">
        <f t="shared" si="1280"/>
        <v>9.5E-4</v>
      </c>
      <c r="EE45">
        <f t="shared" si="1281"/>
        <v>0.60229999999999995</v>
      </c>
      <c r="EF45">
        <f t="shared" si="1282"/>
        <v>0</v>
      </c>
      <c r="EG45">
        <f t="shared" si="1283"/>
        <v>0</v>
      </c>
      <c r="EH45">
        <f t="shared" si="1284"/>
        <v>5.6999999999999993E-3</v>
      </c>
      <c r="EI45">
        <f t="shared" si="1285"/>
        <v>0.36099999999999999</v>
      </c>
      <c r="EJ45">
        <f t="shared" si="1286"/>
        <v>0.22989999999999999</v>
      </c>
      <c r="EK45">
        <f t="shared" si="1287"/>
        <v>0</v>
      </c>
      <c r="EL45">
        <f t="shared" si="1288"/>
        <v>0</v>
      </c>
      <c r="EM45">
        <f t="shared" si="1289"/>
        <v>0.49020000000000002</v>
      </c>
      <c r="EN45">
        <f t="shared" si="1290"/>
        <v>0</v>
      </c>
      <c r="EO45">
        <f t="shared" si="1291"/>
        <v>4.3700000000000003E-2</v>
      </c>
      <c r="EP45">
        <f t="shared" si="1292"/>
        <v>0.44650000000000001</v>
      </c>
      <c r="EQ45">
        <f t="shared" si="1293"/>
        <v>0</v>
      </c>
      <c r="ER45">
        <f t="shared" si="1294"/>
        <v>0</v>
      </c>
      <c r="ES45">
        <f t="shared" si="1295"/>
        <v>0.2394</v>
      </c>
      <c r="ET45">
        <f t="shared" si="1296"/>
        <v>0.2014</v>
      </c>
      <c r="EU45">
        <f t="shared" si="1297"/>
        <v>7.6E-3</v>
      </c>
      <c r="EV45">
        <f t="shared" si="1298"/>
        <v>3.04E-2</v>
      </c>
      <c r="EW45">
        <f t="shared" si="1299"/>
        <v>0</v>
      </c>
      <c r="EX45">
        <f t="shared" si="1300"/>
        <v>0</v>
      </c>
      <c r="EY45">
        <f t="shared" si="1301"/>
        <v>0</v>
      </c>
      <c r="EZ45">
        <f t="shared" si="1302"/>
        <v>37.43</v>
      </c>
      <c r="FA45">
        <f t="shared" si="1303"/>
        <v>118.37</v>
      </c>
      <c r="FB45">
        <f t="shared" si="1304"/>
        <v>124.83</v>
      </c>
      <c r="FC45">
        <f t="shared" si="1305"/>
        <v>197.79</v>
      </c>
      <c r="FD45">
        <f t="shared" si="1306"/>
        <v>167.2</v>
      </c>
      <c r="FE45">
        <f t="shared" si="1307"/>
        <v>83.03</v>
      </c>
      <c r="FF45">
        <f t="shared" si="1308"/>
        <v>61.37</v>
      </c>
      <c r="FG45">
        <f t="shared" si="1309"/>
        <v>125.78</v>
      </c>
      <c r="FH45">
        <f t="shared" si="1310"/>
        <v>95.57</v>
      </c>
      <c r="FI45">
        <f t="shared" si="1311"/>
        <v>156.37</v>
      </c>
      <c r="FJ45">
        <f t="shared" si="1312"/>
        <v>145.72999999999999</v>
      </c>
      <c r="FK45">
        <f t="shared" si="1313"/>
        <v>56.62</v>
      </c>
      <c r="FL45">
        <f t="shared" si="1314"/>
        <v>136.61000000000001</v>
      </c>
      <c r="FM45">
        <f t="shared" si="1315"/>
        <v>229.71</v>
      </c>
      <c r="FN45">
        <f t="shared" si="1316"/>
        <v>286.52</v>
      </c>
      <c r="FO45">
        <f t="shared" si="1317"/>
        <v>79.040000000000006</v>
      </c>
      <c r="FP45">
        <f t="shared" si="1318"/>
        <v>94.24</v>
      </c>
      <c r="FQ45">
        <f t="shared" si="1319"/>
        <v>159.97999999999999</v>
      </c>
      <c r="FR45">
        <f t="shared" si="1320"/>
        <v>9.5000000000000015E-3</v>
      </c>
      <c r="FS45">
        <f t="shared" si="1321"/>
        <v>0</v>
      </c>
      <c r="FT45">
        <f t="shared" si="1322"/>
        <v>0</v>
      </c>
      <c r="FU45">
        <f t="shared" si="1323"/>
        <v>0</v>
      </c>
      <c r="FV45">
        <f t="shared" si="1324"/>
        <v>0</v>
      </c>
      <c r="FW45">
        <f t="shared" si="1325"/>
        <v>0</v>
      </c>
    </row>
    <row r="46" spans="1:179" x14ac:dyDescent="0.35">
      <c r="B46" s="72" t="s">
        <v>240</v>
      </c>
      <c r="C46">
        <v>4</v>
      </c>
      <c r="D46" s="6">
        <v>411</v>
      </c>
      <c r="E46" s="6">
        <v>1700</v>
      </c>
      <c r="F46" s="6">
        <v>20.399999999999999</v>
      </c>
      <c r="G46" s="6">
        <v>0</v>
      </c>
      <c r="H46" s="6">
        <v>20.399999999999999</v>
      </c>
      <c r="I46" s="6">
        <v>25.6</v>
      </c>
      <c r="J46" s="6">
        <v>0</v>
      </c>
      <c r="K46" s="6">
        <v>25.6</v>
      </c>
      <c r="L46" s="6">
        <v>0</v>
      </c>
      <c r="M46" s="6">
        <v>11.5</v>
      </c>
      <c r="N46" s="6">
        <v>11.5</v>
      </c>
      <c r="O46" s="51">
        <v>0.05</v>
      </c>
      <c r="P46" s="6">
        <v>27.7</v>
      </c>
      <c r="Q46" s="6">
        <v>0</v>
      </c>
      <c r="R46" s="6">
        <v>2.5</v>
      </c>
      <c r="S46" s="6">
        <v>14.3</v>
      </c>
      <c r="T46" s="6">
        <v>51</v>
      </c>
      <c r="U46" s="6">
        <v>81</v>
      </c>
      <c r="V46" s="6">
        <v>1500</v>
      </c>
      <c r="W46" s="6">
        <v>685</v>
      </c>
      <c r="X46" s="6">
        <v>6.9</v>
      </c>
      <c r="Y46" s="6">
        <v>520</v>
      </c>
      <c r="Z46" s="6">
        <v>3.9</v>
      </c>
      <c r="AA46" s="6">
        <v>10</v>
      </c>
      <c r="AB46" s="6">
        <v>180</v>
      </c>
      <c r="AC46" s="6">
        <v>4</v>
      </c>
      <c r="AD46" s="6">
        <v>4.8</v>
      </c>
      <c r="AE46" s="6">
        <v>250</v>
      </c>
      <c r="AF46" s="6">
        <v>0.08</v>
      </c>
      <c r="AG46" s="6">
        <v>0.3</v>
      </c>
      <c r="AH46" s="6">
        <v>0</v>
      </c>
      <c r="AI46" s="6">
        <v>1.7</v>
      </c>
      <c r="AJ46" s="6">
        <v>7.0000000000000007E-2</v>
      </c>
      <c r="AK46" s="6">
        <v>38</v>
      </c>
      <c r="AL46" s="6">
        <v>0.25</v>
      </c>
      <c r="AM46" s="6">
        <v>26</v>
      </c>
      <c r="AN46" s="6">
        <v>0</v>
      </c>
      <c r="AO46" s="6">
        <v>7</v>
      </c>
      <c r="AP46" s="6">
        <v>0</v>
      </c>
      <c r="AQ46" s="6">
        <v>42</v>
      </c>
      <c r="AR46" s="6">
        <v>0.68</v>
      </c>
      <c r="AS46" s="6">
        <v>0</v>
      </c>
      <c r="AT46" s="6">
        <v>2.5</v>
      </c>
      <c r="AU46" s="6">
        <v>12.02</v>
      </c>
      <c r="AV46" s="6">
        <v>0</v>
      </c>
      <c r="AW46" s="6">
        <v>0</v>
      </c>
      <c r="AX46" s="6">
        <v>0.04</v>
      </c>
      <c r="AY46" s="6">
        <v>5.5</v>
      </c>
      <c r="AZ46" s="6">
        <v>6.34</v>
      </c>
      <c r="BA46" s="6">
        <v>0</v>
      </c>
      <c r="BB46" s="6">
        <v>0</v>
      </c>
      <c r="BC46" s="6">
        <v>6.8</v>
      </c>
      <c r="BD46" s="6">
        <v>0</v>
      </c>
      <c r="BE46" s="6">
        <v>0</v>
      </c>
      <c r="BF46" s="6">
        <v>6.8</v>
      </c>
      <c r="BG46" s="6">
        <v>0</v>
      </c>
      <c r="BH46" s="6">
        <v>0</v>
      </c>
      <c r="BI46" s="6">
        <v>0.66</v>
      </c>
      <c r="BJ46" s="6">
        <v>0.66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7">
        <v>305</v>
      </c>
      <c r="BQ46" s="7">
        <v>808</v>
      </c>
      <c r="BR46" s="7">
        <v>791</v>
      </c>
      <c r="BS46" s="7">
        <v>1239</v>
      </c>
      <c r="BT46" s="7">
        <v>1023</v>
      </c>
      <c r="BU46" s="7">
        <v>210</v>
      </c>
      <c r="BV46" s="7">
        <v>249</v>
      </c>
      <c r="BW46" s="7">
        <v>979</v>
      </c>
      <c r="BX46" s="7">
        <v>765</v>
      </c>
      <c r="BY46" s="7">
        <v>1228</v>
      </c>
      <c r="BZ46" s="7">
        <v>1155</v>
      </c>
      <c r="CA46" s="7">
        <v>353</v>
      </c>
      <c r="CB46" s="7">
        <v>941</v>
      </c>
      <c r="CC46" s="7">
        <v>2030</v>
      </c>
      <c r="CD46" s="7">
        <v>3070</v>
      </c>
      <c r="CE46" s="7">
        <v>915</v>
      </c>
      <c r="CF46" s="7">
        <v>872</v>
      </c>
      <c r="CG46" s="7">
        <v>881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>
        <f t="shared" si="1238"/>
        <v>16.440000000000001</v>
      </c>
      <c r="CO46">
        <f t="shared" si="1239"/>
        <v>68</v>
      </c>
      <c r="CP46">
        <f t="shared" si="1240"/>
        <v>0.81599999999999995</v>
      </c>
      <c r="CQ46">
        <f t="shared" si="1241"/>
        <v>0</v>
      </c>
      <c r="CR46">
        <f t="shared" si="1242"/>
        <v>0.81599999999999995</v>
      </c>
      <c r="CS46">
        <f t="shared" si="1243"/>
        <v>1.024</v>
      </c>
      <c r="CT46">
        <f t="shared" si="1244"/>
        <v>0</v>
      </c>
      <c r="CU46">
        <f t="shared" si="1245"/>
        <v>1.024</v>
      </c>
      <c r="CV46">
        <f t="shared" si="1246"/>
        <v>0</v>
      </c>
      <c r="CW46">
        <f t="shared" si="1247"/>
        <v>0.46</v>
      </c>
      <c r="CX46">
        <f t="shared" si="1248"/>
        <v>0.46</v>
      </c>
      <c r="CY46">
        <f t="shared" si="1249"/>
        <v>2E-3</v>
      </c>
      <c r="CZ46">
        <f t="shared" si="1250"/>
        <v>1.1079999999999999</v>
      </c>
      <c r="DA46">
        <f t="shared" si="1251"/>
        <v>0</v>
      </c>
      <c r="DB46">
        <f t="shared" si="1252"/>
        <v>0.1</v>
      </c>
      <c r="DC46">
        <f t="shared" si="1253"/>
        <v>0.57200000000000006</v>
      </c>
      <c r="DD46">
        <f t="shared" si="1254"/>
        <v>2.04</v>
      </c>
      <c r="DE46">
        <f t="shared" si="1255"/>
        <v>3.24</v>
      </c>
      <c r="DF46">
        <f t="shared" si="1256"/>
        <v>60</v>
      </c>
      <c r="DG46">
        <f t="shared" si="1257"/>
        <v>27.4</v>
      </c>
      <c r="DH46">
        <f t="shared" si="1258"/>
        <v>0.27600000000000002</v>
      </c>
      <c r="DI46">
        <f t="shared" si="1259"/>
        <v>20.8</v>
      </c>
      <c r="DJ46">
        <f t="shared" si="1260"/>
        <v>0.156</v>
      </c>
      <c r="DK46">
        <f t="shared" si="1261"/>
        <v>0.4</v>
      </c>
      <c r="DL46">
        <f t="shared" si="1262"/>
        <v>7.2</v>
      </c>
      <c r="DM46">
        <f t="shared" si="1263"/>
        <v>0.16</v>
      </c>
      <c r="DN46">
        <f t="shared" si="1264"/>
        <v>0.192</v>
      </c>
      <c r="DO46">
        <f t="shared" si="1265"/>
        <v>10</v>
      </c>
      <c r="DP46">
        <f t="shared" si="1266"/>
        <v>3.2000000000000002E-3</v>
      </c>
      <c r="DQ46">
        <f t="shared" si="1267"/>
        <v>1.2E-2</v>
      </c>
      <c r="DR46">
        <f t="shared" si="1268"/>
        <v>0</v>
      </c>
      <c r="DS46">
        <f t="shared" si="1269"/>
        <v>6.8000000000000005E-2</v>
      </c>
      <c r="DT46">
        <f t="shared" si="1270"/>
        <v>2.8000000000000004E-3</v>
      </c>
      <c r="DU46">
        <f t="shared" si="1271"/>
        <v>1.52</v>
      </c>
      <c r="DV46">
        <f t="shared" si="1272"/>
        <v>0.01</v>
      </c>
      <c r="DW46">
        <f t="shared" si="1273"/>
        <v>1.04</v>
      </c>
      <c r="DX46">
        <f t="shared" si="1274"/>
        <v>0</v>
      </c>
      <c r="DY46">
        <f t="shared" si="1275"/>
        <v>0.28000000000000003</v>
      </c>
      <c r="DZ46">
        <f t="shared" si="1276"/>
        <v>0</v>
      </c>
      <c r="EA46">
        <f t="shared" si="1277"/>
        <v>1.68</v>
      </c>
      <c r="EB46">
        <f t="shared" si="1278"/>
        <v>2.7200000000000002E-2</v>
      </c>
      <c r="EC46">
        <f t="shared" si="1279"/>
        <v>0</v>
      </c>
      <c r="ED46">
        <f t="shared" si="1280"/>
        <v>0.1</v>
      </c>
      <c r="EE46">
        <f t="shared" si="1281"/>
        <v>0.48080000000000001</v>
      </c>
      <c r="EF46">
        <f t="shared" si="1282"/>
        <v>0</v>
      </c>
      <c r="EG46">
        <f t="shared" si="1283"/>
        <v>0</v>
      </c>
      <c r="EH46">
        <f t="shared" si="1284"/>
        <v>1.6000000000000001E-3</v>
      </c>
      <c r="EI46">
        <f t="shared" si="1285"/>
        <v>0.22</v>
      </c>
      <c r="EJ46">
        <f t="shared" si="1286"/>
        <v>0.25359999999999999</v>
      </c>
      <c r="EK46">
        <f t="shared" si="1287"/>
        <v>0</v>
      </c>
      <c r="EL46">
        <f t="shared" si="1288"/>
        <v>0</v>
      </c>
      <c r="EM46">
        <f t="shared" si="1289"/>
        <v>0.27200000000000002</v>
      </c>
      <c r="EN46">
        <f t="shared" si="1290"/>
        <v>0</v>
      </c>
      <c r="EO46">
        <f t="shared" si="1291"/>
        <v>0</v>
      </c>
      <c r="EP46">
        <f t="shared" si="1292"/>
        <v>0.27200000000000002</v>
      </c>
      <c r="EQ46">
        <f t="shared" si="1293"/>
        <v>0</v>
      </c>
      <c r="ER46">
        <f t="shared" si="1294"/>
        <v>0</v>
      </c>
      <c r="ES46">
        <f t="shared" si="1295"/>
        <v>2.64E-2</v>
      </c>
      <c r="ET46">
        <f t="shared" si="1296"/>
        <v>2.64E-2</v>
      </c>
      <c r="EU46">
        <f t="shared" si="1297"/>
        <v>0</v>
      </c>
      <c r="EV46">
        <f t="shared" si="1298"/>
        <v>0</v>
      </c>
      <c r="EW46">
        <f t="shared" si="1299"/>
        <v>0</v>
      </c>
      <c r="EX46">
        <f t="shared" si="1300"/>
        <v>0</v>
      </c>
      <c r="EY46">
        <f t="shared" si="1301"/>
        <v>0</v>
      </c>
      <c r="EZ46">
        <f t="shared" si="1302"/>
        <v>12.2</v>
      </c>
      <c r="FA46">
        <f t="shared" si="1303"/>
        <v>32.32</v>
      </c>
      <c r="FB46">
        <f t="shared" si="1304"/>
        <v>31.64</v>
      </c>
      <c r="FC46">
        <f t="shared" si="1305"/>
        <v>49.56</v>
      </c>
      <c r="FD46">
        <f t="shared" si="1306"/>
        <v>40.92</v>
      </c>
      <c r="FE46">
        <f t="shared" si="1307"/>
        <v>8.4</v>
      </c>
      <c r="FF46">
        <f t="shared" si="1308"/>
        <v>9.9600000000000009</v>
      </c>
      <c r="FG46">
        <f t="shared" si="1309"/>
        <v>39.159999999999997</v>
      </c>
      <c r="FH46">
        <f t="shared" si="1310"/>
        <v>30.6</v>
      </c>
      <c r="FI46">
        <f t="shared" si="1311"/>
        <v>49.12</v>
      </c>
      <c r="FJ46">
        <f t="shared" si="1312"/>
        <v>46.2</v>
      </c>
      <c r="FK46">
        <f t="shared" si="1313"/>
        <v>14.12</v>
      </c>
      <c r="FL46">
        <f t="shared" si="1314"/>
        <v>37.64</v>
      </c>
      <c r="FM46">
        <f t="shared" si="1315"/>
        <v>81.2</v>
      </c>
      <c r="FN46">
        <f t="shared" si="1316"/>
        <v>122.8</v>
      </c>
      <c r="FO46">
        <f t="shared" si="1317"/>
        <v>36.6</v>
      </c>
      <c r="FP46">
        <f t="shared" si="1318"/>
        <v>34.880000000000003</v>
      </c>
      <c r="FQ46">
        <f t="shared" si="1319"/>
        <v>35.24</v>
      </c>
      <c r="FR46">
        <f t="shared" si="1320"/>
        <v>0</v>
      </c>
      <c r="FS46">
        <f t="shared" si="1321"/>
        <v>0</v>
      </c>
      <c r="FT46">
        <f t="shared" si="1322"/>
        <v>0</v>
      </c>
      <c r="FU46">
        <f t="shared" si="1323"/>
        <v>0</v>
      </c>
      <c r="FV46">
        <f t="shared" si="1324"/>
        <v>0</v>
      </c>
      <c r="FW46">
        <f t="shared" si="1325"/>
        <v>0</v>
      </c>
    </row>
    <row r="47" spans="1:179" x14ac:dyDescent="0.35">
      <c r="B47" s="72" t="s">
        <v>241</v>
      </c>
      <c r="C47">
        <v>0.5</v>
      </c>
      <c r="D47" s="54">
        <v>290</v>
      </c>
      <c r="E47" s="54">
        <v>1206</v>
      </c>
      <c r="F47" s="54">
        <v>0.1</v>
      </c>
      <c r="G47" s="54">
        <v>0</v>
      </c>
      <c r="H47" s="54">
        <v>0.1</v>
      </c>
      <c r="I47" s="54">
        <v>0.1</v>
      </c>
      <c r="J47" s="54">
        <v>0</v>
      </c>
      <c r="K47" s="54">
        <v>0.1</v>
      </c>
      <c r="L47" s="54">
        <v>0</v>
      </c>
      <c r="M47" s="54">
        <v>12.7</v>
      </c>
      <c r="N47" s="51">
        <v>0.05</v>
      </c>
      <c r="O47" s="54">
        <v>12.7</v>
      </c>
      <c r="P47" s="54">
        <v>0</v>
      </c>
      <c r="Q47" s="54">
        <v>34.4</v>
      </c>
      <c r="R47" s="54">
        <v>52.6</v>
      </c>
      <c r="S47" s="54">
        <v>0.1</v>
      </c>
      <c r="T47" s="54">
        <v>11</v>
      </c>
      <c r="U47" s="54">
        <v>9</v>
      </c>
      <c r="V47" s="54">
        <v>148</v>
      </c>
      <c r="W47" s="54">
        <v>6</v>
      </c>
      <c r="X47" s="54">
        <v>0.1</v>
      </c>
      <c r="Y47" s="54">
        <v>12</v>
      </c>
      <c r="Z47" s="54">
        <v>7.0000000000000007E-2</v>
      </c>
      <c r="AA47" s="54">
        <v>0</v>
      </c>
      <c r="AB47" s="81">
        <v>0</v>
      </c>
      <c r="AC47" s="81">
        <v>0</v>
      </c>
      <c r="AD47" s="54">
        <v>0.23</v>
      </c>
      <c r="AE47" s="81">
        <v>0</v>
      </c>
      <c r="AF47" s="54">
        <v>0.01</v>
      </c>
      <c r="AG47" s="54">
        <v>0.1</v>
      </c>
      <c r="AH47" s="54">
        <v>0</v>
      </c>
      <c r="AI47" s="54">
        <v>0.43</v>
      </c>
      <c r="AJ47" s="54">
        <v>0.03</v>
      </c>
      <c r="AK47" s="54">
        <v>0</v>
      </c>
      <c r="AL47" s="54">
        <v>0.04</v>
      </c>
      <c r="AM47" s="81">
        <v>0</v>
      </c>
      <c r="AN47" s="54">
        <v>0</v>
      </c>
      <c r="AO47" s="54">
        <v>0</v>
      </c>
      <c r="AP47" s="54">
        <v>0</v>
      </c>
      <c r="AQ47" s="54">
        <v>0</v>
      </c>
      <c r="AR47" s="54">
        <v>0</v>
      </c>
      <c r="AS47" s="54">
        <v>0</v>
      </c>
      <c r="AT47" s="81">
        <v>0</v>
      </c>
      <c r="AU47" s="54">
        <v>0.01</v>
      </c>
      <c r="AV47" s="54">
        <v>0</v>
      </c>
      <c r="AW47" s="54">
        <v>0</v>
      </c>
      <c r="AX47" s="54">
        <v>0</v>
      </c>
      <c r="AY47" s="54">
        <v>0.01</v>
      </c>
      <c r="AZ47" s="51">
        <v>5.0000000000000001E-3</v>
      </c>
      <c r="BA47" s="82">
        <v>0</v>
      </c>
      <c r="BB47" s="82">
        <v>0</v>
      </c>
      <c r="BC47" s="54">
        <v>0.01</v>
      </c>
      <c r="BD47" s="82">
        <v>0</v>
      </c>
      <c r="BE47" s="54">
        <v>0</v>
      </c>
      <c r="BF47" s="54">
        <v>0.01</v>
      </c>
      <c r="BG47" s="54">
        <v>0</v>
      </c>
      <c r="BH47" s="54">
        <v>0</v>
      </c>
      <c r="BI47" s="51">
        <v>5.0000000000000001E-3</v>
      </c>
      <c r="BJ47" s="51">
        <v>5.0000000000000001E-3</v>
      </c>
      <c r="BK47" s="51">
        <v>5.0000000000000001E-3</v>
      </c>
      <c r="BL47" s="54">
        <v>0</v>
      </c>
      <c r="BM47" s="54">
        <v>0</v>
      </c>
      <c r="BN47" s="54">
        <v>0</v>
      </c>
      <c r="BO47" s="54">
        <v>0</v>
      </c>
      <c r="BP47" s="74">
        <v>0.5</v>
      </c>
      <c r="BQ47" s="74">
        <v>0.5</v>
      </c>
      <c r="BR47" s="74">
        <v>0.5</v>
      </c>
      <c r="BS47" s="74">
        <v>0.5</v>
      </c>
      <c r="BT47" s="74">
        <v>0.5</v>
      </c>
      <c r="BU47" s="74">
        <v>0.5</v>
      </c>
      <c r="BV47" s="74">
        <v>0.5</v>
      </c>
      <c r="BW47" s="74">
        <v>0.5</v>
      </c>
      <c r="BX47" s="74">
        <v>0.5</v>
      </c>
      <c r="BY47" s="74">
        <v>0.5</v>
      </c>
      <c r="BZ47" s="74">
        <v>0.5</v>
      </c>
      <c r="CA47" s="74">
        <v>0.5</v>
      </c>
      <c r="CB47" s="74">
        <v>0.5</v>
      </c>
      <c r="CC47" s="74">
        <v>0.5</v>
      </c>
      <c r="CD47" s="74">
        <v>0.5</v>
      </c>
      <c r="CE47" s="74">
        <v>0.5</v>
      </c>
      <c r="CF47" s="74">
        <v>0.5</v>
      </c>
      <c r="CG47" s="74">
        <v>0.5</v>
      </c>
      <c r="CH47" s="81">
        <v>0</v>
      </c>
      <c r="CI47" s="81">
        <v>0</v>
      </c>
      <c r="CJ47" s="83">
        <v>0</v>
      </c>
      <c r="CK47" s="81">
        <v>0</v>
      </c>
      <c r="CL47" s="81">
        <v>0</v>
      </c>
      <c r="CM47" s="83">
        <v>0</v>
      </c>
      <c r="CN47">
        <f t="shared" si="1238"/>
        <v>1.45</v>
      </c>
      <c r="CO47">
        <f t="shared" si="1239"/>
        <v>6.03</v>
      </c>
      <c r="CP47">
        <f t="shared" si="1240"/>
        <v>5.0000000000000001E-4</v>
      </c>
      <c r="CQ47">
        <f t="shared" si="1241"/>
        <v>0</v>
      </c>
      <c r="CR47">
        <f t="shared" si="1242"/>
        <v>5.0000000000000001E-4</v>
      </c>
      <c r="CS47">
        <f t="shared" si="1243"/>
        <v>5.0000000000000001E-4</v>
      </c>
      <c r="CT47">
        <f t="shared" si="1244"/>
        <v>0</v>
      </c>
      <c r="CU47">
        <f t="shared" si="1245"/>
        <v>5.0000000000000001E-4</v>
      </c>
      <c r="CV47">
        <f t="shared" si="1246"/>
        <v>0</v>
      </c>
      <c r="CW47">
        <f t="shared" si="1247"/>
        <v>6.3500000000000001E-2</v>
      </c>
      <c r="CX47">
        <f t="shared" si="1248"/>
        <v>2.5000000000000001E-4</v>
      </c>
      <c r="CY47">
        <f t="shared" si="1249"/>
        <v>6.3500000000000001E-2</v>
      </c>
      <c r="CZ47">
        <f t="shared" si="1250"/>
        <v>0</v>
      </c>
      <c r="DA47">
        <f t="shared" si="1251"/>
        <v>0.17199999999999999</v>
      </c>
      <c r="DB47">
        <f t="shared" si="1252"/>
        <v>0.26300000000000001</v>
      </c>
      <c r="DC47">
        <f t="shared" si="1253"/>
        <v>5.0000000000000001E-4</v>
      </c>
      <c r="DD47">
        <f t="shared" si="1254"/>
        <v>5.5E-2</v>
      </c>
      <c r="DE47">
        <f t="shared" si="1255"/>
        <v>4.4999999999999998E-2</v>
      </c>
      <c r="DF47">
        <f t="shared" si="1256"/>
        <v>0.74</v>
      </c>
      <c r="DG47">
        <f t="shared" si="1257"/>
        <v>0.03</v>
      </c>
      <c r="DH47">
        <f t="shared" si="1258"/>
        <v>5.0000000000000001E-4</v>
      </c>
      <c r="DI47">
        <f t="shared" si="1259"/>
        <v>0.06</v>
      </c>
      <c r="DJ47">
        <f t="shared" si="1260"/>
        <v>3.5000000000000005E-4</v>
      </c>
      <c r="DK47">
        <f t="shared" si="1261"/>
        <v>0</v>
      </c>
      <c r="DL47">
        <f t="shared" si="1262"/>
        <v>0</v>
      </c>
      <c r="DM47">
        <f t="shared" si="1263"/>
        <v>0</v>
      </c>
      <c r="DN47">
        <f t="shared" si="1264"/>
        <v>1.15E-3</v>
      </c>
      <c r="DO47">
        <f t="shared" si="1265"/>
        <v>0</v>
      </c>
      <c r="DP47">
        <f t="shared" si="1266"/>
        <v>5.0000000000000002E-5</v>
      </c>
      <c r="DQ47">
        <f t="shared" si="1267"/>
        <v>5.0000000000000001E-4</v>
      </c>
      <c r="DR47">
        <f t="shared" si="1268"/>
        <v>0</v>
      </c>
      <c r="DS47">
        <f t="shared" si="1269"/>
        <v>2.15E-3</v>
      </c>
      <c r="DT47">
        <f t="shared" si="1270"/>
        <v>1.4999999999999999E-4</v>
      </c>
      <c r="DU47">
        <f t="shared" si="1271"/>
        <v>0</v>
      </c>
      <c r="DV47">
        <f t="shared" si="1272"/>
        <v>2.0000000000000001E-4</v>
      </c>
      <c r="DW47">
        <f t="shared" si="1273"/>
        <v>0</v>
      </c>
      <c r="DX47">
        <f t="shared" si="1274"/>
        <v>0</v>
      </c>
      <c r="DY47">
        <f t="shared" si="1275"/>
        <v>0</v>
      </c>
      <c r="DZ47">
        <f t="shared" si="1276"/>
        <v>0</v>
      </c>
      <c r="EA47">
        <f t="shared" si="1277"/>
        <v>0</v>
      </c>
      <c r="EB47">
        <f t="shared" si="1278"/>
        <v>0</v>
      </c>
      <c r="EC47">
        <f t="shared" si="1279"/>
        <v>0</v>
      </c>
      <c r="ED47">
        <f t="shared" si="1280"/>
        <v>0</v>
      </c>
      <c r="EE47">
        <f t="shared" si="1281"/>
        <v>5.0000000000000002E-5</v>
      </c>
      <c r="EF47">
        <f t="shared" si="1282"/>
        <v>0</v>
      </c>
      <c r="EG47">
        <f t="shared" si="1283"/>
        <v>0</v>
      </c>
      <c r="EH47">
        <f t="shared" si="1284"/>
        <v>0</v>
      </c>
      <c r="EI47">
        <f t="shared" si="1285"/>
        <v>5.0000000000000002E-5</v>
      </c>
      <c r="EJ47">
        <f t="shared" si="1286"/>
        <v>2.5000000000000001E-5</v>
      </c>
      <c r="EK47">
        <f t="shared" si="1287"/>
        <v>0</v>
      </c>
      <c r="EL47">
        <f t="shared" si="1288"/>
        <v>0</v>
      </c>
      <c r="EM47">
        <f t="shared" si="1289"/>
        <v>5.0000000000000002E-5</v>
      </c>
      <c r="EN47">
        <f t="shared" si="1290"/>
        <v>0</v>
      </c>
      <c r="EO47">
        <f t="shared" si="1291"/>
        <v>0</v>
      </c>
      <c r="EP47">
        <f t="shared" si="1292"/>
        <v>5.0000000000000002E-5</v>
      </c>
      <c r="EQ47">
        <f t="shared" si="1293"/>
        <v>0</v>
      </c>
      <c r="ER47">
        <f t="shared" si="1294"/>
        <v>0</v>
      </c>
      <c r="ES47">
        <f t="shared" si="1295"/>
        <v>2.5000000000000001E-5</v>
      </c>
      <c r="ET47">
        <f t="shared" si="1296"/>
        <v>2.5000000000000001E-5</v>
      </c>
      <c r="EU47">
        <f t="shared" si="1297"/>
        <v>2.5000000000000001E-5</v>
      </c>
      <c r="EV47">
        <f t="shared" si="1298"/>
        <v>0</v>
      </c>
      <c r="EW47">
        <f t="shared" si="1299"/>
        <v>0</v>
      </c>
      <c r="EX47">
        <f t="shared" si="1300"/>
        <v>0</v>
      </c>
      <c r="EY47">
        <f t="shared" si="1301"/>
        <v>0</v>
      </c>
      <c r="EZ47">
        <f t="shared" si="1302"/>
        <v>2.5000000000000001E-3</v>
      </c>
      <c r="FA47">
        <f t="shared" si="1303"/>
        <v>2.5000000000000001E-3</v>
      </c>
      <c r="FB47">
        <f t="shared" si="1304"/>
        <v>2.5000000000000001E-3</v>
      </c>
      <c r="FC47">
        <f t="shared" si="1305"/>
        <v>2.5000000000000001E-3</v>
      </c>
      <c r="FD47">
        <f t="shared" si="1306"/>
        <v>2.5000000000000001E-3</v>
      </c>
      <c r="FE47">
        <f t="shared" si="1307"/>
        <v>2.5000000000000001E-3</v>
      </c>
      <c r="FF47">
        <f t="shared" si="1308"/>
        <v>2.5000000000000001E-3</v>
      </c>
      <c r="FG47">
        <f t="shared" si="1309"/>
        <v>2.5000000000000001E-3</v>
      </c>
      <c r="FH47">
        <f t="shared" si="1310"/>
        <v>2.5000000000000001E-3</v>
      </c>
      <c r="FI47">
        <f t="shared" si="1311"/>
        <v>2.5000000000000001E-3</v>
      </c>
      <c r="FJ47">
        <f t="shared" si="1312"/>
        <v>2.5000000000000001E-3</v>
      </c>
      <c r="FK47">
        <f t="shared" si="1313"/>
        <v>2.5000000000000001E-3</v>
      </c>
      <c r="FL47">
        <f t="shared" si="1314"/>
        <v>2.5000000000000001E-3</v>
      </c>
      <c r="FM47">
        <f t="shared" si="1315"/>
        <v>2.5000000000000001E-3</v>
      </c>
      <c r="FN47">
        <f t="shared" si="1316"/>
        <v>2.5000000000000001E-3</v>
      </c>
      <c r="FO47">
        <f t="shared" si="1317"/>
        <v>2.5000000000000001E-3</v>
      </c>
      <c r="FP47">
        <f t="shared" si="1318"/>
        <v>2.5000000000000001E-3</v>
      </c>
      <c r="FQ47">
        <f t="shared" si="1319"/>
        <v>2.5000000000000001E-3</v>
      </c>
      <c r="FR47">
        <f t="shared" si="1320"/>
        <v>0</v>
      </c>
      <c r="FS47">
        <f t="shared" si="1321"/>
        <v>0</v>
      </c>
      <c r="FT47">
        <f t="shared" si="1322"/>
        <v>0</v>
      </c>
      <c r="FU47">
        <f t="shared" si="1323"/>
        <v>0</v>
      </c>
      <c r="FV47">
        <f t="shared" si="1324"/>
        <v>0</v>
      </c>
      <c r="FW47">
        <f t="shared" si="1325"/>
        <v>0</v>
      </c>
    </row>
    <row r="48" spans="1:179" x14ac:dyDescent="0.35">
      <c r="B48" s="72" t="s">
        <v>242</v>
      </c>
      <c r="C48">
        <v>0.5</v>
      </c>
      <c r="D48" s="6">
        <v>163</v>
      </c>
      <c r="E48" s="6">
        <v>693</v>
      </c>
      <c r="F48" s="6">
        <v>5.2</v>
      </c>
      <c r="G48" s="6">
        <v>0</v>
      </c>
      <c r="H48" s="6">
        <v>5.2</v>
      </c>
      <c r="I48" s="6">
        <v>0</v>
      </c>
      <c r="J48" s="6">
        <v>0</v>
      </c>
      <c r="K48" s="6">
        <v>0</v>
      </c>
      <c r="L48" s="6">
        <v>0</v>
      </c>
      <c r="M48" s="6">
        <v>37.799999999999997</v>
      </c>
      <c r="N48" s="6">
        <v>37.799999999999997</v>
      </c>
      <c r="O48" s="6">
        <v>0</v>
      </c>
      <c r="P48" s="6">
        <v>0</v>
      </c>
      <c r="Q48" s="6">
        <v>0</v>
      </c>
      <c r="R48" s="6">
        <v>6.3</v>
      </c>
      <c r="S48" s="51">
        <v>0.05</v>
      </c>
      <c r="T48" s="6">
        <v>1130</v>
      </c>
      <c r="U48" s="6">
        <v>11800</v>
      </c>
      <c r="V48" s="6">
        <v>49</v>
      </c>
      <c r="W48" s="6">
        <v>8430</v>
      </c>
      <c r="X48" s="6">
        <v>2.8</v>
      </c>
      <c r="Y48" s="6">
        <v>9</v>
      </c>
      <c r="Z48" s="51">
        <v>5.0000000000000001E-3</v>
      </c>
      <c r="AA48" s="51">
        <v>0.05</v>
      </c>
      <c r="AB48" s="6">
        <v>29</v>
      </c>
      <c r="AC48" s="51">
        <v>0.5</v>
      </c>
      <c r="AD48" s="51">
        <v>5.0000000000000001E-3</v>
      </c>
      <c r="AE48" s="6">
        <v>1</v>
      </c>
      <c r="AF48" s="51">
        <v>5.0000000000000001E-3</v>
      </c>
      <c r="AG48" s="51">
        <v>5.0000000000000001E-3</v>
      </c>
      <c r="AH48" s="6">
        <v>0</v>
      </c>
      <c r="AI48" s="51">
        <v>5.0000000000000001E-3</v>
      </c>
      <c r="AJ48" s="51">
        <v>5.0000000000000001E-3</v>
      </c>
      <c r="AK48" s="51">
        <v>0.5</v>
      </c>
      <c r="AL48" s="51">
        <v>5.0000000000000001E-3</v>
      </c>
      <c r="AM48" s="51">
        <v>0.05</v>
      </c>
      <c r="AN48" s="6">
        <v>0</v>
      </c>
      <c r="AO48" s="6">
        <v>0</v>
      </c>
      <c r="AP48" s="6">
        <v>0</v>
      </c>
      <c r="AQ48" s="6">
        <v>0</v>
      </c>
      <c r="AR48" s="51">
        <v>5.0000000000000001E-3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7">
        <v>55</v>
      </c>
      <c r="BQ48" s="7">
        <v>146</v>
      </c>
      <c r="BR48" s="7">
        <v>201</v>
      </c>
      <c r="BS48" s="7">
        <v>365</v>
      </c>
      <c r="BT48" s="7">
        <v>100</v>
      </c>
      <c r="BU48" s="7">
        <v>82</v>
      </c>
      <c r="BV48" s="7">
        <v>137</v>
      </c>
      <c r="BW48" s="7">
        <v>246</v>
      </c>
      <c r="BX48" s="7">
        <v>137</v>
      </c>
      <c r="BY48" s="7">
        <v>228</v>
      </c>
      <c r="BZ48" s="7">
        <v>182</v>
      </c>
      <c r="CA48" s="7">
        <v>109</v>
      </c>
      <c r="CB48" s="7">
        <v>155</v>
      </c>
      <c r="CC48" s="7">
        <v>228</v>
      </c>
      <c r="CD48" s="7">
        <v>1715</v>
      </c>
      <c r="CE48" s="7">
        <v>164</v>
      </c>
      <c r="CF48" s="7">
        <v>657</v>
      </c>
      <c r="CG48" s="7">
        <v>292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>
        <f t="shared" si="1238"/>
        <v>0.81499999999999995</v>
      </c>
      <c r="CO48">
        <f t="shared" si="1239"/>
        <v>3.4649999999999999</v>
      </c>
      <c r="CP48">
        <f t="shared" si="1240"/>
        <v>2.6000000000000002E-2</v>
      </c>
      <c r="CQ48">
        <f t="shared" si="1241"/>
        <v>0</v>
      </c>
      <c r="CR48">
        <f t="shared" si="1242"/>
        <v>2.6000000000000002E-2</v>
      </c>
      <c r="CS48">
        <f t="shared" si="1243"/>
        <v>0</v>
      </c>
      <c r="CT48">
        <f t="shared" si="1244"/>
        <v>0</v>
      </c>
      <c r="CU48">
        <f t="shared" si="1245"/>
        <v>0</v>
      </c>
      <c r="CV48">
        <f t="shared" si="1246"/>
        <v>0</v>
      </c>
      <c r="CW48">
        <f t="shared" si="1247"/>
        <v>0.18899999999999997</v>
      </c>
      <c r="CX48">
        <f t="shared" si="1248"/>
        <v>0.18899999999999997</v>
      </c>
      <c r="CY48">
        <f t="shared" si="1249"/>
        <v>0</v>
      </c>
      <c r="CZ48">
        <f t="shared" si="1250"/>
        <v>0</v>
      </c>
      <c r="DA48">
        <f t="shared" si="1251"/>
        <v>0</v>
      </c>
      <c r="DB48">
        <f t="shared" si="1252"/>
        <v>3.15E-2</v>
      </c>
      <c r="DC48">
        <f t="shared" si="1253"/>
        <v>2.5000000000000001E-4</v>
      </c>
      <c r="DD48">
        <f t="shared" si="1254"/>
        <v>5.65</v>
      </c>
      <c r="DE48">
        <f t="shared" si="1255"/>
        <v>59</v>
      </c>
      <c r="DF48">
        <f t="shared" si="1256"/>
        <v>0.245</v>
      </c>
      <c r="DG48">
        <f t="shared" si="1257"/>
        <v>42.15</v>
      </c>
      <c r="DH48">
        <f t="shared" si="1258"/>
        <v>1.3999999999999999E-2</v>
      </c>
      <c r="DI48">
        <f t="shared" si="1259"/>
        <v>4.4999999999999998E-2</v>
      </c>
      <c r="DJ48">
        <f t="shared" si="1260"/>
        <v>2.5000000000000001E-5</v>
      </c>
      <c r="DK48">
        <f t="shared" si="1261"/>
        <v>2.5000000000000001E-4</v>
      </c>
      <c r="DL48">
        <f t="shared" si="1262"/>
        <v>0.14499999999999999</v>
      </c>
      <c r="DM48">
        <f t="shared" si="1263"/>
        <v>2.5000000000000001E-3</v>
      </c>
      <c r="DN48">
        <f t="shared" si="1264"/>
        <v>2.5000000000000001E-5</v>
      </c>
      <c r="DO48">
        <f t="shared" si="1265"/>
        <v>5.0000000000000001E-3</v>
      </c>
      <c r="DP48">
        <f t="shared" si="1266"/>
        <v>2.5000000000000001E-5</v>
      </c>
      <c r="DQ48">
        <f t="shared" si="1267"/>
        <v>2.5000000000000001E-5</v>
      </c>
      <c r="DR48">
        <f t="shared" si="1268"/>
        <v>0</v>
      </c>
      <c r="DS48">
        <f t="shared" si="1269"/>
        <v>2.5000000000000001E-5</v>
      </c>
      <c r="DT48">
        <f t="shared" si="1270"/>
        <v>2.5000000000000001E-5</v>
      </c>
      <c r="DU48">
        <f t="shared" si="1271"/>
        <v>2.5000000000000001E-3</v>
      </c>
      <c r="DV48">
        <f t="shared" si="1272"/>
        <v>2.5000000000000001E-5</v>
      </c>
      <c r="DW48">
        <f t="shared" si="1273"/>
        <v>2.5000000000000001E-4</v>
      </c>
      <c r="DX48">
        <f t="shared" si="1274"/>
        <v>0</v>
      </c>
      <c r="DY48">
        <f t="shared" si="1275"/>
        <v>0</v>
      </c>
      <c r="DZ48">
        <f t="shared" si="1276"/>
        <v>0</v>
      </c>
      <c r="EA48">
        <f t="shared" si="1277"/>
        <v>0</v>
      </c>
      <c r="EB48">
        <f t="shared" si="1278"/>
        <v>2.5000000000000001E-5</v>
      </c>
      <c r="EC48">
        <f t="shared" si="1279"/>
        <v>0</v>
      </c>
      <c r="ED48">
        <f t="shared" si="1280"/>
        <v>0</v>
      </c>
      <c r="EE48">
        <f t="shared" si="1281"/>
        <v>0</v>
      </c>
      <c r="EF48">
        <f t="shared" si="1282"/>
        <v>0</v>
      </c>
      <c r="EG48">
        <f t="shared" si="1283"/>
        <v>0</v>
      </c>
      <c r="EH48">
        <f t="shared" si="1284"/>
        <v>0</v>
      </c>
      <c r="EI48">
        <f t="shared" si="1285"/>
        <v>0</v>
      </c>
      <c r="EJ48">
        <f t="shared" si="1286"/>
        <v>0</v>
      </c>
      <c r="EK48">
        <f t="shared" si="1287"/>
        <v>0</v>
      </c>
      <c r="EL48">
        <f t="shared" si="1288"/>
        <v>0</v>
      </c>
      <c r="EM48">
        <f t="shared" si="1289"/>
        <v>0</v>
      </c>
      <c r="EN48">
        <f t="shared" si="1290"/>
        <v>0</v>
      </c>
      <c r="EO48">
        <f t="shared" si="1291"/>
        <v>0</v>
      </c>
      <c r="EP48">
        <f t="shared" si="1292"/>
        <v>0</v>
      </c>
      <c r="EQ48">
        <f t="shared" si="1293"/>
        <v>0</v>
      </c>
      <c r="ER48">
        <f t="shared" si="1294"/>
        <v>0</v>
      </c>
      <c r="ES48">
        <f t="shared" si="1295"/>
        <v>0</v>
      </c>
      <c r="ET48">
        <f t="shared" si="1296"/>
        <v>0</v>
      </c>
      <c r="EU48">
        <f t="shared" si="1297"/>
        <v>0</v>
      </c>
      <c r="EV48">
        <f t="shared" si="1298"/>
        <v>0</v>
      </c>
      <c r="EW48">
        <f t="shared" si="1299"/>
        <v>0</v>
      </c>
      <c r="EX48">
        <f t="shared" si="1300"/>
        <v>0</v>
      </c>
      <c r="EY48">
        <f t="shared" si="1301"/>
        <v>0</v>
      </c>
      <c r="EZ48">
        <f t="shared" si="1302"/>
        <v>0.27500000000000002</v>
      </c>
      <c r="FA48">
        <f t="shared" si="1303"/>
        <v>0.73</v>
      </c>
      <c r="FB48">
        <f t="shared" si="1304"/>
        <v>1.0049999999999999</v>
      </c>
      <c r="FC48">
        <f t="shared" si="1305"/>
        <v>1.825</v>
      </c>
      <c r="FD48">
        <f t="shared" si="1306"/>
        <v>0.5</v>
      </c>
      <c r="FE48">
        <f t="shared" si="1307"/>
        <v>0.41</v>
      </c>
      <c r="FF48">
        <f t="shared" si="1308"/>
        <v>0.68500000000000005</v>
      </c>
      <c r="FG48">
        <f t="shared" si="1309"/>
        <v>1.23</v>
      </c>
      <c r="FH48">
        <f t="shared" si="1310"/>
        <v>0.68500000000000005</v>
      </c>
      <c r="FI48">
        <f t="shared" si="1311"/>
        <v>1.1399999999999999</v>
      </c>
      <c r="FJ48">
        <f t="shared" si="1312"/>
        <v>0.91</v>
      </c>
      <c r="FK48">
        <f t="shared" si="1313"/>
        <v>0.54500000000000004</v>
      </c>
      <c r="FL48">
        <f t="shared" si="1314"/>
        <v>0.77500000000000002</v>
      </c>
      <c r="FM48">
        <f t="shared" si="1315"/>
        <v>1.1399999999999999</v>
      </c>
      <c r="FN48">
        <f t="shared" si="1316"/>
        <v>8.5749999999999993</v>
      </c>
      <c r="FO48">
        <f t="shared" si="1317"/>
        <v>0.82</v>
      </c>
      <c r="FP48">
        <f t="shared" si="1318"/>
        <v>3.2850000000000001</v>
      </c>
      <c r="FQ48">
        <f t="shared" si="1319"/>
        <v>1.46</v>
      </c>
      <c r="FR48">
        <f t="shared" si="1320"/>
        <v>0</v>
      </c>
      <c r="FS48">
        <f t="shared" si="1321"/>
        <v>0</v>
      </c>
      <c r="FT48">
        <f t="shared" si="1322"/>
        <v>0</v>
      </c>
      <c r="FU48">
        <f t="shared" si="1323"/>
        <v>0</v>
      </c>
      <c r="FV48">
        <f t="shared" si="1324"/>
        <v>0</v>
      </c>
      <c r="FW48">
        <f t="shared" si="1325"/>
        <v>0</v>
      </c>
    </row>
    <row r="49" spans="1:179" x14ac:dyDescent="0.35">
      <c r="C49">
        <f>SUM(C41:C48)</f>
        <v>100</v>
      </c>
      <c r="CN49">
        <f>SUM(CN41:CN48)</f>
        <v>445.93499999999995</v>
      </c>
      <c r="CO49">
        <f t="shared" ref="CO49:EZ49" si="1326">SUM(CO41:CO48)</f>
        <v>1857.895</v>
      </c>
      <c r="CP49">
        <f t="shared" si="1326"/>
        <v>6.5334999999999992</v>
      </c>
      <c r="CQ49">
        <f t="shared" si="1326"/>
        <v>2.54</v>
      </c>
      <c r="CR49">
        <f t="shared" si="1326"/>
        <v>3.9934999999999996</v>
      </c>
      <c r="CS49">
        <f t="shared" si="1326"/>
        <v>30.058500000000002</v>
      </c>
      <c r="CT49">
        <f t="shared" si="1326"/>
        <v>20.835000000000001</v>
      </c>
      <c r="CU49">
        <f t="shared" si="1326"/>
        <v>9.2234999999999996</v>
      </c>
      <c r="CV49">
        <f t="shared" si="1326"/>
        <v>127.99</v>
      </c>
      <c r="CW49">
        <f t="shared" si="1326"/>
        <v>37.612000000000002</v>
      </c>
      <c r="CX49">
        <f t="shared" si="1326"/>
        <v>13.22425</v>
      </c>
      <c r="CY49">
        <f t="shared" si="1326"/>
        <v>24.389999999999997</v>
      </c>
      <c r="CZ49">
        <f t="shared" si="1326"/>
        <v>3.5089999999999995</v>
      </c>
      <c r="DA49">
        <f t="shared" si="1326"/>
        <v>0.17199999999999999</v>
      </c>
      <c r="DB49">
        <f t="shared" si="1326"/>
        <v>20.692000000000004</v>
      </c>
      <c r="DC49">
        <f t="shared" si="1326"/>
        <v>3.5467500000000003</v>
      </c>
      <c r="DD49">
        <f t="shared" si="1326"/>
        <v>49.67499999999999</v>
      </c>
      <c r="DE49">
        <f t="shared" si="1326"/>
        <v>100.065</v>
      </c>
      <c r="DF49">
        <f t="shared" si="1326"/>
        <v>271.05500000000001</v>
      </c>
      <c r="DG49">
        <f t="shared" si="1326"/>
        <v>183.84</v>
      </c>
      <c r="DH49">
        <f t="shared" si="1326"/>
        <v>1.3149</v>
      </c>
      <c r="DI49">
        <f t="shared" si="1326"/>
        <v>88.384999999999991</v>
      </c>
      <c r="DJ49">
        <f t="shared" si="1326"/>
        <v>0.53597500000000009</v>
      </c>
      <c r="DK49">
        <f t="shared" si="1326"/>
        <v>3.1602499999999996</v>
      </c>
      <c r="DL49">
        <f t="shared" si="1326"/>
        <v>67.85499999999999</v>
      </c>
      <c r="DM49">
        <f t="shared" si="1326"/>
        <v>21.042500000000004</v>
      </c>
      <c r="DN49">
        <f t="shared" si="1326"/>
        <v>0.67172500000000002</v>
      </c>
      <c r="DO49">
        <f t="shared" si="1326"/>
        <v>76.564999999999998</v>
      </c>
      <c r="DP49">
        <f t="shared" si="1326"/>
        <v>4.3175000000000005E-2</v>
      </c>
      <c r="DQ49">
        <f t="shared" si="1326"/>
        <v>9.4774999999999998E-2</v>
      </c>
      <c r="DR49">
        <f t="shared" si="1326"/>
        <v>0</v>
      </c>
      <c r="DS49">
        <f t="shared" si="1326"/>
        <v>0.44077500000000003</v>
      </c>
      <c r="DT49">
        <f t="shared" si="1326"/>
        <v>6.2474999999999989E-2</v>
      </c>
      <c r="DU49">
        <f t="shared" si="1326"/>
        <v>18.502500000000001</v>
      </c>
      <c r="DV49">
        <f t="shared" si="1326"/>
        <v>0.49647500000000006</v>
      </c>
      <c r="DW49">
        <f t="shared" si="1326"/>
        <v>6.1112500000000001</v>
      </c>
      <c r="DX49">
        <f t="shared" si="1326"/>
        <v>0.48649999999999999</v>
      </c>
      <c r="DY49">
        <f t="shared" si="1326"/>
        <v>257.5</v>
      </c>
      <c r="DZ49">
        <f t="shared" si="1326"/>
        <v>248.47</v>
      </c>
      <c r="EA49">
        <f t="shared" si="1326"/>
        <v>54.83</v>
      </c>
      <c r="EB49">
        <f t="shared" si="1326"/>
        <v>0.99072500000000008</v>
      </c>
      <c r="EC49">
        <f t="shared" si="1326"/>
        <v>0.51650000000000007</v>
      </c>
      <c r="ED49">
        <f t="shared" si="1326"/>
        <v>3.3099500000000002</v>
      </c>
      <c r="EE49">
        <f t="shared" si="1326"/>
        <v>16.969550000000002</v>
      </c>
      <c r="EF49">
        <f t="shared" si="1326"/>
        <v>1.8138000000000003</v>
      </c>
      <c r="EG49">
        <f t="shared" si="1326"/>
        <v>0.5535000000000001</v>
      </c>
      <c r="EH49">
        <f t="shared" si="1326"/>
        <v>1.9338000000000004</v>
      </c>
      <c r="EI49">
        <f t="shared" si="1326"/>
        <v>7.3098499999999982</v>
      </c>
      <c r="EJ49">
        <f t="shared" si="1326"/>
        <v>5.2302749999999998</v>
      </c>
      <c r="EK49">
        <f t="shared" si="1326"/>
        <v>7.8649999999999998E-2</v>
      </c>
      <c r="EL49">
        <f t="shared" si="1326"/>
        <v>1.3300000000000001E-2</v>
      </c>
      <c r="EM49">
        <f t="shared" si="1326"/>
        <v>8.658850000000001</v>
      </c>
      <c r="EN49">
        <f t="shared" si="1326"/>
        <v>0.26315</v>
      </c>
      <c r="EO49">
        <f t="shared" si="1326"/>
        <v>0.50234999999999985</v>
      </c>
      <c r="EP49">
        <f t="shared" si="1326"/>
        <v>7.8969500000000004</v>
      </c>
      <c r="EQ49">
        <f t="shared" si="1326"/>
        <v>4.5500000000000002E-3</v>
      </c>
      <c r="ER49">
        <f t="shared" si="1326"/>
        <v>0</v>
      </c>
      <c r="ES49">
        <f t="shared" si="1326"/>
        <v>1.1782249999999999</v>
      </c>
      <c r="ET49">
        <f t="shared" si="1326"/>
        <v>0.85822500000000002</v>
      </c>
      <c r="EU49">
        <f t="shared" si="1326"/>
        <v>0.28622499999999995</v>
      </c>
      <c r="EV49">
        <f t="shared" si="1326"/>
        <v>3.2100000000000004E-2</v>
      </c>
      <c r="EW49">
        <f t="shared" si="1326"/>
        <v>0</v>
      </c>
      <c r="EX49">
        <f t="shared" si="1326"/>
        <v>0</v>
      </c>
      <c r="EY49">
        <f t="shared" si="1326"/>
        <v>0</v>
      </c>
      <c r="EZ49">
        <f t="shared" si="1326"/>
        <v>88.429011627906974</v>
      </c>
      <c r="FA49">
        <f t="shared" ref="FA49:FW49" si="1327">SUM(FA41:FA48)</f>
        <v>264.08494186046505</v>
      </c>
      <c r="FB49">
        <f t="shared" si="1327"/>
        <v>288.80180232558132</v>
      </c>
      <c r="FC49">
        <f t="shared" si="1327"/>
        <v>471.5350581395349</v>
      </c>
      <c r="FD49">
        <f t="shared" si="1327"/>
        <v>338.6726162790697</v>
      </c>
      <c r="FE49">
        <f t="shared" si="1327"/>
        <v>138.47540697674418</v>
      </c>
      <c r="FF49">
        <f t="shared" si="1327"/>
        <v>132.39715116279069</v>
      </c>
      <c r="FG49">
        <f t="shared" si="1327"/>
        <v>321.93238372093032</v>
      </c>
      <c r="FH49">
        <f t="shared" si="1327"/>
        <v>212.02668604651163</v>
      </c>
      <c r="FI49">
        <f t="shared" si="1327"/>
        <v>378.74005813953494</v>
      </c>
      <c r="FJ49">
        <f t="shared" si="1327"/>
        <v>336.26261627906973</v>
      </c>
      <c r="FK49">
        <f t="shared" si="1327"/>
        <v>136.37668604651165</v>
      </c>
      <c r="FL49">
        <f t="shared" si="1327"/>
        <v>317.7231976744186</v>
      </c>
      <c r="FM49">
        <f t="shared" si="1327"/>
        <v>533.74377906976747</v>
      </c>
      <c r="FN49">
        <f t="shared" si="1327"/>
        <v>1302.9831976744194</v>
      </c>
      <c r="FO49">
        <f t="shared" si="1327"/>
        <v>238.73866279069765</v>
      </c>
      <c r="FP49">
        <f t="shared" si="1327"/>
        <v>431.57947674418602</v>
      </c>
      <c r="FQ49">
        <f t="shared" si="1327"/>
        <v>368.42261627906964</v>
      </c>
      <c r="FR49">
        <f t="shared" si="1327"/>
        <v>1.7000000000000001E-2</v>
      </c>
      <c r="FS49">
        <f t="shared" si="1327"/>
        <v>7.4999999999999997E-3</v>
      </c>
      <c r="FT49">
        <f t="shared" si="1327"/>
        <v>0</v>
      </c>
      <c r="FU49">
        <f t="shared" si="1327"/>
        <v>24.016999999999999</v>
      </c>
      <c r="FV49">
        <f t="shared" si="1327"/>
        <v>4.4999999999999998E-2</v>
      </c>
      <c r="FW49">
        <f t="shared" si="1327"/>
        <v>0.253</v>
      </c>
    </row>
    <row r="51" spans="1:179" x14ac:dyDescent="0.35">
      <c r="A51" s="80" t="s">
        <v>243</v>
      </c>
      <c r="B51" s="72" t="s">
        <v>439</v>
      </c>
      <c r="C51">
        <v>30</v>
      </c>
      <c r="D51" s="54">
        <v>22</v>
      </c>
      <c r="E51" s="54">
        <v>93</v>
      </c>
      <c r="F51" s="54">
        <v>1.8</v>
      </c>
      <c r="G51" s="54">
        <v>0</v>
      </c>
      <c r="H51" s="54">
        <v>1.8</v>
      </c>
      <c r="I51" s="54">
        <v>0.4</v>
      </c>
      <c r="J51" s="54">
        <v>0</v>
      </c>
      <c r="K51" s="54">
        <v>0.4</v>
      </c>
      <c r="L51" s="54">
        <v>0</v>
      </c>
      <c r="M51" s="54">
        <v>2.2000000000000002</v>
      </c>
      <c r="N51" s="54">
        <v>0</v>
      </c>
      <c r="O51" s="54">
        <v>2.2000000000000002</v>
      </c>
      <c r="P51" s="54">
        <v>1.5</v>
      </c>
      <c r="Q51" s="54">
        <v>0</v>
      </c>
      <c r="R51" s="54">
        <v>94.3</v>
      </c>
      <c r="S51" s="54">
        <v>0.8</v>
      </c>
      <c r="T51" s="54">
        <v>45</v>
      </c>
      <c r="U51" s="54">
        <v>9</v>
      </c>
      <c r="V51" s="54">
        <v>240</v>
      </c>
      <c r="W51" s="54">
        <v>31</v>
      </c>
      <c r="X51" s="54">
        <v>0.2</v>
      </c>
      <c r="Y51" s="81">
        <v>0</v>
      </c>
      <c r="Z51" s="81">
        <v>0</v>
      </c>
      <c r="AA51" s="81">
        <v>0</v>
      </c>
      <c r="AB51" s="81">
        <v>0</v>
      </c>
      <c r="AC51" s="81">
        <v>0</v>
      </c>
      <c r="AD51" s="81">
        <v>0</v>
      </c>
      <c r="AE51" s="81">
        <v>0</v>
      </c>
      <c r="AF51" s="54">
        <v>0.05</v>
      </c>
      <c r="AG51" s="54">
        <v>0.18</v>
      </c>
      <c r="AH51" s="54">
        <v>6</v>
      </c>
      <c r="AI51" s="54">
        <v>0.7</v>
      </c>
      <c r="AJ51" s="54">
        <v>0.05</v>
      </c>
      <c r="AK51" s="54">
        <v>64</v>
      </c>
      <c r="AL51" s="81">
        <v>0</v>
      </c>
      <c r="AM51" s="81">
        <v>0</v>
      </c>
      <c r="AN51" s="81">
        <v>0</v>
      </c>
      <c r="AO51" s="54">
        <v>229</v>
      </c>
      <c r="AP51" s="54">
        <v>0</v>
      </c>
      <c r="AQ51" s="54">
        <v>1374</v>
      </c>
      <c r="AR51" s="54">
        <v>0.66</v>
      </c>
      <c r="AS51" s="54">
        <v>0</v>
      </c>
      <c r="AT51" s="81">
        <v>0</v>
      </c>
      <c r="AU51" s="54">
        <v>0.05</v>
      </c>
      <c r="AV51" s="81">
        <v>0</v>
      </c>
      <c r="AW51" s="81">
        <v>0</v>
      </c>
      <c r="AX51" s="81">
        <v>0</v>
      </c>
      <c r="AY51" s="81">
        <v>0</v>
      </c>
      <c r="AZ51" s="81">
        <v>0</v>
      </c>
      <c r="BA51" s="81">
        <v>0</v>
      </c>
      <c r="BB51" s="81">
        <v>0</v>
      </c>
      <c r="BC51" s="54">
        <v>0.01</v>
      </c>
      <c r="BD51" s="82">
        <v>0</v>
      </c>
      <c r="BE51" s="82">
        <v>0</v>
      </c>
      <c r="BF51" s="54">
        <v>0.01</v>
      </c>
      <c r="BG51" s="82">
        <v>0</v>
      </c>
      <c r="BH51" s="82">
        <v>0</v>
      </c>
      <c r="BI51" s="54">
        <v>0.21</v>
      </c>
      <c r="BJ51" s="54">
        <v>0.06</v>
      </c>
      <c r="BK51" s="54">
        <v>0.15</v>
      </c>
      <c r="BL51" s="82">
        <v>0</v>
      </c>
      <c r="BM51" s="82">
        <v>0</v>
      </c>
      <c r="BN51" s="82">
        <v>0</v>
      </c>
      <c r="BO51" s="54">
        <v>0</v>
      </c>
      <c r="BP51" s="56">
        <v>16</v>
      </c>
      <c r="BQ51" s="56">
        <v>75</v>
      </c>
      <c r="BR51" s="56">
        <v>69</v>
      </c>
      <c r="BS51" s="56">
        <v>115</v>
      </c>
      <c r="BT51" s="56">
        <v>69</v>
      </c>
      <c r="BU51" s="56">
        <v>33</v>
      </c>
      <c r="BV51" s="88">
        <v>0</v>
      </c>
      <c r="BW51" s="56">
        <v>93</v>
      </c>
      <c r="BX51" s="56">
        <v>48</v>
      </c>
      <c r="BY51" s="56">
        <v>98</v>
      </c>
      <c r="BZ51" s="56">
        <v>82</v>
      </c>
      <c r="CA51" s="56">
        <v>29</v>
      </c>
      <c r="CB51" s="56">
        <v>78</v>
      </c>
      <c r="CC51" s="56">
        <v>209</v>
      </c>
      <c r="CD51" s="56">
        <v>186</v>
      </c>
      <c r="CE51" s="56">
        <v>75</v>
      </c>
      <c r="CF51" s="56">
        <v>94</v>
      </c>
      <c r="CG51" s="56">
        <v>60</v>
      </c>
      <c r="CH51" s="81">
        <v>0</v>
      </c>
      <c r="CI51" s="81">
        <v>0</v>
      </c>
      <c r="CJ51" s="83">
        <v>0</v>
      </c>
      <c r="CK51" s="81">
        <v>0</v>
      </c>
      <c r="CL51" s="81">
        <v>0</v>
      </c>
      <c r="CM51" s="83">
        <v>0</v>
      </c>
      <c r="CN51">
        <f t="shared" ref="CN51:CN58" si="1328">($C51*D51)/100</f>
        <v>6.6</v>
      </c>
      <c r="CO51">
        <f t="shared" ref="CO51:CO58" si="1329">($C51*E51)/100</f>
        <v>27.9</v>
      </c>
      <c r="CP51">
        <f t="shared" ref="CP51:CP58" si="1330">($C51*F51)/100</f>
        <v>0.54</v>
      </c>
      <c r="CQ51">
        <f t="shared" ref="CQ51:CQ58" si="1331">($C51*G51)/100</f>
        <v>0</v>
      </c>
      <c r="CR51">
        <f t="shared" ref="CR51:CR58" si="1332">($C51*H51)/100</f>
        <v>0.54</v>
      </c>
      <c r="CS51">
        <f t="shared" ref="CS51:CS58" si="1333">($C51*I51)/100</f>
        <v>0.12</v>
      </c>
      <c r="CT51">
        <f t="shared" ref="CT51:CT58" si="1334">($C51*J51)/100</f>
        <v>0</v>
      </c>
      <c r="CU51">
        <f t="shared" ref="CU51:CU58" si="1335">($C51*K51)/100</f>
        <v>0.12</v>
      </c>
      <c r="CV51">
        <f t="shared" ref="CV51:CV58" si="1336">($C51*L51)/100</f>
        <v>0</v>
      </c>
      <c r="CW51">
        <f t="shared" ref="CW51:CW58" si="1337">($C51*M51)/100</f>
        <v>0.66</v>
      </c>
      <c r="CX51">
        <f t="shared" ref="CX51:CX58" si="1338">($C51*N51)/100</f>
        <v>0</v>
      </c>
      <c r="CY51">
        <f t="shared" ref="CY51:CY58" si="1339">($C51*O51)/100</f>
        <v>0.66</v>
      </c>
      <c r="CZ51">
        <f t="shared" ref="CZ51:CZ58" si="1340">($C51*P51)/100</f>
        <v>0.45</v>
      </c>
      <c r="DA51">
        <f t="shared" ref="DA51:DA58" si="1341">($C51*Q51)/100</f>
        <v>0</v>
      </c>
      <c r="DB51">
        <f t="shared" ref="DB51:DB58" si="1342">($C51*R51)/100</f>
        <v>28.29</v>
      </c>
      <c r="DC51">
        <f t="shared" ref="DC51:DC58" si="1343">($C51*S51)/100</f>
        <v>0.24</v>
      </c>
      <c r="DD51">
        <f t="shared" ref="DD51:DD58" si="1344">($C51*T51)/100</f>
        <v>13.5</v>
      </c>
      <c r="DE51">
        <f t="shared" ref="DE51:DE58" si="1345">($C51*U51)/100</f>
        <v>2.7</v>
      </c>
      <c r="DF51">
        <f t="shared" ref="DF51:DF58" si="1346">($C51*V51)/100</f>
        <v>72</v>
      </c>
      <c r="DG51">
        <f t="shared" ref="DG51:DG58" si="1347">($C51*W51)/100</f>
        <v>9.3000000000000007</v>
      </c>
      <c r="DH51">
        <f t="shared" ref="DH51:DH58" si="1348">($C51*X51)/100</f>
        <v>0.06</v>
      </c>
      <c r="DI51">
        <f t="shared" ref="DI51:DI58" si="1349">($C51*Y51)/100</f>
        <v>0</v>
      </c>
      <c r="DJ51">
        <f t="shared" ref="DJ51:DJ58" si="1350">($C51*Z51)/100</f>
        <v>0</v>
      </c>
      <c r="DK51">
        <f t="shared" ref="DK51:DK58" si="1351">($C51*AA51)/100</f>
        <v>0</v>
      </c>
      <c r="DL51">
        <f t="shared" ref="DL51:DL58" si="1352">($C51*AB51)/100</f>
        <v>0</v>
      </c>
      <c r="DM51">
        <f t="shared" ref="DM51:DM58" si="1353">($C51*AC51)/100</f>
        <v>0</v>
      </c>
      <c r="DN51">
        <f t="shared" ref="DN51:DN58" si="1354">($C51*AD51)/100</f>
        <v>0</v>
      </c>
      <c r="DO51">
        <f t="shared" ref="DO51:DO58" si="1355">($C51*AE51)/100</f>
        <v>0</v>
      </c>
      <c r="DP51">
        <f t="shared" ref="DP51:DP58" si="1356">($C51*AF51)/100</f>
        <v>1.4999999999999999E-2</v>
      </c>
      <c r="DQ51">
        <f t="shared" ref="DQ51:DQ58" si="1357">($C51*AG51)/100</f>
        <v>5.3999999999999992E-2</v>
      </c>
      <c r="DR51">
        <f t="shared" ref="DR51:DR58" si="1358">($C51*AH51)/100</f>
        <v>1.8</v>
      </c>
      <c r="DS51">
        <f t="shared" ref="DS51:DS58" si="1359">($C51*AI51)/100</f>
        <v>0.21</v>
      </c>
      <c r="DT51">
        <f t="shared" ref="DT51:DT58" si="1360">($C51*AJ51)/100</f>
        <v>1.4999999999999999E-2</v>
      </c>
      <c r="DU51">
        <f t="shared" ref="DU51:DU58" si="1361">($C51*AK51)/100</f>
        <v>19.2</v>
      </c>
      <c r="DV51">
        <f t="shared" ref="DV51:DV58" si="1362">($C51*AL51)/100</f>
        <v>0</v>
      </c>
      <c r="DW51">
        <f t="shared" ref="DW51:DW58" si="1363">($C51*AM51)/100</f>
        <v>0</v>
      </c>
      <c r="DX51">
        <f t="shared" ref="DX51:DX58" si="1364">($C51*AN51)/100</f>
        <v>0</v>
      </c>
      <c r="DY51">
        <f t="shared" ref="DY51:DY58" si="1365">($C51*AO51)/100</f>
        <v>68.7</v>
      </c>
      <c r="DZ51">
        <f t="shared" ref="DZ51:DZ58" si="1366">($C51*AP51)/100</f>
        <v>0</v>
      </c>
      <c r="EA51">
        <f t="shared" ref="EA51:EA58" si="1367">($C51*AQ51)/100</f>
        <v>412.2</v>
      </c>
      <c r="EB51">
        <f t="shared" ref="EB51:EB58" si="1368">($C51*AR51)/100</f>
        <v>0.19800000000000001</v>
      </c>
      <c r="EC51">
        <f t="shared" ref="EC51:EC58" si="1369">($C51*AS51)/100</f>
        <v>0</v>
      </c>
      <c r="ED51">
        <f t="shared" ref="ED51:ED58" si="1370">($C51*AT51)/100</f>
        <v>0</v>
      </c>
      <c r="EE51">
        <f t="shared" ref="EE51:EE58" si="1371">($C51*AU51)/100</f>
        <v>1.4999999999999999E-2</v>
      </c>
      <c r="EF51">
        <f t="shared" ref="EF51:EF58" si="1372">($C51*AV51)/100</f>
        <v>0</v>
      </c>
      <c r="EG51">
        <f t="shared" ref="EG51:EG58" si="1373">($C51*AW51)/100</f>
        <v>0</v>
      </c>
      <c r="EH51">
        <f t="shared" ref="EH51:EH58" si="1374">($C51*AX51)/100</f>
        <v>0</v>
      </c>
      <c r="EI51">
        <f t="shared" ref="EI51:EI58" si="1375">($C51*AY51)/100</f>
        <v>0</v>
      </c>
      <c r="EJ51">
        <f t="shared" ref="EJ51:EJ58" si="1376">($C51*AZ51)/100</f>
        <v>0</v>
      </c>
      <c r="EK51">
        <f t="shared" ref="EK51:EK58" si="1377">($C51*BA51)/100</f>
        <v>0</v>
      </c>
      <c r="EL51">
        <f t="shared" ref="EL51:EL58" si="1378">($C51*BB51)/100</f>
        <v>0</v>
      </c>
      <c r="EM51">
        <f t="shared" ref="EM51:EM58" si="1379">($C51*BC51)/100</f>
        <v>3.0000000000000001E-3</v>
      </c>
      <c r="EN51">
        <f t="shared" ref="EN51:EN58" si="1380">($C51*BD51)/100</f>
        <v>0</v>
      </c>
      <c r="EO51">
        <f t="shared" ref="EO51:EO58" si="1381">($C51*BE51)/100</f>
        <v>0</v>
      </c>
      <c r="EP51">
        <f t="shared" ref="EP51:EP58" si="1382">($C51*BF51)/100</f>
        <v>3.0000000000000001E-3</v>
      </c>
      <c r="EQ51">
        <f t="shared" ref="EQ51:EQ58" si="1383">($C51*BG51)/100</f>
        <v>0</v>
      </c>
      <c r="ER51">
        <f t="shared" ref="ER51:ER58" si="1384">($C51*BH51)/100</f>
        <v>0</v>
      </c>
      <c r="ES51">
        <f t="shared" ref="ES51:ES58" si="1385">($C51*BI51)/100</f>
        <v>6.3E-2</v>
      </c>
      <c r="ET51">
        <f t="shared" ref="ET51:ET58" si="1386">($C51*BJ51)/100</f>
        <v>1.7999999999999999E-2</v>
      </c>
      <c r="EU51">
        <f t="shared" ref="EU51:EU58" si="1387">($C51*BK51)/100</f>
        <v>4.4999999999999998E-2</v>
      </c>
      <c r="EV51">
        <f t="shared" ref="EV51:EV58" si="1388">($C51*BL51)/100</f>
        <v>0</v>
      </c>
      <c r="EW51">
        <f t="shared" ref="EW51:EW58" si="1389">($C51*BM51)/100</f>
        <v>0</v>
      </c>
      <c r="EX51">
        <f t="shared" ref="EX51:EX58" si="1390">($C51*BN51)/100</f>
        <v>0</v>
      </c>
      <c r="EY51">
        <f t="shared" ref="EY51:EY58" si="1391">($C51*BO51)/100</f>
        <v>0</v>
      </c>
      <c r="EZ51">
        <f t="shared" ref="EZ51:EZ58" si="1392">($C51*BP51)/100</f>
        <v>4.8</v>
      </c>
      <c r="FA51">
        <f t="shared" ref="FA51:FA58" si="1393">($C51*BQ51)/100</f>
        <v>22.5</v>
      </c>
      <c r="FB51">
        <f t="shared" ref="FB51:FB58" si="1394">($C51*BR51)/100</f>
        <v>20.7</v>
      </c>
      <c r="FC51">
        <f t="shared" ref="FC51:FC58" si="1395">($C51*BS51)/100</f>
        <v>34.5</v>
      </c>
      <c r="FD51">
        <f t="shared" ref="FD51:FD58" si="1396">($C51*BT51)/100</f>
        <v>20.7</v>
      </c>
      <c r="FE51">
        <f t="shared" ref="FE51:FE58" si="1397">($C51*BU51)/100</f>
        <v>9.9</v>
      </c>
      <c r="FF51">
        <f t="shared" ref="FF51:FF58" si="1398">($C51*BV51)/100</f>
        <v>0</v>
      </c>
      <c r="FG51">
        <f t="shared" ref="FG51:FG58" si="1399">($C51*BW51)/100</f>
        <v>27.9</v>
      </c>
      <c r="FH51">
        <f t="shared" ref="FH51:FH58" si="1400">($C51*BX51)/100</f>
        <v>14.4</v>
      </c>
      <c r="FI51">
        <f t="shared" ref="FI51:FI58" si="1401">($C51*BY51)/100</f>
        <v>29.4</v>
      </c>
      <c r="FJ51">
        <f t="shared" ref="FJ51:FJ58" si="1402">($C51*BZ51)/100</f>
        <v>24.6</v>
      </c>
      <c r="FK51">
        <f t="shared" ref="FK51:FK58" si="1403">($C51*CA51)/100</f>
        <v>8.6999999999999993</v>
      </c>
      <c r="FL51">
        <f t="shared" ref="FL51:FL58" si="1404">($C51*CB51)/100</f>
        <v>23.4</v>
      </c>
      <c r="FM51">
        <f t="shared" ref="FM51:FM58" si="1405">($C51*CC51)/100</f>
        <v>62.7</v>
      </c>
      <c r="FN51">
        <f t="shared" ref="FN51:FN58" si="1406">($C51*CD51)/100</f>
        <v>55.8</v>
      </c>
      <c r="FO51">
        <f t="shared" ref="FO51:FO58" si="1407">($C51*CE51)/100</f>
        <v>22.5</v>
      </c>
      <c r="FP51">
        <f t="shared" ref="FP51:FP58" si="1408">($C51*CF51)/100</f>
        <v>28.2</v>
      </c>
      <c r="FQ51">
        <f t="shared" ref="FQ51:FQ58" si="1409">($C51*CG51)/100</f>
        <v>18</v>
      </c>
      <c r="FR51">
        <f t="shared" ref="FR51:FR58" si="1410">($C51*CH51)/100</f>
        <v>0</v>
      </c>
      <c r="FS51">
        <f t="shared" ref="FS51:FS58" si="1411">($C51*CI51)/100</f>
        <v>0</v>
      </c>
      <c r="FT51">
        <f t="shared" ref="FT51:FT58" si="1412">($C51*CJ51)/100</f>
        <v>0</v>
      </c>
      <c r="FU51">
        <f t="shared" ref="FU51:FU58" si="1413">($C51*CK51)/100</f>
        <v>0</v>
      </c>
      <c r="FV51">
        <f t="shared" ref="FV51:FV58" si="1414">($C51*CL51)/100</f>
        <v>0</v>
      </c>
      <c r="FW51">
        <f t="shared" ref="FW51:FW58" si="1415">($C51*CM51)/100</f>
        <v>0</v>
      </c>
    </row>
    <row r="52" spans="1:179" x14ac:dyDescent="0.35">
      <c r="B52" s="72" t="s">
        <v>313</v>
      </c>
      <c r="C52">
        <v>15</v>
      </c>
      <c r="D52" s="6">
        <v>387</v>
      </c>
      <c r="E52" s="6">
        <v>1609</v>
      </c>
      <c r="F52" s="6">
        <v>33.5</v>
      </c>
      <c r="G52" s="6">
        <v>33.5</v>
      </c>
      <c r="H52" s="6">
        <v>0</v>
      </c>
      <c r="I52" s="6">
        <v>28.1</v>
      </c>
      <c r="J52" s="6">
        <v>28.1</v>
      </c>
      <c r="K52" s="6">
        <v>0</v>
      </c>
      <c r="L52" s="6">
        <v>91</v>
      </c>
      <c r="M52" s="51">
        <v>0.05</v>
      </c>
      <c r="N52" s="6">
        <v>0</v>
      </c>
      <c r="O52" s="51">
        <v>0.05</v>
      </c>
      <c r="P52" s="6">
        <v>0</v>
      </c>
      <c r="Q52" s="6">
        <v>0</v>
      </c>
      <c r="R52" s="6">
        <v>30.4</v>
      </c>
      <c r="S52" s="6">
        <v>0.7</v>
      </c>
      <c r="T52" s="6">
        <v>1159</v>
      </c>
      <c r="U52" s="6">
        <v>556</v>
      </c>
      <c r="V52" s="6">
        <v>102</v>
      </c>
      <c r="W52" s="6">
        <v>678</v>
      </c>
      <c r="X52" s="6">
        <v>4</v>
      </c>
      <c r="Y52" s="6">
        <v>43</v>
      </c>
      <c r="Z52" s="6">
        <v>0.83</v>
      </c>
      <c r="AA52" s="6">
        <v>12</v>
      </c>
      <c r="AB52" s="6">
        <v>834</v>
      </c>
      <c r="AC52" s="6">
        <v>36</v>
      </c>
      <c r="AD52" s="6">
        <v>0.02</v>
      </c>
      <c r="AE52" s="6">
        <v>250</v>
      </c>
      <c r="AF52" s="6">
        <v>0.03</v>
      </c>
      <c r="AG52" s="6">
        <v>0.37</v>
      </c>
      <c r="AH52" s="6">
        <v>0</v>
      </c>
      <c r="AI52" s="6">
        <v>0.05</v>
      </c>
      <c r="AJ52" s="6">
        <v>0.11</v>
      </c>
      <c r="AK52" s="6">
        <v>5</v>
      </c>
      <c r="AL52" s="6">
        <v>0.32</v>
      </c>
      <c r="AM52" s="6">
        <v>23</v>
      </c>
      <c r="AN52" s="6">
        <v>4.2</v>
      </c>
      <c r="AO52" s="6">
        <v>298</v>
      </c>
      <c r="AP52" s="6">
        <v>278</v>
      </c>
      <c r="AQ52" s="6">
        <v>118</v>
      </c>
      <c r="AR52" s="6">
        <v>0.68</v>
      </c>
      <c r="AS52" s="6">
        <v>0.5</v>
      </c>
      <c r="AT52" s="6">
        <v>1.7</v>
      </c>
      <c r="AU52" s="6">
        <v>18.54</v>
      </c>
      <c r="AV52" s="6">
        <v>2.98</v>
      </c>
      <c r="AW52" s="6">
        <v>1.04</v>
      </c>
      <c r="AX52" s="6">
        <v>3.04</v>
      </c>
      <c r="AY52" s="6">
        <v>8.0399999999999991</v>
      </c>
      <c r="AZ52" s="6">
        <v>3.07</v>
      </c>
      <c r="BA52" s="6">
        <v>0</v>
      </c>
      <c r="BB52" s="6">
        <v>0</v>
      </c>
      <c r="BC52" s="6">
        <v>8.81</v>
      </c>
      <c r="BD52" s="6">
        <v>0</v>
      </c>
      <c r="BE52" s="6">
        <v>0.64</v>
      </c>
      <c r="BF52" s="6">
        <v>8.16</v>
      </c>
      <c r="BG52" s="6">
        <v>0</v>
      </c>
      <c r="BH52" s="6">
        <v>0</v>
      </c>
      <c r="BI52" s="6">
        <v>0.79</v>
      </c>
      <c r="BJ52" s="6">
        <v>0.38</v>
      </c>
      <c r="BK52" s="6">
        <v>0.42</v>
      </c>
      <c r="BL52" s="6">
        <v>0</v>
      </c>
      <c r="BM52" s="6">
        <v>0</v>
      </c>
      <c r="BN52" s="6">
        <v>0</v>
      </c>
      <c r="BO52" s="6">
        <v>0</v>
      </c>
      <c r="BP52" s="7">
        <v>320</v>
      </c>
      <c r="BQ52" s="7">
        <v>1100</v>
      </c>
      <c r="BR52" s="7">
        <v>1280</v>
      </c>
      <c r="BS52" s="7">
        <v>2880</v>
      </c>
      <c r="BT52" s="7">
        <v>2460</v>
      </c>
      <c r="BU52" s="7">
        <v>1030</v>
      </c>
      <c r="BV52" s="7">
        <v>200</v>
      </c>
      <c r="BW52" s="7">
        <v>1303</v>
      </c>
      <c r="BX52" s="7">
        <v>1750</v>
      </c>
      <c r="BY52" s="7">
        <v>1360</v>
      </c>
      <c r="BZ52" s="7">
        <v>810</v>
      </c>
      <c r="CA52" s="7">
        <v>920</v>
      </c>
      <c r="CB52" s="7">
        <v>940</v>
      </c>
      <c r="CC52" s="7">
        <v>2260</v>
      </c>
      <c r="CD52" s="7">
        <v>6030</v>
      </c>
      <c r="CE52" s="7">
        <v>700</v>
      </c>
      <c r="CF52" s="7">
        <v>3560</v>
      </c>
      <c r="CG52" s="7">
        <v>1860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51">
        <v>0.05</v>
      </c>
      <c r="CN52">
        <f t="shared" si="1328"/>
        <v>58.05</v>
      </c>
      <c r="CO52">
        <f t="shared" si="1329"/>
        <v>241.35</v>
      </c>
      <c r="CP52">
        <f t="shared" si="1330"/>
        <v>5.0250000000000004</v>
      </c>
      <c r="CQ52">
        <f t="shared" si="1331"/>
        <v>5.0250000000000004</v>
      </c>
      <c r="CR52">
        <f t="shared" si="1332"/>
        <v>0</v>
      </c>
      <c r="CS52">
        <f t="shared" si="1333"/>
        <v>4.2149999999999999</v>
      </c>
      <c r="CT52">
        <f t="shared" si="1334"/>
        <v>4.2149999999999999</v>
      </c>
      <c r="CU52">
        <f t="shared" si="1335"/>
        <v>0</v>
      </c>
      <c r="CV52">
        <f t="shared" si="1336"/>
        <v>13.65</v>
      </c>
      <c r="CW52">
        <f t="shared" si="1337"/>
        <v>7.4999999999999997E-3</v>
      </c>
      <c r="CX52">
        <f t="shared" si="1338"/>
        <v>0</v>
      </c>
      <c r="CY52">
        <f t="shared" si="1339"/>
        <v>7.4999999999999997E-3</v>
      </c>
      <c r="CZ52">
        <f t="shared" si="1340"/>
        <v>0</v>
      </c>
      <c r="DA52">
        <f t="shared" si="1341"/>
        <v>0</v>
      </c>
      <c r="DB52">
        <f t="shared" si="1342"/>
        <v>4.5599999999999996</v>
      </c>
      <c r="DC52">
        <f t="shared" si="1343"/>
        <v>0.105</v>
      </c>
      <c r="DD52">
        <f t="shared" si="1344"/>
        <v>173.85</v>
      </c>
      <c r="DE52">
        <f t="shared" si="1345"/>
        <v>83.4</v>
      </c>
      <c r="DF52">
        <f t="shared" si="1346"/>
        <v>15.3</v>
      </c>
      <c r="DG52">
        <f t="shared" si="1347"/>
        <v>101.7</v>
      </c>
      <c r="DH52">
        <f t="shared" si="1348"/>
        <v>0.6</v>
      </c>
      <c r="DI52">
        <f t="shared" si="1349"/>
        <v>6.45</v>
      </c>
      <c r="DJ52">
        <f t="shared" si="1350"/>
        <v>0.1245</v>
      </c>
      <c r="DK52">
        <f t="shared" si="1351"/>
        <v>1.8</v>
      </c>
      <c r="DL52">
        <f t="shared" si="1352"/>
        <v>125.1</v>
      </c>
      <c r="DM52">
        <f t="shared" si="1353"/>
        <v>5.4</v>
      </c>
      <c r="DN52">
        <f t="shared" si="1354"/>
        <v>3.0000000000000001E-3</v>
      </c>
      <c r="DO52">
        <f t="shared" si="1355"/>
        <v>37.5</v>
      </c>
      <c r="DP52">
        <f t="shared" si="1356"/>
        <v>4.4999999999999997E-3</v>
      </c>
      <c r="DQ52">
        <f t="shared" si="1357"/>
        <v>5.5500000000000001E-2</v>
      </c>
      <c r="DR52">
        <f t="shared" si="1358"/>
        <v>0</v>
      </c>
      <c r="DS52">
        <f t="shared" si="1359"/>
        <v>7.4999999999999997E-3</v>
      </c>
      <c r="DT52">
        <f t="shared" si="1360"/>
        <v>1.6500000000000001E-2</v>
      </c>
      <c r="DU52">
        <f t="shared" si="1361"/>
        <v>0.75</v>
      </c>
      <c r="DV52">
        <f t="shared" si="1362"/>
        <v>4.8000000000000001E-2</v>
      </c>
      <c r="DW52">
        <f t="shared" si="1363"/>
        <v>3.45</v>
      </c>
      <c r="DX52">
        <f t="shared" si="1364"/>
        <v>0.63</v>
      </c>
      <c r="DY52">
        <f t="shared" si="1365"/>
        <v>44.7</v>
      </c>
      <c r="DZ52">
        <f t="shared" si="1366"/>
        <v>41.7</v>
      </c>
      <c r="EA52">
        <f t="shared" si="1367"/>
        <v>17.7</v>
      </c>
      <c r="EB52">
        <f t="shared" si="1368"/>
        <v>0.10200000000000001</v>
      </c>
      <c r="EC52">
        <f t="shared" si="1369"/>
        <v>7.4999999999999997E-2</v>
      </c>
      <c r="ED52">
        <f t="shared" si="1370"/>
        <v>0.255</v>
      </c>
      <c r="EE52">
        <f t="shared" si="1371"/>
        <v>2.7809999999999997</v>
      </c>
      <c r="EF52">
        <f t="shared" si="1372"/>
        <v>0.44700000000000001</v>
      </c>
      <c r="EG52">
        <f t="shared" si="1373"/>
        <v>0.15600000000000003</v>
      </c>
      <c r="EH52">
        <f t="shared" si="1374"/>
        <v>0.45600000000000002</v>
      </c>
      <c r="EI52">
        <f t="shared" si="1375"/>
        <v>1.206</v>
      </c>
      <c r="EJ52">
        <f t="shared" si="1376"/>
        <v>0.46049999999999996</v>
      </c>
      <c r="EK52">
        <f t="shared" si="1377"/>
        <v>0</v>
      </c>
      <c r="EL52">
        <f t="shared" si="1378"/>
        <v>0</v>
      </c>
      <c r="EM52">
        <f t="shared" si="1379"/>
        <v>1.3215000000000001</v>
      </c>
      <c r="EN52">
        <f t="shared" si="1380"/>
        <v>0</v>
      </c>
      <c r="EO52">
        <f t="shared" si="1381"/>
        <v>9.6000000000000002E-2</v>
      </c>
      <c r="EP52">
        <f t="shared" si="1382"/>
        <v>1.224</v>
      </c>
      <c r="EQ52">
        <f t="shared" si="1383"/>
        <v>0</v>
      </c>
      <c r="ER52">
        <f t="shared" si="1384"/>
        <v>0</v>
      </c>
      <c r="ES52">
        <f t="shared" si="1385"/>
        <v>0.11850000000000001</v>
      </c>
      <c r="ET52">
        <f t="shared" si="1386"/>
        <v>5.7000000000000002E-2</v>
      </c>
      <c r="EU52">
        <f t="shared" si="1387"/>
        <v>6.3E-2</v>
      </c>
      <c r="EV52">
        <f t="shared" si="1388"/>
        <v>0</v>
      </c>
      <c r="EW52">
        <f t="shared" si="1389"/>
        <v>0</v>
      </c>
      <c r="EX52">
        <f t="shared" si="1390"/>
        <v>0</v>
      </c>
      <c r="EY52">
        <f t="shared" si="1391"/>
        <v>0</v>
      </c>
      <c r="EZ52">
        <f t="shared" si="1392"/>
        <v>48</v>
      </c>
      <c r="FA52">
        <f t="shared" si="1393"/>
        <v>165</v>
      </c>
      <c r="FB52">
        <f t="shared" si="1394"/>
        <v>192</v>
      </c>
      <c r="FC52">
        <f t="shared" si="1395"/>
        <v>432</v>
      </c>
      <c r="FD52">
        <f t="shared" si="1396"/>
        <v>369</v>
      </c>
      <c r="FE52">
        <f t="shared" si="1397"/>
        <v>154.5</v>
      </c>
      <c r="FF52">
        <f t="shared" si="1398"/>
        <v>30</v>
      </c>
      <c r="FG52">
        <f t="shared" si="1399"/>
        <v>195.45</v>
      </c>
      <c r="FH52">
        <f t="shared" si="1400"/>
        <v>262.5</v>
      </c>
      <c r="FI52">
        <f t="shared" si="1401"/>
        <v>204</v>
      </c>
      <c r="FJ52">
        <f t="shared" si="1402"/>
        <v>121.5</v>
      </c>
      <c r="FK52">
        <f t="shared" si="1403"/>
        <v>138</v>
      </c>
      <c r="FL52">
        <f t="shared" si="1404"/>
        <v>141</v>
      </c>
      <c r="FM52">
        <f t="shared" si="1405"/>
        <v>339</v>
      </c>
      <c r="FN52">
        <f t="shared" si="1406"/>
        <v>904.5</v>
      </c>
      <c r="FO52">
        <f t="shared" si="1407"/>
        <v>105</v>
      </c>
      <c r="FP52">
        <f t="shared" si="1408"/>
        <v>534</v>
      </c>
      <c r="FQ52">
        <f t="shared" si="1409"/>
        <v>279</v>
      </c>
      <c r="FR52">
        <f t="shared" si="1410"/>
        <v>0</v>
      </c>
      <c r="FS52">
        <f t="shared" si="1411"/>
        <v>0</v>
      </c>
      <c r="FT52">
        <f t="shared" si="1412"/>
        <v>0</v>
      </c>
      <c r="FU52">
        <f t="shared" si="1413"/>
        <v>0</v>
      </c>
      <c r="FV52">
        <f t="shared" si="1414"/>
        <v>0</v>
      </c>
      <c r="FW52">
        <f t="shared" si="1415"/>
        <v>7.4999999999999997E-3</v>
      </c>
    </row>
    <row r="53" spans="1:179" x14ac:dyDescent="0.35">
      <c r="B53" s="72" t="s">
        <v>440</v>
      </c>
      <c r="C53">
        <v>10</v>
      </c>
      <c r="D53" s="6">
        <v>437</v>
      </c>
      <c r="E53" s="6">
        <v>1837</v>
      </c>
      <c r="F53" s="6">
        <v>10.8</v>
      </c>
      <c r="G53" s="6">
        <v>0</v>
      </c>
      <c r="H53" s="6">
        <v>10.8</v>
      </c>
      <c r="I53" s="6">
        <v>18.3</v>
      </c>
      <c r="J53" s="6">
        <v>0</v>
      </c>
      <c r="K53" s="6">
        <v>18.3</v>
      </c>
      <c r="L53" s="6">
        <v>0</v>
      </c>
      <c r="M53" s="6">
        <v>58.5</v>
      </c>
      <c r="N53" s="6">
        <v>54.1</v>
      </c>
      <c r="O53" s="6">
        <v>4.4000000000000004</v>
      </c>
      <c r="P53" s="6">
        <v>5</v>
      </c>
      <c r="Q53" s="6">
        <v>0</v>
      </c>
      <c r="R53" s="6">
        <v>3.6</v>
      </c>
      <c r="S53" s="6">
        <v>2.8</v>
      </c>
      <c r="T53" s="6">
        <v>96</v>
      </c>
      <c r="U53" s="6">
        <v>640</v>
      </c>
      <c r="V53" s="6">
        <v>181</v>
      </c>
      <c r="W53" s="6">
        <v>140</v>
      </c>
      <c r="X53" s="6">
        <v>0.94</v>
      </c>
      <c r="Y53" s="6">
        <v>42</v>
      </c>
      <c r="Z53" s="6">
        <v>0.17</v>
      </c>
      <c r="AA53" s="6">
        <v>28.8</v>
      </c>
      <c r="AB53" s="6">
        <v>960</v>
      </c>
      <c r="AC53" s="51">
        <v>0.5</v>
      </c>
      <c r="AD53" s="6">
        <v>0.51</v>
      </c>
      <c r="AE53" s="6">
        <v>80</v>
      </c>
      <c r="AF53" s="6">
        <v>0.51</v>
      </c>
      <c r="AG53" s="6">
        <v>0.42</v>
      </c>
      <c r="AH53" s="6">
        <v>0</v>
      </c>
      <c r="AI53" s="6">
        <v>4.6500000000000004</v>
      </c>
      <c r="AJ53" s="6">
        <v>0.08</v>
      </c>
      <c r="AK53" s="6">
        <v>105</v>
      </c>
      <c r="AL53" s="6">
        <v>0.84</v>
      </c>
      <c r="AM53" s="6">
        <v>2</v>
      </c>
      <c r="AN53" s="6">
        <v>0</v>
      </c>
      <c r="AO53" s="6">
        <v>1</v>
      </c>
      <c r="AP53" s="6">
        <v>0</v>
      </c>
      <c r="AQ53" s="6">
        <v>6</v>
      </c>
      <c r="AR53" s="6">
        <v>0.4</v>
      </c>
      <c r="AS53" s="6">
        <v>0</v>
      </c>
      <c r="AT53" s="6">
        <v>7.6</v>
      </c>
      <c r="AU53" s="6">
        <v>5.24</v>
      </c>
      <c r="AV53" s="6">
        <v>0.19</v>
      </c>
      <c r="AW53" s="6">
        <v>0.06</v>
      </c>
      <c r="AX53" s="6">
        <v>0.28000000000000003</v>
      </c>
      <c r="AY53" s="6">
        <v>2.63</v>
      </c>
      <c r="AZ53" s="6">
        <v>2.02</v>
      </c>
      <c r="BA53" s="51">
        <v>5.0000000000000001E-3</v>
      </c>
      <c r="BB53" s="51">
        <v>5.0000000000000001E-3</v>
      </c>
      <c r="BC53" s="6">
        <v>9.5</v>
      </c>
      <c r="BD53" s="6">
        <v>0</v>
      </c>
      <c r="BE53" s="6">
        <v>0.05</v>
      </c>
      <c r="BF53" s="6">
        <v>9.4499999999999993</v>
      </c>
      <c r="BG53" s="6">
        <v>0</v>
      </c>
      <c r="BH53" s="6">
        <v>0</v>
      </c>
      <c r="BI53" s="6">
        <v>2.37</v>
      </c>
      <c r="BJ53" s="6">
        <v>2.23</v>
      </c>
      <c r="BK53" s="6">
        <v>0.14000000000000001</v>
      </c>
      <c r="BL53" s="6">
        <v>0</v>
      </c>
      <c r="BM53" s="6">
        <v>0</v>
      </c>
      <c r="BN53" s="6">
        <v>0</v>
      </c>
      <c r="BO53" s="6">
        <v>0</v>
      </c>
      <c r="BP53" s="7">
        <v>125</v>
      </c>
      <c r="BQ53" s="7">
        <v>326</v>
      </c>
      <c r="BR53" s="7">
        <v>428</v>
      </c>
      <c r="BS53" s="7">
        <v>774</v>
      </c>
      <c r="BT53" s="7">
        <v>344</v>
      </c>
      <c r="BU53" s="7">
        <v>195</v>
      </c>
      <c r="BV53" s="7">
        <v>218</v>
      </c>
      <c r="BW53" s="7">
        <v>525</v>
      </c>
      <c r="BX53" s="7">
        <v>331</v>
      </c>
      <c r="BY53" s="7">
        <v>488</v>
      </c>
      <c r="BZ53" s="7">
        <v>402</v>
      </c>
      <c r="CA53" s="7">
        <v>246</v>
      </c>
      <c r="CB53" s="7">
        <v>357</v>
      </c>
      <c r="CC53" s="7">
        <v>54</v>
      </c>
      <c r="CD53" s="7">
        <v>3378</v>
      </c>
      <c r="CE53" s="7">
        <v>361</v>
      </c>
      <c r="CF53" s="7">
        <v>1163</v>
      </c>
      <c r="CG53" s="7">
        <v>527</v>
      </c>
      <c r="CH53" s="51">
        <v>0.05</v>
      </c>
      <c r="CI53" s="51">
        <v>0.05</v>
      </c>
      <c r="CJ53" s="6">
        <v>0</v>
      </c>
      <c r="CK53" s="51">
        <v>0.05</v>
      </c>
      <c r="CL53" s="6">
        <v>4.4000000000000004</v>
      </c>
      <c r="CM53" s="6">
        <v>0</v>
      </c>
      <c r="CN53">
        <f t="shared" si="1328"/>
        <v>43.7</v>
      </c>
      <c r="CO53">
        <f t="shared" si="1329"/>
        <v>183.7</v>
      </c>
      <c r="CP53">
        <f t="shared" si="1330"/>
        <v>1.08</v>
      </c>
      <c r="CQ53">
        <f t="shared" si="1331"/>
        <v>0</v>
      </c>
      <c r="CR53">
        <f t="shared" si="1332"/>
        <v>1.08</v>
      </c>
      <c r="CS53">
        <f t="shared" si="1333"/>
        <v>1.83</v>
      </c>
      <c r="CT53">
        <f t="shared" si="1334"/>
        <v>0</v>
      </c>
      <c r="CU53">
        <f t="shared" si="1335"/>
        <v>1.83</v>
      </c>
      <c r="CV53">
        <f t="shared" si="1336"/>
        <v>0</v>
      </c>
      <c r="CW53">
        <f t="shared" si="1337"/>
        <v>5.85</v>
      </c>
      <c r="CX53">
        <f t="shared" si="1338"/>
        <v>5.41</v>
      </c>
      <c r="CY53">
        <f t="shared" si="1339"/>
        <v>0.44</v>
      </c>
      <c r="CZ53">
        <f t="shared" si="1340"/>
        <v>0.5</v>
      </c>
      <c r="DA53">
        <f t="shared" si="1341"/>
        <v>0</v>
      </c>
      <c r="DB53">
        <f t="shared" si="1342"/>
        <v>0.36</v>
      </c>
      <c r="DC53">
        <f t="shared" si="1343"/>
        <v>0.28000000000000003</v>
      </c>
      <c r="DD53">
        <f t="shared" si="1344"/>
        <v>9.6</v>
      </c>
      <c r="DE53">
        <f t="shared" si="1345"/>
        <v>64</v>
      </c>
      <c r="DF53">
        <f t="shared" si="1346"/>
        <v>18.100000000000001</v>
      </c>
      <c r="DG53">
        <f t="shared" si="1347"/>
        <v>14</v>
      </c>
      <c r="DH53">
        <f t="shared" si="1348"/>
        <v>9.3999999999999986E-2</v>
      </c>
      <c r="DI53">
        <f t="shared" si="1349"/>
        <v>4.2</v>
      </c>
      <c r="DJ53">
        <f t="shared" si="1350"/>
        <v>1.7000000000000001E-2</v>
      </c>
      <c r="DK53">
        <f t="shared" si="1351"/>
        <v>2.88</v>
      </c>
      <c r="DL53">
        <f t="shared" si="1352"/>
        <v>96</v>
      </c>
      <c r="DM53">
        <f t="shared" si="1353"/>
        <v>0.05</v>
      </c>
      <c r="DN53">
        <f t="shared" si="1354"/>
        <v>5.0999999999999997E-2</v>
      </c>
      <c r="DO53">
        <f t="shared" si="1355"/>
        <v>8</v>
      </c>
      <c r="DP53">
        <f t="shared" si="1356"/>
        <v>5.0999999999999997E-2</v>
      </c>
      <c r="DQ53">
        <f t="shared" si="1357"/>
        <v>4.2000000000000003E-2</v>
      </c>
      <c r="DR53">
        <f t="shared" si="1358"/>
        <v>0</v>
      </c>
      <c r="DS53">
        <f t="shared" si="1359"/>
        <v>0.46500000000000002</v>
      </c>
      <c r="DT53">
        <f t="shared" si="1360"/>
        <v>8.0000000000000002E-3</v>
      </c>
      <c r="DU53">
        <f t="shared" si="1361"/>
        <v>10.5</v>
      </c>
      <c r="DV53">
        <f t="shared" si="1362"/>
        <v>8.4000000000000005E-2</v>
      </c>
      <c r="DW53">
        <f t="shared" si="1363"/>
        <v>0.2</v>
      </c>
      <c r="DX53">
        <f t="shared" si="1364"/>
        <v>0</v>
      </c>
      <c r="DY53">
        <f t="shared" si="1365"/>
        <v>0.1</v>
      </c>
      <c r="DZ53">
        <f t="shared" si="1366"/>
        <v>0</v>
      </c>
      <c r="EA53">
        <f t="shared" si="1367"/>
        <v>0.6</v>
      </c>
      <c r="EB53">
        <f t="shared" si="1368"/>
        <v>0.04</v>
      </c>
      <c r="EC53">
        <f t="shared" si="1369"/>
        <v>0</v>
      </c>
      <c r="ED53">
        <f t="shared" si="1370"/>
        <v>0.76</v>
      </c>
      <c r="EE53">
        <f t="shared" si="1371"/>
        <v>0.52400000000000002</v>
      </c>
      <c r="EF53">
        <f t="shared" si="1372"/>
        <v>1.9E-2</v>
      </c>
      <c r="EG53">
        <f t="shared" si="1373"/>
        <v>6.0000000000000001E-3</v>
      </c>
      <c r="EH53">
        <f t="shared" si="1374"/>
        <v>2.8000000000000004E-2</v>
      </c>
      <c r="EI53">
        <f t="shared" si="1375"/>
        <v>0.26299999999999996</v>
      </c>
      <c r="EJ53">
        <f t="shared" si="1376"/>
        <v>0.20199999999999999</v>
      </c>
      <c r="EK53">
        <f t="shared" si="1377"/>
        <v>5.0000000000000001E-4</v>
      </c>
      <c r="EL53">
        <f t="shared" si="1378"/>
        <v>5.0000000000000001E-4</v>
      </c>
      <c r="EM53">
        <f t="shared" si="1379"/>
        <v>0.95</v>
      </c>
      <c r="EN53">
        <f t="shared" si="1380"/>
        <v>0</v>
      </c>
      <c r="EO53">
        <f t="shared" si="1381"/>
        <v>5.0000000000000001E-3</v>
      </c>
      <c r="EP53">
        <f t="shared" si="1382"/>
        <v>0.94499999999999995</v>
      </c>
      <c r="EQ53">
        <f t="shared" si="1383"/>
        <v>0</v>
      </c>
      <c r="ER53">
        <f t="shared" si="1384"/>
        <v>0</v>
      </c>
      <c r="ES53">
        <f t="shared" si="1385"/>
        <v>0.23700000000000002</v>
      </c>
      <c r="ET53">
        <f t="shared" si="1386"/>
        <v>0.223</v>
      </c>
      <c r="EU53">
        <f t="shared" si="1387"/>
        <v>1.4000000000000002E-2</v>
      </c>
      <c r="EV53">
        <f t="shared" si="1388"/>
        <v>0</v>
      </c>
      <c r="EW53">
        <f t="shared" si="1389"/>
        <v>0</v>
      </c>
      <c r="EX53">
        <f t="shared" si="1390"/>
        <v>0</v>
      </c>
      <c r="EY53">
        <f t="shared" si="1391"/>
        <v>0</v>
      </c>
      <c r="EZ53">
        <f t="shared" si="1392"/>
        <v>12.5</v>
      </c>
      <c r="FA53">
        <f t="shared" si="1393"/>
        <v>32.6</v>
      </c>
      <c r="FB53">
        <f t="shared" si="1394"/>
        <v>42.8</v>
      </c>
      <c r="FC53">
        <f t="shared" si="1395"/>
        <v>77.400000000000006</v>
      </c>
      <c r="FD53">
        <f t="shared" si="1396"/>
        <v>34.4</v>
      </c>
      <c r="FE53">
        <f t="shared" si="1397"/>
        <v>19.5</v>
      </c>
      <c r="FF53">
        <f t="shared" si="1398"/>
        <v>21.8</v>
      </c>
      <c r="FG53">
        <f t="shared" si="1399"/>
        <v>52.5</v>
      </c>
      <c r="FH53">
        <f t="shared" si="1400"/>
        <v>33.1</v>
      </c>
      <c r="FI53">
        <f t="shared" si="1401"/>
        <v>48.8</v>
      </c>
      <c r="FJ53">
        <f t="shared" si="1402"/>
        <v>40.200000000000003</v>
      </c>
      <c r="FK53">
        <f t="shared" si="1403"/>
        <v>24.6</v>
      </c>
      <c r="FL53">
        <f t="shared" si="1404"/>
        <v>35.700000000000003</v>
      </c>
      <c r="FM53">
        <f t="shared" si="1405"/>
        <v>5.4</v>
      </c>
      <c r="FN53">
        <f t="shared" si="1406"/>
        <v>337.8</v>
      </c>
      <c r="FO53">
        <f t="shared" si="1407"/>
        <v>36.1</v>
      </c>
      <c r="FP53">
        <f t="shared" si="1408"/>
        <v>116.3</v>
      </c>
      <c r="FQ53">
        <f t="shared" si="1409"/>
        <v>52.7</v>
      </c>
      <c r="FR53">
        <f t="shared" si="1410"/>
        <v>5.0000000000000001E-3</v>
      </c>
      <c r="FS53">
        <f t="shared" si="1411"/>
        <v>5.0000000000000001E-3</v>
      </c>
      <c r="FT53">
        <f t="shared" si="1412"/>
        <v>0</v>
      </c>
      <c r="FU53">
        <f t="shared" si="1413"/>
        <v>5.0000000000000001E-3</v>
      </c>
      <c r="FV53">
        <f t="shared" si="1414"/>
        <v>0.44</v>
      </c>
      <c r="FW53">
        <f t="shared" si="1415"/>
        <v>0</v>
      </c>
    </row>
    <row r="54" spans="1:179" x14ac:dyDescent="0.35">
      <c r="B54" s="72" t="s">
        <v>211</v>
      </c>
      <c r="C54" s="8">
        <v>10</v>
      </c>
      <c r="D54" s="6">
        <v>899</v>
      </c>
      <c r="E54" s="6">
        <v>3696</v>
      </c>
      <c r="F54" s="6">
        <v>0</v>
      </c>
      <c r="G54" s="6">
        <v>0</v>
      </c>
      <c r="H54" s="6">
        <v>0</v>
      </c>
      <c r="I54" s="6">
        <v>99.9</v>
      </c>
      <c r="J54" s="6">
        <v>0</v>
      </c>
      <c r="K54" s="6">
        <v>99.9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0.2</v>
      </c>
      <c r="T54" s="6">
        <v>0</v>
      </c>
      <c r="U54" s="51">
        <v>0.5</v>
      </c>
      <c r="V54" s="51">
        <v>0.5</v>
      </c>
      <c r="W54" s="6">
        <v>0</v>
      </c>
      <c r="X54" s="51">
        <v>5.0000000000000001E-3</v>
      </c>
      <c r="Y54" s="51">
        <v>0.5</v>
      </c>
      <c r="Z54" s="6">
        <v>0.01</v>
      </c>
      <c r="AA54" s="51">
        <v>0.05</v>
      </c>
      <c r="AB54" s="51">
        <v>0.5</v>
      </c>
      <c r="AC54" s="51">
        <v>0.5</v>
      </c>
      <c r="AD54" s="51">
        <v>5.0000000000000001E-3</v>
      </c>
      <c r="AE54" s="51">
        <v>0.5</v>
      </c>
      <c r="AF54" s="6">
        <v>0</v>
      </c>
      <c r="AG54" s="6">
        <v>0</v>
      </c>
      <c r="AH54" s="6">
        <v>0</v>
      </c>
      <c r="AI54" s="6">
        <v>0</v>
      </c>
      <c r="AJ54" s="51">
        <v>5.0000000000000001E-3</v>
      </c>
      <c r="AK54" s="51">
        <v>0.5</v>
      </c>
      <c r="AL54" s="51">
        <v>5.0000000000000001E-3</v>
      </c>
      <c r="AM54" s="51">
        <v>0.05</v>
      </c>
      <c r="AN54" s="6">
        <v>0</v>
      </c>
      <c r="AO54" s="6">
        <v>36</v>
      </c>
      <c r="AP54" s="6">
        <v>0</v>
      </c>
      <c r="AQ54" s="6">
        <v>216</v>
      </c>
      <c r="AR54" s="6">
        <v>21.42</v>
      </c>
      <c r="AS54" s="6">
        <v>0</v>
      </c>
      <c r="AT54" s="6">
        <v>57.5</v>
      </c>
      <c r="AU54" s="6">
        <v>14.46</v>
      </c>
      <c r="AV54" s="6">
        <v>0</v>
      </c>
      <c r="AW54" s="6">
        <v>0</v>
      </c>
      <c r="AX54" s="6">
        <v>0</v>
      </c>
      <c r="AY54" s="6">
        <v>10.64</v>
      </c>
      <c r="AZ54" s="6">
        <v>3.06</v>
      </c>
      <c r="BA54" s="6">
        <v>0.76</v>
      </c>
      <c r="BB54" s="6">
        <v>0</v>
      </c>
      <c r="BC54" s="6">
        <v>72.95</v>
      </c>
      <c r="BD54" s="6">
        <v>0</v>
      </c>
      <c r="BE54" s="6">
        <v>0.79</v>
      </c>
      <c r="BF54" s="6">
        <v>71.87</v>
      </c>
      <c r="BG54" s="6">
        <v>0.28999999999999998</v>
      </c>
      <c r="BH54" s="6">
        <v>0</v>
      </c>
      <c r="BI54" s="6">
        <v>7.52</v>
      </c>
      <c r="BJ54" s="6">
        <v>6.79</v>
      </c>
      <c r="BK54" s="6">
        <v>0.73</v>
      </c>
      <c r="BL54" s="6">
        <v>0</v>
      </c>
      <c r="BM54" s="6">
        <v>0</v>
      </c>
      <c r="BN54" s="6">
        <v>0</v>
      </c>
      <c r="BO54" s="6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>
        <f t="shared" si="1328"/>
        <v>89.9</v>
      </c>
      <c r="CO54">
        <f t="shared" si="1329"/>
        <v>369.6</v>
      </c>
      <c r="CP54">
        <f t="shared" si="1330"/>
        <v>0</v>
      </c>
      <c r="CQ54">
        <f t="shared" si="1331"/>
        <v>0</v>
      </c>
      <c r="CR54">
        <f t="shared" si="1332"/>
        <v>0</v>
      </c>
      <c r="CS54">
        <f t="shared" si="1333"/>
        <v>9.99</v>
      </c>
      <c r="CT54">
        <f t="shared" si="1334"/>
        <v>0</v>
      </c>
      <c r="CU54">
        <f t="shared" si="1335"/>
        <v>9.99</v>
      </c>
      <c r="CV54">
        <f t="shared" si="1336"/>
        <v>0</v>
      </c>
      <c r="CW54">
        <f t="shared" si="1337"/>
        <v>0</v>
      </c>
      <c r="CX54">
        <f t="shared" si="1338"/>
        <v>0</v>
      </c>
      <c r="CY54">
        <f t="shared" si="1339"/>
        <v>0</v>
      </c>
      <c r="CZ54">
        <f t="shared" si="1340"/>
        <v>0</v>
      </c>
      <c r="DA54">
        <f t="shared" si="1341"/>
        <v>0</v>
      </c>
      <c r="DB54">
        <f t="shared" si="1342"/>
        <v>0</v>
      </c>
      <c r="DC54">
        <f t="shared" si="1343"/>
        <v>0.02</v>
      </c>
      <c r="DD54">
        <f t="shared" si="1344"/>
        <v>0</v>
      </c>
      <c r="DE54">
        <f t="shared" si="1345"/>
        <v>0.05</v>
      </c>
      <c r="DF54">
        <f t="shared" si="1346"/>
        <v>0.05</v>
      </c>
      <c r="DG54">
        <f t="shared" si="1347"/>
        <v>0</v>
      </c>
      <c r="DH54">
        <f t="shared" si="1348"/>
        <v>5.0000000000000001E-4</v>
      </c>
      <c r="DI54">
        <f t="shared" si="1349"/>
        <v>0.05</v>
      </c>
      <c r="DJ54">
        <f t="shared" si="1350"/>
        <v>1E-3</v>
      </c>
      <c r="DK54">
        <f t="shared" si="1351"/>
        <v>5.0000000000000001E-3</v>
      </c>
      <c r="DL54">
        <f t="shared" si="1352"/>
        <v>0.05</v>
      </c>
      <c r="DM54">
        <f t="shared" si="1353"/>
        <v>0.05</v>
      </c>
      <c r="DN54">
        <f t="shared" si="1354"/>
        <v>5.0000000000000001E-4</v>
      </c>
      <c r="DO54">
        <f t="shared" si="1355"/>
        <v>0.05</v>
      </c>
      <c r="DP54">
        <f t="shared" si="1356"/>
        <v>0</v>
      </c>
      <c r="DQ54">
        <f t="shared" si="1357"/>
        <v>0</v>
      </c>
      <c r="DR54">
        <f t="shared" si="1358"/>
        <v>0</v>
      </c>
      <c r="DS54">
        <f t="shared" si="1359"/>
        <v>0</v>
      </c>
      <c r="DT54">
        <f t="shared" si="1360"/>
        <v>5.0000000000000001E-4</v>
      </c>
      <c r="DU54">
        <f t="shared" si="1361"/>
        <v>0.05</v>
      </c>
      <c r="DV54">
        <f t="shared" si="1362"/>
        <v>5.0000000000000001E-4</v>
      </c>
      <c r="DW54">
        <f t="shared" si="1363"/>
        <v>5.0000000000000001E-3</v>
      </c>
      <c r="DX54">
        <f t="shared" si="1364"/>
        <v>0</v>
      </c>
      <c r="DY54">
        <f t="shared" si="1365"/>
        <v>3.6</v>
      </c>
      <c r="DZ54">
        <f t="shared" si="1366"/>
        <v>0</v>
      </c>
      <c r="EA54">
        <f t="shared" si="1367"/>
        <v>21.6</v>
      </c>
      <c r="EB54">
        <f t="shared" si="1368"/>
        <v>2.1420000000000003</v>
      </c>
      <c r="EC54">
        <f t="shared" si="1369"/>
        <v>0</v>
      </c>
      <c r="ED54">
        <f t="shared" si="1370"/>
        <v>5.75</v>
      </c>
      <c r="EE54">
        <f t="shared" si="1371"/>
        <v>1.4460000000000002</v>
      </c>
      <c r="EF54">
        <f t="shared" si="1372"/>
        <v>0</v>
      </c>
      <c r="EG54">
        <f t="shared" si="1373"/>
        <v>0</v>
      </c>
      <c r="EH54">
        <f t="shared" si="1374"/>
        <v>0</v>
      </c>
      <c r="EI54">
        <f t="shared" si="1375"/>
        <v>1.0640000000000001</v>
      </c>
      <c r="EJ54">
        <f t="shared" si="1376"/>
        <v>0.30599999999999999</v>
      </c>
      <c r="EK54">
        <f t="shared" si="1377"/>
        <v>7.5999999999999998E-2</v>
      </c>
      <c r="EL54">
        <f t="shared" si="1378"/>
        <v>0</v>
      </c>
      <c r="EM54">
        <f t="shared" si="1379"/>
        <v>7.2949999999999999</v>
      </c>
      <c r="EN54">
        <f t="shared" si="1380"/>
        <v>0</v>
      </c>
      <c r="EO54">
        <f t="shared" si="1381"/>
        <v>7.9000000000000001E-2</v>
      </c>
      <c r="EP54">
        <f t="shared" si="1382"/>
        <v>7.1870000000000003</v>
      </c>
      <c r="EQ54">
        <f t="shared" si="1383"/>
        <v>2.8999999999999998E-2</v>
      </c>
      <c r="ER54">
        <f t="shared" si="1384"/>
        <v>0</v>
      </c>
      <c r="ES54">
        <f t="shared" si="1385"/>
        <v>0.75199999999999989</v>
      </c>
      <c r="ET54">
        <f t="shared" si="1386"/>
        <v>0.67900000000000005</v>
      </c>
      <c r="EU54">
        <f t="shared" si="1387"/>
        <v>7.2999999999999995E-2</v>
      </c>
      <c r="EV54">
        <f t="shared" si="1388"/>
        <v>0</v>
      </c>
      <c r="EW54">
        <f t="shared" si="1389"/>
        <v>0</v>
      </c>
      <c r="EX54">
        <f t="shared" si="1390"/>
        <v>0</v>
      </c>
      <c r="EY54">
        <f t="shared" si="1391"/>
        <v>0</v>
      </c>
      <c r="EZ54">
        <f t="shared" si="1392"/>
        <v>0</v>
      </c>
      <c r="FA54">
        <f t="shared" si="1393"/>
        <v>0</v>
      </c>
      <c r="FB54">
        <f t="shared" si="1394"/>
        <v>0</v>
      </c>
      <c r="FC54">
        <f t="shared" si="1395"/>
        <v>0</v>
      </c>
      <c r="FD54">
        <f t="shared" si="1396"/>
        <v>0</v>
      </c>
      <c r="FE54">
        <f t="shared" si="1397"/>
        <v>0</v>
      </c>
      <c r="FF54">
        <f t="shared" si="1398"/>
        <v>0</v>
      </c>
      <c r="FG54">
        <f t="shared" si="1399"/>
        <v>0</v>
      </c>
      <c r="FH54">
        <f t="shared" si="1400"/>
        <v>0</v>
      </c>
      <c r="FI54">
        <f t="shared" si="1401"/>
        <v>0</v>
      </c>
      <c r="FJ54">
        <f t="shared" si="1402"/>
        <v>0</v>
      </c>
      <c r="FK54">
        <f t="shared" si="1403"/>
        <v>0</v>
      </c>
      <c r="FL54">
        <f t="shared" si="1404"/>
        <v>0</v>
      </c>
      <c r="FM54">
        <f t="shared" si="1405"/>
        <v>0</v>
      </c>
      <c r="FN54">
        <f t="shared" si="1406"/>
        <v>0</v>
      </c>
      <c r="FO54">
        <f t="shared" si="1407"/>
        <v>0</v>
      </c>
      <c r="FP54">
        <f t="shared" si="1408"/>
        <v>0</v>
      </c>
      <c r="FQ54">
        <f t="shared" si="1409"/>
        <v>0</v>
      </c>
      <c r="FR54">
        <f t="shared" si="1410"/>
        <v>0</v>
      </c>
      <c r="FS54">
        <f t="shared" si="1411"/>
        <v>0</v>
      </c>
      <c r="FT54">
        <f t="shared" si="1412"/>
        <v>0</v>
      </c>
      <c r="FU54">
        <f t="shared" si="1413"/>
        <v>0</v>
      </c>
      <c r="FV54">
        <f t="shared" si="1414"/>
        <v>0</v>
      </c>
      <c r="FW54">
        <f t="shared" si="1415"/>
        <v>0</v>
      </c>
    </row>
    <row r="55" spans="1:179" x14ac:dyDescent="0.35">
      <c r="B55" s="72" t="s">
        <v>417</v>
      </c>
      <c r="C55" s="8">
        <v>5</v>
      </c>
      <c r="D55" s="6">
        <v>6</v>
      </c>
      <c r="E55" s="6">
        <v>26</v>
      </c>
      <c r="F55" s="6">
        <v>0.2</v>
      </c>
      <c r="G55" s="6">
        <v>0</v>
      </c>
      <c r="H55" s="6">
        <v>0.2</v>
      </c>
      <c r="I55" s="6">
        <v>0</v>
      </c>
      <c r="J55" s="6">
        <v>0</v>
      </c>
      <c r="K55" s="6">
        <v>0</v>
      </c>
      <c r="L55" s="6">
        <v>0</v>
      </c>
      <c r="M55" s="6">
        <v>1.4</v>
      </c>
      <c r="N55" s="6">
        <v>0</v>
      </c>
      <c r="O55" s="6">
        <v>1.4</v>
      </c>
      <c r="P55" s="6">
        <v>0</v>
      </c>
      <c r="Q55" s="6">
        <v>0</v>
      </c>
      <c r="R55" s="6">
        <v>92.1</v>
      </c>
      <c r="S55" s="6">
        <v>0.2</v>
      </c>
      <c r="T55" s="6">
        <v>14</v>
      </c>
      <c r="U55" s="6">
        <v>2</v>
      </c>
      <c r="V55" s="6">
        <v>140</v>
      </c>
      <c r="W55" s="6">
        <v>10</v>
      </c>
      <c r="X55" s="51">
        <v>5.0000000000000001E-3</v>
      </c>
      <c r="Y55" s="6">
        <v>7</v>
      </c>
      <c r="Z55" s="6">
        <v>0.13</v>
      </c>
      <c r="AA55" s="6">
        <v>1</v>
      </c>
      <c r="AB55" s="6">
        <v>3</v>
      </c>
      <c r="AC55" s="6">
        <v>0.6</v>
      </c>
      <c r="AD55" s="51">
        <v>5.0000000000000001E-3</v>
      </c>
      <c r="AE55" s="6">
        <v>2</v>
      </c>
      <c r="AF55" s="6">
        <v>0.02</v>
      </c>
      <c r="AG55" s="6">
        <v>0.02</v>
      </c>
      <c r="AH55" s="6">
        <v>43</v>
      </c>
      <c r="AI55" s="6">
        <v>0.2</v>
      </c>
      <c r="AJ55" s="6">
        <v>0.05</v>
      </c>
      <c r="AK55" s="6">
        <v>13</v>
      </c>
      <c r="AL55" s="6">
        <v>0.1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51">
        <v>5.0000000000000001E-3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7">
        <v>1</v>
      </c>
      <c r="BQ55" s="7">
        <v>3</v>
      </c>
      <c r="BR55" s="7">
        <v>6</v>
      </c>
      <c r="BS55" s="7">
        <v>5</v>
      </c>
      <c r="BT55" s="7">
        <v>10</v>
      </c>
      <c r="BU55" s="7">
        <v>3</v>
      </c>
      <c r="BV55" s="7">
        <v>3</v>
      </c>
      <c r="BW55" s="7">
        <v>7</v>
      </c>
      <c r="BX55" s="7">
        <v>4</v>
      </c>
      <c r="BY55" s="7">
        <v>7</v>
      </c>
      <c r="BZ55" s="7">
        <v>12</v>
      </c>
      <c r="CA55" s="7">
        <v>3</v>
      </c>
      <c r="CB55" s="7">
        <v>12</v>
      </c>
      <c r="CC55" s="7">
        <v>28</v>
      </c>
      <c r="CD55" s="7">
        <v>23</v>
      </c>
      <c r="CE55" s="7">
        <v>19</v>
      </c>
      <c r="CF55" s="7">
        <v>11</v>
      </c>
      <c r="CG55" s="7">
        <v>6</v>
      </c>
      <c r="CH55" s="6">
        <v>0.4</v>
      </c>
      <c r="CI55" s="6">
        <v>0.8</v>
      </c>
      <c r="CJ55" s="6">
        <v>0</v>
      </c>
      <c r="CK55" s="6">
        <v>0.2</v>
      </c>
      <c r="CL55" s="6">
        <v>0</v>
      </c>
      <c r="CM55" s="6">
        <v>0</v>
      </c>
      <c r="CN55">
        <f t="shared" si="1328"/>
        <v>0.3</v>
      </c>
      <c r="CO55">
        <f t="shared" si="1329"/>
        <v>1.3</v>
      </c>
      <c r="CP55">
        <f t="shared" si="1330"/>
        <v>0.01</v>
      </c>
      <c r="CQ55">
        <f t="shared" si="1331"/>
        <v>0</v>
      </c>
      <c r="CR55">
        <f t="shared" si="1332"/>
        <v>0.01</v>
      </c>
      <c r="CS55">
        <f t="shared" si="1333"/>
        <v>0</v>
      </c>
      <c r="CT55">
        <f t="shared" si="1334"/>
        <v>0</v>
      </c>
      <c r="CU55">
        <f t="shared" si="1335"/>
        <v>0</v>
      </c>
      <c r="CV55">
        <f t="shared" si="1336"/>
        <v>0</v>
      </c>
      <c r="CW55">
        <f t="shared" si="1337"/>
        <v>7.0000000000000007E-2</v>
      </c>
      <c r="CX55">
        <f t="shared" si="1338"/>
        <v>0</v>
      </c>
      <c r="CY55">
        <f t="shared" si="1339"/>
        <v>7.0000000000000007E-2</v>
      </c>
      <c r="CZ55">
        <f t="shared" si="1340"/>
        <v>0</v>
      </c>
      <c r="DA55">
        <f t="shared" si="1341"/>
        <v>0</v>
      </c>
      <c r="DB55">
        <f t="shared" si="1342"/>
        <v>4.6050000000000004</v>
      </c>
      <c r="DC55">
        <f t="shared" si="1343"/>
        <v>0.01</v>
      </c>
      <c r="DD55">
        <f t="shared" si="1344"/>
        <v>0.7</v>
      </c>
      <c r="DE55">
        <f t="shared" si="1345"/>
        <v>0.1</v>
      </c>
      <c r="DF55">
        <f t="shared" si="1346"/>
        <v>7</v>
      </c>
      <c r="DG55">
        <f t="shared" si="1347"/>
        <v>0.5</v>
      </c>
      <c r="DH55">
        <f t="shared" si="1348"/>
        <v>2.5000000000000001E-4</v>
      </c>
      <c r="DI55">
        <f t="shared" si="1349"/>
        <v>0.35</v>
      </c>
      <c r="DJ55">
        <f t="shared" si="1350"/>
        <v>6.5000000000000006E-3</v>
      </c>
      <c r="DK55">
        <f t="shared" si="1351"/>
        <v>0.05</v>
      </c>
      <c r="DL55">
        <f t="shared" si="1352"/>
        <v>0.15</v>
      </c>
      <c r="DM55">
        <f t="shared" si="1353"/>
        <v>0.03</v>
      </c>
      <c r="DN55">
        <f t="shared" si="1354"/>
        <v>2.5000000000000001E-4</v>
      </c>
      <c r="DO55">
        <f t="shared" si="1355"/>
        <v>0.1</v>
      </c>
      <c r="DP55">
        <f t="shared" si="1356"/>
        <v>1E-3</v>
      </c>
      <c r="DQ55">
        <f t="shared" si="1357"/>
        <v>1E-3</v>
      </c>
      <c r="DR55">
        <f t="shared" si="1358"/>
        <v>2.15</v>
      </c>
      <c r="DS55">
        <f t="shared" si="1359"/>
        <v>0.01</v>
      </c>
      <c r="DT55">
        <f t="shared" si="1360"/>
        <v>2.5000000000000001E-3</v>
      </c>
      <c r="DU55">
        <f t="shared" si="1361"/>
        <v>0.65</v>
      </c>
      <c r="DV55">
        <f t="shared" si="1362"/>
        <v>5.0000000000000001E-3</v>
      </c>
      <c r="DW55">
        <f t="shared" si="1363"/>
        <v>0</v>
      </c>
      <c r="DX55">
        <f t="shared" si="1364"/>
        <v>0</v>
      </c>
      <c r="DY55">
        <f t="shared" si="1365"/>
        <v>0</v>
      </c>
      <c r="DZ55">
        <f t="shared" si="1366"/>
        <v>0</v>
      </c>
      <c r="EA55">
        <f t="shared" si="1367"/>
        <v>0</v>
      </c>
      <c r="EB55">
        <f t="shared" si="1368"/>
        <v>2.5000000000000001E-4</v>
      </c>
      <c r="EC55">
        <f t="shared" si="1369"/>
        <v>0</v>
      </c>
      <c r="ED55">
        <f t="shared" si="1370"/>
        <v>0</v>
      </c>
      <c r="EE55">
        <f t="shared" si="1371"/>
        <v>0</v>
      </c>
      <c r="EF55">
        <f t="shared" si="1372"/>
        <v>0</v>
      </c>
      <c r="EG55">
        <f t="shared" si="1373"/>
        <v>0</v>
      </c>
      <c r="EH55">
        <f t="shared" si="1374"/>
        <v>0</v>
      </c>
      <c r="EI55">
        <f t="shared" si="1375"/>
        <v>0</v>
      </c>
      <c r="EJ55">
        <f t="shared" si="1376"/>
        <v>0</v>
      </c>
      <c r="EK55">
        <f t="shared" si="1377"/>
        <v>0</v>
      </c>
      <c r="EL55">
        <f t="shared" si="1378"/>
        <v>0</v>
      </c>
      <c r="EM55">
        <f t="shared" si="1379"/>
        <v>0</v>
      </c>
      <c r="EN55">
        <f t="shared" si="1380"/>
        <v>0</v>
      </c>
      <c r="EO55">
        <f t="shared" si="1381"/>
        <v>0</v>
      </c>
      <c r="EP55">
        <f t="shared" si="1382"/>
        <v>0</v>
      </c>
      <c r="EQ55">
        <f t="shared" si="1383"/>
        <v>0</v>
      </c>
      <c r="ER55">
        <f t="shared" si="1384"/>
        <v>0</v>
      </c>
      <c r="ES55">
        <f t="shared" si="1385"/>
        <v>0</v>
      </c>
      <c r="ET55">
        <f t="shared" si="1386"/>
        <v>0</v>
      </c>
      <c r="EU55">
        <f t="shared" si="1387"/>
        <v>0</v>
      </c>
      <c r="EV55">
        <f t="shared" si="1388"/>
        <v>0</v>
      </c>
      <c r="EW55">
        <f t="shared" si="1389"/>
        <v>0</v>
      </c>
      <c r="EX55">
        <f t="shared" si="1390"/>
        <v>0</v>
      </c>
      <c r="EY55">
        <f t="shared" si="1391"/>
        <v>0</v>
      </c>
      <c r="EZ55">
        <f t="shared" si="1392"/>
        <v>0.05</v>
      </c>
      <c r="FA55">
        <f t="shared" si="1393"/>
        <v>0.15</v>
      </c>
      <c r="FB55">
        <f t="shared" si="1394"/>
        <v>0.3</v>
      </c>
      <c r="FC55">
        <f t="shared" si="1395"/>
        <v>0.25</v>
      </c>
      <c r="FD55">
        <f t="shared" si="1396"/>
        <v>0.5</v>
      </c>
      <c r="FE55">
        <f t="shared" si="1397"/>
        <v>0.15</v>
      </c>
      <c r="FF55">
        <f t="shared" si="1398"/>
        <v>0.15</v>
      </c>
      <c r="FG55">
        <f t="shared" si="1399"/>
        <v>0.35</v>
      </c>
      <c r="FH55">
        <f t="shared" si="1400"/>
        <v>0.2</v>
      </c>
      <c r="FI55">
        <f t="shared" si="1401"/>
        <v>0.35</v>
      </c>
      <c r="FJ55">
        <f t="shared" si="1402"/>
        <v>0.6</v>
      </c>
      <c r="FK55">
        <f t="shared" si="1403"/>
        <v>0.15</v>
      </c>
      <c r="FL55">
        <f t="shared" si="1404"/>
        <v>0.6</v>
      </c>
      <c r="FM55">
        <f t="shared" si="1405"/>
        <v>1.4</v>
      </c>
      <c r="FN55">
        <f t="shared" si="1406"/>
        <v>1.1499999999999999</v>
      </c>
      <c r="FO55">
        <f t="shared" si="1407"/>
        <v>0.95</v>
      </c>
      <c r="FP55">
        <f t="shared" si="1408"/>
        <v>0.55000000000000004</v>
      </c>
      <c r="FQ55">
        <f t="shared" si="1409"/>
        <v>0.3</v>
      </c>
      <c r="FR55">
        <f t="shared" si="1410"/>
        <v>0.02</v>
      </c>
      <c r="FS55">
        <f t="shared" si="1411"/>
        <v>0.04</v>
      </c>
      <c r="FT55">
        <f t="shared" si="1412"/>
        <v>0</v>
      </c>
      <c r="FU55">
        <f t="shared" si="1413"/>
        <v>0.01</v>
      </c>
      <c r="FV55">
        <f t="shared" si="1414"/>
        <v>0</v>
      </c>
      <c r="FW55">
        <f t="shared" si="1415"/>
        <v>0</v>
      </c>
    </row>
    <row r="56" spans="1:179" x14ac:dyDescent="0.35">
      <c r="B56" s="72" t="s">
        <v>441</v>
      </c>
      <c r="C56" s="8">
        <v>2</v>
      </c>
      <c r="D56" s="6">
        <v>50</v>
      </c>
      <c r="E56" s="6">
        <v>208</v>
      </c>
      <c r="F56" s="6">
        <v>1.5</v>
      </c>
      <c r="G56" s="6">
        <v>0</v>
      </c>
      <c r="H56" s="6">
        <v>1.5</v>
      </c>
      <c r="I56" s="6">
        <v>0.3</v>
      </c>
      <c r="J56" s="6">
        <v>0</v>
      </c>
      <c r="K56" s="6">
        <v>0.3</v>
      </c>
      <c r="L56" s="6">
        <v>0</v>
      </c>
      <c r="M56" s="6">
        <v>5.4</v>
      </c>
      <c r="N56" s="6">
        <v>0</v>
      </c>
      <c r="O56" s="6">
        <v>4.2</v>
      </c>
      <c r="P56" s="6">
        <v>10.6</v>
      </c>
      <c r="Q56" s="6">
        <v>0</v>
      </c>
      <c r="R56" s="6">
        <v>81.599999999999994</v>
      </c>
      <c r="S56" s="6">
        <v>0.8</v>
      </c>
      <c r="T56" s="6">
        <v>134</v>
      </c>
      <c r="U56" s="6">
        <v>6</v>
      </c>
      <c r="V56" s="6">
        <v>160</v>
      </c>
      <c r="W56" s="6">
        <v>12</v>
      </c>
      <c r="X56" s="6">
        <v>0.25</v>
      </c>
      <c r="Y56" s="6">
        <v>15</v>
      </c>
      <c r="Z56" s="6">
        <v>9.1999999999999998E-2</v>
      </c>
      <c r="AA56" s="6">
        <v>0.7</v>
      </c>
      <c r="AB56" s="6">
        <v>5</v>
      </c>
      <c r="AC56" s="6">
        <v>0.3</v>
      </c>
      <c r="AD56" s="6">
        <v>0.03</v>
      </c>
      <c r="AE56" s="6">
        <v>12</v>
      </c>
      <c r="AF56" s="6">
        <v>0.06</v>
      </c>
      <c r="AG56" s="6">
        <v>0.08</v>
      </c>
      <c r="AH56" s="6">
        <v>129</v>
      </c>
      <c r="AI56" s="6">
        <v>0.4</v>
      </c>
      <c r="AJ56" s="6">
        <v>0.17199999999999999</v>
      </c>
      <c r="AK56" s="6">
        <v>13</v>
      </c>
      <c r="AL56" s="6">
        <v>0.31900000000000001</v>
      </c>
      <c r="AM56" s="6">
        <v>0.5</v>
      </c>
      <c r="AN56" s="6">
        <v>0</v>
      </c>
      <c r="AO56" s="6">
        <v>5</v>
      </c>
      <c r="AP56" s="6">
        <v>0</v>
      </c>
      <c r="AQ56" s="6">
        <v>30</v>
      </c>
      <c r="AR56" s="6">
        <v>0.25</v>
      </c>
      <c r="AS56" s="6">
        <v>0</v>
      </c>
      <c r="AT56" s="6">
        <v>0</v>
      </c>
      <c r="AU56" s="6">
        <v>3.9E-2</v>
      </c>
      <c r="AV56" s="6">
        <v>0</v>
      </c>
      <c r="AW56" s="6">
        <v>0</v>
      </c>
      <c r="AX56" s="6">
        <v>1E-3</v>
      </c>
      <c r="AY56" s="6">
        <v>3.5000000000000003E-2</v>
      </c>
      <c r="AZ56" s="6">
        <v>2E-3</v>
      </c>
      <c r="BA56" s="52">
        <v>0</v>
      </c>
      <c r="BB56" s="52">
        <v>0</v>
      </c>
      <c r="BC56" s="6">
        <v>1.0999999999999999E-2</v>
      </c>
      <c r="BD56" s="6">
        <v>0</v>
      </c>
      <c r="BE56" s="6">
        <v>1E-3</v>
      </c>
      <c r="BF56" s="6">
        <v>0.01</v>
      </c>
      <c r="BG56" s="6">
        <v>0</v>
      </c>
      <c r="BH56" s="6">
        <v>0</v>
      </c>
      <c r="BI56" s="6">
        <v>8.8999999999999996E-2</v>
      </c>
      <c r="BJ56" s="6">
        <v>6.3E-2</v>
      </c>
      <c r="BK56" s="6">
        <v>2.5999999999999999E-2</v>
      </c>
      <c r="BL56" s="6">
        <v>0</v>
      </c>
      <c r="BM56" s="6">
        <v>0</v>
      </c>
      <c r="BN56" s="6">
        <v>0</v>
      </c>
      <c r="BO56" s="6">
        <v>0</v>
      </c>
      <c r="BP56" s="7">
        <v>9</v>
      </c>
      <c r="BQ56" s="7">
        <v>21</v>
      </c>
      <c r="BR56" s="7">
        <v>41</v>
      </c>
      <c r="BS56" s="7">
        <v>38</v>
      </c>
      <c r="BT56" s="7">
        <v>75</v>
      </c>
      <c r="BU56" s="7">
        <v>21</v>
      </c>
      <c r="BV56" s="7">
        <v>19</v>
      </c>
      <c r="BW56" s="7">
        <v>53</v>
      </c>
      <c r="BX56" s="7">
        <v>30</v>
      </c>
      <c r="BY56" s="7">
        <v>54</v>
      </c>
      <c r="BZ56" s="7">
        <v>90</v>
      </c>
      <c r="CA56" s="7">
        <v>21</v>
      </c>
      <c r="CB56" s="7">
        <v>88</v>
      </c>
      <c r="CC56" s="7">
        <v>206</v>
      </c>
      <c r="CD56" s="7">
        <v>171</v>
      </c>
      <c r="CE56" s="7">
        <v>144</v>
      </c>
      <c r="CF56" s="7">
        <v>79</v>
      </c>
      <c r="CG56" s="7">
        <v>41</v>
      </c>
      <c r="CH56" s="6">
        <v>1.8</v>
      </c>
      <c r="CI56" s="6">
        <v>1.8</v>
      </c>
      <c r="CJ56" s="6">
        <v>0</v>
      </c>
      <c r="CK56" s="6">
        <v>0.5</v>
      </c>
      <c r="CL56" s="6">
        <v>0</v>
      </c>
      <c r="CM56" s="6">
        <v>0</v>
      </c>
      <c r="CN56">
        <f t="shared" si="1328"/>
        <v>1</v>
      </c>
      <c r="CO56">
        <f t="shared" si="1329"/>
        <v>4.16</v>
      </c>
      <c r="CP56">
        <f t="shared" si="1330"/>
        <v>0.03</v>
      </c>
      <c r="CQ56">
        <f t="shared" si="1331"/>
        <v>0</v>
      </c>
      <c r="CR56">
        <f t="shared" si="1332"/>
        <v>0.03</v>
      </c>
      <c r="CS56">
        <f t="shared" si="1333"/>
        <v>6.0000000000000001E-3</v>
      </c>
      <c r="CT56">
        <f t="shared" si="1334"/>
        <v>0</v>
      </c>
      <c r="CU56">
        <f t="shared" si="1335"/>
        <v>6.0000000000000001E-3</v>
      </c>
      <c r="CV56">
        <f t="shared" si="1336"/>
        <v>0</v>
      </c>
      <c r="CW56">
        <f t="shared" si="1337"/>
        <v>0.10800000000000001</v>
      </c>
      <c r="CX56">
        <f t="shared" si="1338"/>
        <v>0</v>
      </c>
      <c r="CY56">
        <f t="shared" si="1339"/>
        <v>8.4000000000000005E-2</v>
      </c>
      <c r="CZ56">
        <f t="shared" si="1340"/>
        <v>0.21199999999999999</v>
      </c>
      <c r="DA56">
        <f t="shared" si="1341"/>
        <v>0</v>
      </c>
      <c r="DB56">
        <f t="shared" si="1342"/>
        <v>1.6319999999999999</v>
      </c>
      <c r="DC56">
        <f t="shared" si="1343"/>
        <v>1.6E-2</v>
      </c>
      <c r="DD56">
        <f t="shared" si="1344"/>
        <v>2.68</v>
      </c>
      <c r="DE56">
        <f t="shared" si="1345"/>
        <v>0.12</v>
      </c>
      <c r="DF56">
        <f t="shared" si="1346"/>
        <v>3.2</v>
      </c>
      <c r="DG56">
        <f t="shared" si="1347"/>
        <v>0.24</v>
      </c>
      <c r="DH56">
        <f t="shared" si="1348"/>
        <v>5.0000000000000001E-3</v>
      </c>
      <c r="DI56">
        <f t="shared" si="1349"/>
        <v>0.3</v>
      </c>
      <c r="DJ56">
        <f t="shared" si="1350"/>
        <v>1.8400000000000001E-3</v>
      </c>
      <c r="DK56">
        <f t="shared" si="1351"/>
        <v>1.3999999999999999E-2</v>
      </c>
      <c r="DL56">
        <f t="shared" si="1352"/>
        <v>0.1</v>
      </c>
      <c r="DM56">
        <f t="shared" si="1353"/>
        <v>6.0000000000000001E-3</v>
      </c>
      <c r="DN56">
        <f t="shared" si="1354"/>
        <v>5.9999999999999995E-4</v>
      </c>
      <c r="DO56">
        <f t="shared" si="1355"/>
        <v>0.24</v>
      </c>
      <c r="DP56">
        <f t="shared" si="1356"/>
        <v>1.1999999999999999E-3</v>
      </c>
      <c r="DQ56">
        <f t="shared" si="1357"/>
        <v>1.6000000000000001E-3</v>
      </c>
      <c r="DR56">
        <f t="shared" si="1358"/>
        <v>2.58</v>
      </c>
      <c r="DS56">
        <f t="shared" si="1359"/>
        <v>8.0000000000000002E-3</v>
      </c>
      <c r="DT56">
        <f t="shared" si="1360"/>
        <v>3.4399999999999999E-3</v>
      </c>
      <c r="DU56">
        <f t="shared" si="1361"/>
        <v>0.26</v>
      </c>
      <c r="DV56">
        <f t="shared" si="1362"/>
        <v>6.3800000000000003E-3</v>
      </c>
      <c r="DW56">
        <f t="shared" si="1363"/>
        <v>0.01</v>
      </c>
      <c r="DX56">
        <f t="shared" si="1364"/>
        <v>0</v>
      </c>
      <c r="DY56">
        <f t="shared" si="1365"/>
        <v>0.1</v>
      </c>
      <c r="DZ56">
        <f t="shared" si="1366"/>
        <v>0</v>
      </c>
      <c r="EA56">
        <f t="shared" si="1367"/>
        <v>0.6</v>
      </c>
      <c r="EB56">
        <f t="shared" si="1368"/>
        <v>5.0000000000000001E-3</v>
      </c>
      <c r="EC56">
        <f t="shared" si="1369"/>
        <v>0</v>
      </c>
      <c r="ED56">
        <f t="shared" si="1370"/>
        <v>0</v>
      </c>
      <c r="EE56">
        <f t="shared" si="1371"/>
        <v>7.7999999999999999E-4</v>
      </c>
      <c r="EF56">
        <f t="shared" si="1372"/>
        <v>0</v>
      </c>
      <c r="EG56">
        <f t="shared" si="1373"/>
        <v>0</v>
      </c>
      <c r="EH56">
        <f t="shared" si="1374"/>
        <v>2.0000000000000002E-5</v>
      </c>
      <c r="EI56">
        <f t="shared" si="1375"/>
        <v>7.000000000000001E-4</v>
      </c>
      <c r="EJ56">
        <f t="shared" si="1376"/>
        <v>4.0000000000000003E-5</v>
      </c>
      <c r="EK56">
        <f t="shared" si="1377"/>
        <v>0</v>
      </c>
      <c r="EL56">
        <f t="shared" si="1378"/>
        <v>0</v>
      </c>
      <c r="EM56">
        <f t="shared" si="1379"/>
        <v>2.1999999999999998E-4</v>
      </c>
      <c r="EN56">
        <f t="shared" si="1380"/>
        <v>0</v>
      </c>
      <c r="EO56">
        <f t="shared" si="1381"/>
        <v>2.0000000000000002E-5</v>
      </c>
      <c r="EP56">
        <f t="shared" si="1382"/>
        <v>2.0000000000000001E-4</v>
      </c>
      <c r="EQ56">
        <f t="shared" si="1383"/>
        <v>0</v>
      </c>
      <c r="ER56">
        <f t="shared" si="1384"/>
        <v>0</v>
      </c>
      <c r="ES56">
        <f t="shared" si="1385"/>
        <v>1.7799999999999999E-3</v>
      </c>
      <c r="ET56">
        <f t="shared" si="1386"/>
        <v>1.2600000000000001E-3</v>
      </c>
      <c r="EU56">
        <f t="shared" si="1387"/>
        <v>5.1999999999999995E-4</v>
      </c>
      <c r="EV56">
        <f t="shared" si="1388"/>
        <v>0</v>
      </c>
      <c r="EW56">
        <f t="shared" si="1389"/>
        <v>0</v>
      </c>
      <c r="EX56">
        <f t="shared" si="1390"/>
        <v>0</v>
      </c>
      <c r="EY56">
        <f t="shared" si="1391"/>
        <v>0</v>
      </c>
      <c r="EZ56">
        <f t="shared" si="1392"/>
        <v>0.18</v>
      </c>
      <c r="FA56">
        <f t="shared" si="1393"/>
        <v>0.42</v>
      </c>
      <c r="FB56">
        <f t="shared" si="1394"/>
        <v>0.82</v>
      </c>
      <c r="FC56">
        <f t="shared" si="1395"/>
        <v>0.76</v>
      </c>
      <c r="FD56">
        <f t="shared" si="1396"/>
        <v>1.5</v>
      </c>
      <c r="FE56">
        <f t="shared" si="1397"/>
        <v>0.42</v>
      </c>
      <c r="FF56">
        <f t="shared" si="1398"/>
        <v>0.38</v>
      </c>
      <c r="FG56">
        <f t="shared" si="1399"/>
        <v>1.06</v>
      </c>
      <c r="FH56">
        <f t="shared" si="1400"/>
        <v>0.6</v>
      </c>
      <c r="FI56">
        <f t="shared" si="1401"/>
        <v>1.08</v>
      </c>
      <c r="FJ56">
        <f t="shared" si="1402"/>
        <v>1.8</v>
      </c>
      <c r="FK56">
        <f t="shared" si="1403"/>
        <v>0.42</v>
      </c>
      <c r="FL56">
        <f t="shared" si="1404"/>
        <v>1.76</v>
      </c>
      <c r="FM56">
        <f t="shared" si="1405"/>
        <v>4.12</v>
      </c>
      <c r="FN56">
        <f t="shared" si="1406"/>
        <v>3.42</v>
      </c>
      <c r="FO56">
        <f t="shared" si="1407"/>
        <v>2.88</v>
      </c>
      <c r="FP56">
        <f t="shared" si="1408"/>
        <v>1.58</v>
      </c>
      <c r="FQ56">
        <f t="shared" si="1409"/>
        <v>0.82</v>
      </c>
      <c r="FR56">
        <f t="shared" si="1410"/>
        <v>3.6000000000000004E-2</v>
      </c>
      <c r="FS56">
        <f t="shared" si="1411"/>
        <v>3.6000000000000004E-2</v>
      </c>
      <c r="FT56">
        <f t="shared" si="1412"/>
        <v>0</v>
      </c>
      <c r="FU56">
        <f t="shared" si="1413"/>
        <v>0.01</v>
      </c>
      <c r="FV56">
        <f t="shared" si="1414"/>
        <v>0</v>
      </c>
      <c r="FW56">
        <f t="shared" si="1415"/>
        <v>0</v>
      </c>
    </row>
    <row r="57" spans="1:179" x14ac:dyDescent="0.35">
      <c r="B57" s="72" t="s">
        <v>437</v>
      </c>
      <c r="C57" s="8">
        <v>3</v>
      </c>
      <c r="D57" s="6">
        <v>325</v>
      </c>
      <c r="E57" s="6">
        <v>1345</v>
      </c>
      <c r="F57" s="6">
        <v>15.8</v>
      </c>
      <c r="G57" s="6">
        <v>15.8</v>
      </c>
      <c r="H57" s="6">
        <v>0</v>
      </c>
      <c r="I57" s="6">
        <v>29.1</v>
      </c>
      <c r="J57" s="6">
        <v>29.1</v>
      </c>
      <c r="K57" s="6">
        <v>0</v>
      </c>
      <c r="L57" s="6">
        <v>1337</v>
      </c>
      <c r="M57" s="51">
        <v>0.05</v>
      </c>
      <c r="N57" s="6">
        <v>0</v>
      </c>
      <c r="O57" s="51">
        <v>0.05</v>
      </c>
      <c r="P57" s="6">
        <v>0</v>
      </c>
      <c r="Q57" s="6">
        <v>0</v>
      </c>
      <c r="R57" s="6">
        <v>53.2</v>
      </c>
      <c r="S57" s="6">
        <v>4.9000000000000004</v>
      </c>
      <c r="T57" s="6">
        <v>116</v>
      </c>
      <c r="U57" s="6">
        <v>43</v>
      </c>
      <c r="V57" s="6">
        <v>90</v>
      </c>
      <c r="W57" s="6">
        <v>586</v>
      </c>
      <c r="X57" s="6">
        <v>2.1</v>
      </c>
      <c r="Y57" s="6">
        <v>14</v>
      </c>
      <c r="Z57" s="6">
        <v>0.2</v>
      </c>
      <c r="AA57" s="6">
        <v>10</v>
      </c>
      <c r="AB57" s="6">
        <v>140</v>
      </c>
      <c r="AC57" s="6">
        <v>140</v>
      </c>
      <c r="AD57" s="6">
        <v>0.1</v>
      </c>
      <c r="AE57" s="6">
        <v>170</v>
      </c>
      <c r="AF57" s="6">
        <v>0.27</v>
      </c>
      <c r="AG57" s="6">
        <v>0.35</v>
      </c>
      <c r="AH57" s="6">
        <v>0</v>
      </c>
      <c r="AI57" s="6">
        <v>0.1</v>
      </c>
      <c r="AJ57" s="6">
        <v>0.3</v>
      </c>
      <c r="AK57" s="6">
        <v>130</v>
      </c>
      <c r="AL57" s="6">
        <v>4.5999999999999996</v>
      </c>
      <c r="AM57" s="6">
        <v>50</v>
      </c>
      <c r="AN57" s="6">
        <v>6.9</v>
      </c>
      <c r="AO57" s="6">
        <v>640</v>
      </c>
      <c r="AP57" s="6">
        <v>607</v>
      </c>
      <c r="AQ57" s="6">
        <v>198</v>
      </c>
      <c r="AR57" s="6">
        <v>3.11</v>
      </c>
      <c r="AS57" s="6">
        <v>4.9400000000000004</v>
      </c>
      <c r="AT57" s="51">
        <v>5.0000000000000001E-3</v>
      </c>
      <c r="AU57" s="6">
        <v>9.82</v>
      </c>
      <c r="AV57" s="6">
        <v>0</v>
      </c>
      <c r="AW57" s="6">
        <v>0</v>
      </c>
      <c r="AX57" s="6">
        <v>0.08</v>
      </c>
      <c r="AY57" s="6">
        <v>5.98</v>
      </c>
      <c r="AZ57" s="6">
        <v>3.73</v>
      </c>
      <c r="BA57" s="6">
        <v>0</v>
      </c>
      <c r="BB57" s="6">
        <v>0</v>
      </c>
      <c r="BC57" s="6">
        <v>8.2899999999999991</v>
      </c>
      <c r="BD57" s="6">
        <v>0</v>
      </c>
      <c r="BE57" s="6">
        <v>0.66</v>
      </c>
      <c r="BF57" s="6">
        <v>7.63</v>
      </c>
      <c r="BG57" s="6">
        <v>0</v>
      </c>
      <c r="BH57" s="6">
        <v>0</v>
      </c>
      <c r="BI57" s="6">
        <v>4.63</v>
      </c>
      <c r="BJ57" s="6">
        <v>3.83</v>
      </c>
      <c r="BK57" s="6">
        <v>0.11</v>
      </c>
      <c r="BL57" s="6">
        <v>0.68</v>
      </c>
      <c r="BM57" s="6">
        <v>0</v>
      </c>
      <c r="BN57" s="6">
        <v>0</v>
      </c>
      <c r="BO57" s="6">
        <v>0.01</v>
      </c>
      <c r="BP57" s="7">
        <v>237</v>
      </c>
      <c r="BQ57" s="7">
        <v>826</v>
      </c>
      <c r="BR57" s="7">
        <v>842</v>
      </c>
      <c r="BS57" s="7">
        <v>1347</v>
      </c>
      <c r="BT57" s="7">
        <v>1250</v>
      </c>
      <c r="BU57" s="7">
        <v>422</v>
      </c>
      <c r="BV57" s="7">
        <v>328</v>
      </c>
      <c r="BW57" s="7">
        <v>707</v>
      </c>
      <c r="BX57" s="7">
        <v>663</v>
      </c>
      <c r="BY57" s="7">
        <v>993</v>
      </c>
      <c r="BZ57" s="7">
        <v>1103</v>
      </c>
      <c r="CA57" s="7">
        <v>394</v>
      </c>
      <c r="CB57" s="7">
        <v>878</v>
      </c>
      <c r="CC57" s="7">
        <v>1524</v>
      </c>
      <c r="CD57" s="7">
        <v>1885</v>
      </c>
      <c r="CE57" s="7">
        <v>490</v>
      </c>
      <c r="CF57" s="7">
        <v>685</v>
      </c>
      <c r="CG57" s="7">
        <v>1170</v>
      </c>
      <c r="CH57" s="51">
        <v>0.05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>
        <f t="shared" si="1328"/>
        <v>9.75</v>
      </c>
      <c r="CO57">
        <f t="shared" si="1329"/>
        <v>40.35</v>
      </c>
      <c r="CP57">
        <f t="shared" si="1330"/>
        <v>0.47400000000000003</v>
      </c>
      <c r="CQ57">
        <f t="shared" si="1331"/>
        <v>0.47400000000000003</v>
      </c>
      <c r="CR57">
        <f t="shared" si="1332"/>
        <v>0</v>
      </c>
      <c r="CS57">
        <f t="shared" si="1333"/>
        <v>0.87300000000000011</v>
      </c>
      <c r="CT57">
        <f t="shared" si="1334"/>
        <v>0.87300000000000011</v>
      </c>
      <c r="CU57">
        <f t="shared" si="1335"/>
        <v>0</v>
      </c>
      <c r="CV57">
        <f t="shared" si="1336"/>
        <v>40.11</v>
      </c>
      <c r="CW57">
        <f t="shared" si="1337"/>
        <v>1.5000000000000002E-3</v>
      </c>
      <c r="CX57">
        <f t="shared" si="1338"/>
        <v>0</v>
      </c>
      <c r="CY57">
        <f t="shared" si="1339"/>
        <v>1.5000000000000002E-3</v>
      </c>
      <c r="CZ57">
        <f t="shared" si="1340"/>
        <v>0</v>
      </c>
      <c r="DA57">
        <f t="shared" si="1341"/>
        <v>0</v>
      </c>
      <c r="DB57">
        <f t="shared" si="1342"/>
        <v>1.5960000000000003</v>
      </c>
      <c r="DC57">
        <f t="shared" si="1343"/>
        <v>0.14700000000000002</v>
      </c>
      <c r="DD57">
        <f t="shared" si="1344"/>
        <v>3.48</v>
      </c>
      <c r="DE57">
        <f t="shared" si="1345"/>
        <v>1.29</v>
      </c>
      <c r="DF57">
        <f t="shared" si="1346"/>
        <v>2.7</v>
      </c>
      <c r="DG57">
        <f t="shared" si="1347"/>
        <v>17.579999999999998</v>
      </c>
      <c r="DH57">
        <f t="shared" si="1348"/>
        <v>6.3E-2</v>
      </c>
      <c r="DI57">
        <f t="shared" si="1349"/>
        <v>0.42</v>
      </c>
      <c r="DJ57">
        <f t="shared" si="1350"/>
        <v>6.000000000000001E-3</v>
      </c>
      <c r="DK57">
        <f t="shared" si="1351"/>
        <v>0.3</v>
      </c>
      <c r="DL57">
        <f t="shared" si="1352"/>
        <v>4.2</v>
      </c>
      <c r="DM57">
        <f t="shared" si="1353"/>
        <v>4.2</v>
      </c>
      <c r="DN57">
        <f t="shared" si="1354"/>
        <v>3.0000000000000005E-3</v>
      </c>
      <c r="DO57">
        <f t="shared" si="1355"/>
        <v>5.0999999999999996</v>
      </c>
      <c r="DP57">
        <f t="shared" si="1356"/>
        <v>8.1000000000000013E-3</v>
      </c>
      <c r="DQ57">
        <f t="shared" si="1357"/>
        <v>1.0499999999999999E-2</v>
      </c>
      <c r="DR57">
        <f t="shared" si="1358"/>
        <v>0</v>
      </c>
      <c r="DS57">
        <f t="shared" si="1359"/>
        <v>3.0000000000000005E-3</v>
      </c>
      <c r="DT57">
        <f t="shared" si="1360"/>
        <v>8.9999999999999993E-3</v>
      </c>
      <c r="DU57">
        <f t="shared" si="1361"/>
        <v>3.9</v>
      </c>
      <c r="DV57">
        <f t="shared" si="1362"/>
        <v>0.13799999999999998</v>
      </c>
      <c r="DW57">
        <f t="shared" si="1363"/>
        <v>1.5</v>
      </c>
      <c r="DX57">
        <f t="shared" si="1364"/>
        <v>0.20700000000000002</v>
      </c>
      <c r="DY57">
        <f t="shared" si="1365"/>
        <v>19.2</v>
      </c>
      <c r="DZ57">
        <f t="shared" si="1366"/>
        <v>18.21</v>
      </c>
      <c r="EA57">
        <f t="shared" si="1367"/>
        <v>5.94</v>
      </c>
      <c r="EB57">
        <f t="shared" si="1368"/>
        <v>9.3299999999999994E-2</v>
      </c>
      <c r="EC57">
        <f t="shared" si="1369"/>
        <v>0.1482</v>
      </c>
      <c r="ED57">
        <f t="shared" si="1370"/>
        <v>1.4999999999999999E-4</v>
      </c>
      <c r="EE57">
        <f t="shared" si="1371"/>
        <v>0.29460000000000003</v>
      </c>
      <c r="EF57">
        <f t="shared" si="1372"/>
        <v>0</v>
      </c>
      <c r="EG57">
        <f t="shared" si="1373"/>
        <v>0</v>
      </c>
      <c r="EH57">
        <f t="shared" si="1374"/>
        <v>2.3999999999999998E-3</v>
      </c>
      <c r="EI57">
        <f t="shared" si="1375"/>
        <v>0.1794</v>
      </c>
      <c r="EJ57">
        <f t="shared" si="1376"/>
        <v>0.1119</v>
      </c>
      <c r="EK57">
        <f t="shared" si="1377"/>
        <v>0</v>
      </c>
      <c r="EL57">
        <f t="shared" si="1378"/>
        <v>0</v>
      </c>
      <c r="EM57">
        <f t="shared" si="1379"/>
        <v>0.24869999999999998</v>
      </c>
      <c r="EN57">
        <f t="shared" si="1380"/>
        <v>0</v>
      </c>
      <c r="EO57">
        <f t="shared" si="1381"/>
        <v>1.9799999999999998E-2</v>
      </c>
      <c r="EP57">
        <f t="shared" si="1382"/>
        <v>0.22889999999999999</v>
      </c>
      <c r="EQ57">
        <f t="shared" si="1383"/>
        <v>0</v>
      </c>
      <c r="ER57">
        <f t="shared" si="1384"/>
        <v>0</v>
      </c>
      <c r="ES57">
        <f t="shared" si="1385"/>
        <v>0.1389</v>
      </c>
      <c r="ET57">
        <f t="shared" si="1386"/>
        <v>0.1149</v>
      </c>
      <c r="EU57">
        <f t="shared" si="1387"/>
        <v>3.3E-3</v>
      </c>
      <c r="EV57">
        <f t="shared" si="1388"/>
        <v>2.0400000000000001E-2</v>
      </c>
      <c r="EW57">
        <f t="shared" si="1389"/>
        <v>0</v>
      </c>
      <c r="EX57">
        <f t="shared" si="1390"/>
        <v>0</v>
      </c>
      <c r="EY57">
        <f t="shared" si="1391"/>
        <v>2.9999999999999997E-4</v>
      </c>
      <c r="EZ57">
        <f t="shared" si="1392"/>
        <v>7.11</v>
      </c>
      <c r="FA57">
        <f t="shared" si="1393"/>
        <v>24.78</v>
      </c>
      <c r="FB57">
        <f t="shared" si="1394"/>
        <v>25.26</v>
      </c>
      <c r="FC57">
        <f t="shared" si="1395"/>
        <v>40.409999999999997</v>
      </c>
      <c r="FD57">
        <f t="shared" si="1396"/>
        <v>37.5</v>
      </c>
      <c r="FE57">
        <f t="shared" si="1397"/>
        <v>12.66</v>
      </c>
      <c r="FF57">
        <f t="shared" si="1398"/>
        <v>9.84</v>
      </c>
      <c r="FG57">
        <f t="shared" si="1399"/>
        <v>21.21</v>
      </c>
      <c r="FH57">
        <f t="shared" si="1400"/>
        <v>19.89</v>
      </c>
      <c r="FI57">
        <f t="shared" si="1401"/>
        <v>29.79</v>
      </c>
      <c r="FJ57">
        <f t="shared" si="1402"/>
        <v>33.090000000000003</v>
      </c>
      <c r="FK57">
        <f t="shared" si="1403"/>
        <v>11.82</v>
      </c>
      <c r="FL57">
        <f t="shared" si="1404"/>
        <v>26.34</v>
      </c>
      <c r="FM57">
        <f t="shared" si="1405"/>
        <v>45.72</v>
      </c>
      <c r="FN57">
        <f t="shared" si="1406"/>
        <v>56.55</v>
      </c>
      <c r="FO57">
        <f t="shared" si="1407"/>
        <v>14.7</v>
      </c>
      <c r="FP57">
        <f t="shared" si="1408"/>
        <v>20.55</v>
      </c>
      <c r="FQ57">
        <f t="shared" si="1409"/>
        <v>35.1</v>
      </c>
      <c r="FR57">
        <f t="shared" si="1410"/>
        <v>1.5000000000000002E-3</v>
      </c>
      <c r="FS57">
        <f t="shared" si="1411"/>
        <v>0</v>
      </c>
      <c r="FT57">
        <f t="shared" si="1412"/>
        <v>0</v>
      </c>
      <c r="FU57">
        <f t="shared" si="1413"/>
        <v>0</v>
      </c>
      <c r="FV57">
        <f t="shared" si="1414"/>
        <v>0</v>
      </c>
      <c r="FW57">
        <f t="shared" si="1415"/>
        <v>0</v>
      </c>
    </row>
    <row r="58" spans="1:179" x14ac:dyDescent="0.35">
      <c r="B58" s="73" t="s">
        <v>436</v>
      </c>
      <c r="C58" s="8">
        <v>5</v>
      </c>
      <c r="D58" s="48">
        <v>60</v>
      </c>
      <c r="E58" s="48">
        <v>253</v>
      </c>
      <c r="F58" s="48">
        <v>3.74</v>
      </c>
      <c r="G58" s="49">
        <v>0</v>
      </c>
      <c r="H58" s="49">
        <v>3.74</v>
      </c>
      <c r="I58" s="48">
        <v>3.34</v>
      </c>
      <c r="J58" s="49">
        <v>0</v>
      </c>
      <c r="K58" s="49">
        <v>3.34</v>
      </c>
      <c r="L58" s="48">
        <v>0</v>
      </c>
      <c r="M58" s="48">
        <v>5.83</v>
      </c>
      <c r="N58" s="48">
        <v>0.64</v>
      </c>
      <c r="O58" s="48">
        <v>0.92</v>
      </c>
      <c r="P58" s="48">
        <v>4</v>
      </c>
      <c r="Q58" s="48">
        <v>0</v>
      </c>
      <c r="R58" s="48">
        <v>83.7</v>
      </c>
      <c r="S58" s="48">
        <v>1.61</v>
      </c>
      <c r="T58" s="48">
        <v>63</v>
      </c>
      <c r="U58" s="48">
        <v>1100</v>
      </c>
      <c r="V58" s="48">
        <v>152</v>
      </c>
      <c r="W58" s="48">
        <v>108</v>
      </c>
      <c r="X58" s="48">
        <v>0.64</v>
      </c>
      <c r="Y58" s="48">
        <v>48</v>
      </c>
      <c r="Z58" s="48">
        <v>7.3999999999999996E-2</v>
      </c>
      <c r="AA58" s="48">
        <v>33.5</v>
      </c>
      <c r="AB58" s="42">
        <v>3550</v>
      </c>
      <c r="AC58" s="42">
        <v>1</v>
      </c>
      <c r="AD58" s="48">
        <v>0.42199999999999999</v>
      </c>
      <c r="AE58" s="43">
        <v>22.5</v>
      </c>
      <c r="AF58" s="48">
        <v>0.17699999999999999</v>
      </c>
      <c r="AG58" s="48">
        <v>7.0000000000000007E-2</v>
      </c>
      <c r="AH58" s="48">
        <v>0.3</v>
      </c>
      <c r="AI58" s="48">
        <v>0.56499999999999995</v>
      </c>
      <c r="AJ58" s="48">
        <v>7.0000000000000007E-2</v>
      </c>
      <c r="AK58" s="48">
        <v>7</v>
      </c>
      <c r="AL58" s="48">
        <v>0.254</v>
      </c>
      <c r="AM58" s="42">
        <v>0</v>
      </c>
      <c r="AN58" s="48">
        <v>0</v>
      </c>
      <c r="AO58" s="48">
        <v>10.833333333333334</v>
      </c>
      <c r="AP58" s="48">
        <v>0</v>
      </c>
      <c r="AQ58" s="48">
        <v>65</v>
      </c>
      <c r="AR58" s="48">
        <v>0.58179999999999998</v>
      </c>
      <c r="AS58" s="48">
        <v>0</v>
      </c>
      <c r="AT58" s="48">
        <v>1.4</v>
      </c>
      <c r="AU58" s="48">
        <v>0.214</v>
      </c>
      <c r="AV58" s="44">
        <v>5.0000000000000001E-3</v>
      </c>
      <c r="AW58" s="48">
        <v>2E-3</v>
      </c>
      <c r="AX58" s="48">
        <v>4.0000000000000001E-3</v>
      </c>
      <c r="AY58" s="48">
        <v>0.11700000000000001</v>
      </c>
      <c r="AZ58" s="48">
        <v>3.7999999999999999E-2</v>
      </c>
      <c r="BA58" s="48">
        <v>0.02</v>
      </c>
      <c r="BB58" s="48">
        <v>1.6E-2</v>
      </c>
      <c r="BC58" s="48">
        <v>2.1800000000000002</v>
      </c>
      <c r="BD58" s="48">
        <v>0</v>
      </c>
      <c r="BE58" s="48">
        <v>8.0000000000000002E-3</v>
      </c>
      <c r="BF58" s="48">
        <v>0.77800000000000002</v>
      </c>
      <c r="BG58" s="48">
        <v>0.28899999999999998</v>
      </c>
      <c r="BH58" s="48">
        <v>1.06</v>
      </c>
      <c r="BI58" s="48">
        <v>0.77400000000000002</v>
      </c>
      <c r="BJ58" s="48">
        <v>0.35799999999999998</v>
      </c>
      <c r="BK58" s="48">
        <v>0.373</v>
      </c>
      <c r="BL58" s="48">
        <v>0</v>
      </c>
      <c r="BM58" s="48">
        <v>0</v>
      </c>
      <c r="BN58" s="48">
        <v>0</v>
      </c>
      <c r="BO58" s="44">
        <v>0.78300000000000003</v>
      </c>
      <c r="BP58" s="48">
        <v>8.9999999999999993E-3</v>
      </c>
      <c r="BQ58" s="48">
        <v>0.16700000000000001</v>
      </c>
      <c r="BR58" s="48">
        <v>0.14599999999999999</v>
      </c>
      <c r="BS58" s="48">
        <v>0.29199999999999998</v>
      </c>
      <c r="BT58" s="48">
        <v>0.26400000000000001</v>
      </c>
      <c r="BU58" s="48">
        <v>7.5999999999999998E-2</v>
      </c>
      <c r="BV58" s="48">
        <v>7.1999999999999995E-2</v>
      </c>
      <c r="BW58" s="48">
        <v>0.161</v>
      </c>
      <c r="BX58" s="48">
        <v>0.13400000000000001</v>
      </c>
      <c r="BY58" s="48">
        <v>0.189</v>
      </c>
      <c r="BZ58" s="48">
        <v>0.252</v>
      </c>
      <c r="CA58" s="48">
        <v>0.11899999999999999</v>
      </c>
      <c r="CB58" s="48">
        <v>0.16400000000000001</v>
      </c>
      <c r="CC58" s="48">
        <v>0.39</v>
      </c>
      <c r="CD58" s="48">
        <v>0.72399999999999998</v>
      </c>
      <c r="CE58" s="48">
        <v>0.22800000000000001</v>
      </c>
      <c r="CF58" s="48">
        <v>0.35499999999999998</v>
      </c>
      <c r="CG58" s="48">
        <v>0.20399999999999999</v>
      </c>
      <c r="CH58" s="48">
        <v>0.47</v>
      </c>
      <c r="CI58" s="48">
        <v>0.23</v>
      </c>
      <c r="CJ58" s="48">
        <v>0</v>
      </c>
      <c r="CK58" s="48">
        <v>0.21</v>
      </c>
      <c r="CL58" s="48">
        <v>0</v>
      </c>
      <c r="CM58" s="48">
        <v>0</v>
      </c>
      <c r="CN58">
        <f t="shared" si="1328"/>
        <v>3</v>
      </c>
      <c r="CO58">
        <f t="shared" si="1329"/>
        <v>12.65</v>
      </c>
      <c r="CP58">
        <f t="shared" si="1330"/>
        <v>0.18700000000000003</v>
      </c>
      <c r="CQ58">
        <f t="shared" si="1331"/>
        <v>0</v>
      </c>
      <c r="CR58">
        <f t="shared" si="1332"/>
        <v>0.18700000000000003</v>
      </c>
      <c r="CS58">
        <f t="shared" si="1333"/>
        <v>0.16699999999999998</v>
      </c>
      <c r="CT58">
        <f t="shared" si="1334"/>
        <v>0</v>
      </c>
      <c r="CU58">
        <f t="shared" si="1335"/>
        <v>0.16699999999999998</v>
      </c>
      <c r="CV58">
        <f t="shared" si="1336"/>
        <v>0</v>
      </c>
      <c r="CW58">
        <f t="shared" si="1337"/>
        <v>0.29149999999999998</v>
      </c>
      <c r="CX58">
        <f t="shared" si="1338"/>
        <v>3.2000000000000001E-2</v>
      </c>
      <c r="CY58">
        <f t="shared" si="1339"/>
        <v>4.6000000000000006E-2</v>
      </c>
      <c r="CZ58">
        <f t="shared" si="1340"/>
        <v>0.2</v>
      </c>
      <c r="DA58">
        <f t="shared" si="1341"/>
        <v>0</v>
      </c>
      <c r="DB58">
        <f t="shared" si="1342"/>
        <v>4.1849999999999996</v>
      </c>
      <c r="DC58">
        <f t="shared" si="1343"/>
        <v>8.0500000000000002E-2</v>
      </c>
      <c r="DD58">
        <f t="shared" si="1344"/>
        <v>3.15</v>
      </c>
      <c r="DE58">
        <f t="shared" si="1345"/>
        <v>55</v>
      </c>
      <c r="DF58">
        <f t="shared" si="1346"/>
        <v>7.6</v>
      </c>
      <c r="DG58">
        <f t="shared" si="1347"/>
        <v>5.4</v>
      </c>
      <c r="DH58">
        <f t="shared" si="1348"/>
        <v>3.2000000000000001E-2</v>
      </c>
      <c r="DI58">
        <f t="shared" si="1349"/>
        <v>2.4</v>
      </c>
      <c r="DJ58">
        <f t="shared" si="1350"/>
        <v>3.7000000000000002E-3</v>
      </c>
      <c r="DK58">
        <f t="shared" si="1351"/>
        <v>1.675</v>
      </c>
      <c r="DL58">
        <f t="shared" si="1352"/>
        <v>177.5</v>
      </c>
      <c r="DM58">
        <f t="shared" si="1353"/>
        <v>0.05</v>
      </c>
      <c r="DN58">
        <f t="shared" si="1354"/>
        <v>2.1099999999999997E-2</v>
      </c>
      <c r="DO58">
        <f t="shared" si="1355"/>
        <v>1.125</v>
      </c>
      <c r="DP58">
        <f t="shared" si="1356"/>
        <v>8.8500000000000002E-3</v>
      </c>
      <c r="DQ58">
        <f t="shared" si="1357"/>
        <v>3.5000000000000005E-3</v>
      </c>
      <c r="DR58">
        <f t="shared" si="1358"/>
        <v>1.4999999999999999E-2</v>
      </c>
      <c r="DS58">
        <f t="shared" si="1359"/>
        <v>2.8249999999999997E-2</v>
      </c>
      <c r="DT58">
        <f t="shared" si="1360"/>
        <v>3.5000000000000005E-3</v>
      </c>
      <c r="DU58">
        <f t="shared" si="1361"/>
        <v>0.35</v>
      </c>
      <c r="DV58">
        <f t="shared" si="1362"/>
        <v>1.2699999999999999E-2</v>
      </c>
      <c r="DW58">
        <f t="shared" si="1363"/>
        <v>0</v>
      </c>
      <c r="DX58">
        <f t="shared" si="1364"/>
        <v>0</v>
      </c>
      <c r="DY58">
        <f t="shared" si="1365"/>
        <v>0.54166666666666674</v>
      </c>
      <c r="DZ58">
        <f t="shared" si="1366"/>
        <v>0</v>
      </c>
      <c r="EA58">
        <f t="shared" si="1367"/>
        <v>3.25</v>
      </c>
      <c r="EB58">
        <f t="shared" si="1368"/>
        <v>2.9089999999999998E-2</v>
      </c>
      <c r="EC58">
        <f t="shared" si="1369"/>
        <v>0</v>
      </c>
      <c r="ED58">
        <f t="shared" si="1370"/>
        <v>7.0000000000000007E-2</v>
      </c>
      <c r="EE58">
        <f t="shared" si="1371"/>
        <v>1.0700000000000001E-2</v>
      </c>
      <c r="EF58">
        <f t="shared" si="1372"/>
        <v>2.5000000000000001E-4</v>
      </c>
      <c r="EG58">
        <f t="shared" si="1373"/>
        <v>1E-4</v>
      </c>
      <c r="EH58">
        <f t="shared" si="1374"/>
        <v>2.0000000000000001E-4</v>
      </c>
      <c r="EI58">
        <f t="shared" si="1375"/>
        <v>5.850000000000001E-3</v>
      </c>
      <c r="EJ58">
        <f t="shared" si="1376"/>
        <v>1.9E-3</v>
      </c>
      <c r="EK58">
        <f t="shared" si="1377"/>
        <v>1E-3</v>
      </c>
      <c r="EL58">
        <f t="shared" si="1378"/>
        <v>8.0000000000000004E-4</v>
      </c>
      <c r="EM58">
        <f t="shared" si="1379"/>
        <v>0.109</v>
      </c>
      <c r="EN58">
        <f t="shared" si="1380"/>
        <v>0</v>
      </c>
      <c r="EO58">
        <f t="shared" si="1381"/>
        <v>4.0000000000000002E-4</v>
      </c>
      <c r="EP58">
        <f t="shared" si="1382"/>
        <v>3.8900000000000004E-2</v>
      </c>
      <c r="EQ58">
        <f t="shared" si="1383"/>
        <v>1.4449999999999998E-2</v>
      </c>
      <c r="ER58">
        <f t="shared" si="1384"/>
        <v>5.3000000000000005E-2</v>
      </c>
      <c r="ES58">
        <f t="shared" si="1385"/>
        <v>3.8699999999999998E-2</v>
      </c>
      <c r="ET58">
        <f t="shared" si="1386"/>
        <v>1.7899999999999999E-2</v>
      </c>
      <c r="EU58">
        <f t="shared" si="1387"/>
        <v>1.865E-2</v>
      </c>
      <c r="EV58">
        <f t="shared" si="1388"/>
        <v>0</v>
      </c>
      <c r="EW58">
        <f t="shared" si="1389"/>
        <v>0</v>
      </c>
      <c r="EX58">
        <f t="shared" si="1390"/>
        <v>0</v>
      </c>
      <c r="EY58">
        <f t="shared" si="1391"/>
        <v>3.9149999999999997E-2</v>
      </c>
      <c r="EZ58">
        <f t="shared" si="1392"/>
        <v>4.4999999999999999E-4</v>
      </c>
      <c r="FA58">
        <f t="shared" si="1393"/>
        <v>8.3500000000000015E-3</v>
      </c>
      <c r="FB58">
        <f t="shared" si="1394"/>
        <v>7.3000000000000001E-3</v>
      </c>
      <c r="FC58">
        <f t="shared" si="1395"/>
        <v>1.46E-2</v>
      </c>
      <c r="FD58">
        <f t="shared" si="1396"/>
        <v>1.32E-2</v>
      </c>
      <c r="FE58">
        <f t="shared" si="1397"/>
        <v>3.8E-3</v>
      </c>
      <c r="FF58">
        <f t="shared" si="1398"/>
        <v>3.5999999999999999E-3</v>
      </c>
      <c r="FG58">
        <f t="shared" si="1399"/>
        <v>8.0499999999999999E-3</v>
      </c>
      <c r="FH58">
        <f t="shared" si="1400"/>
        <v>6.7000000000000002E-3</v>
      </c>
      <c r="FI58">
        <f t="shared" si="1401"/>
        <v>9.4500000000000001E-3</v>
      </c>
      <c r="FJ58">
        <f t="shared" si="1402"/>
        <v>1.26E-2</v>
      </c>
      <c r="FK58">
        <f t="shared" si="1403"/>
        <v>5.9499999999999996E-3</v>
      </c>
      <c r="FL58">
        <f t="shared" si="1404"/>
        <v>8.2000000000000007E-3</v>
      </c>
      <c r="FM58">
        <f t="shared" si="1405"/>
        <v>1.9500000000000003E-2</v>
      </c>
      <c r="FN58">
        <f t="shared" si="1406"/>
        <v>3.6200000000000003E-2</v>
      </c>
      <c r="FO58">
        <f t="shared" si="1407"/>
        <v>1.14E-2</v>
      </c>
      <c r="FP58">
        <f t="shared" si="1408"/>
        <v>1.7749999999999998E-2</v>
      </c>
      <c r="FQ58">
        <f t="shared" si="1409"/>
        <v>1.0200000000000001E-2</v>
      </c>
      <c r="FR58">
        <f t="shared" si="1410"/>
        <v>2.3499999999999997E-2</v>
      </c>
      <c r="FS58">
        <f t="shared" si="1411"/>
        <v>1.1500000000000002E-2</v>
      </c>
      <c r="FT58">
        <f t="shared" si="1412"/>
        <v>0</v>
      </c>
      <c r="FU58">
        <f t="shared" si="1413"/>
        <v>1.0500000000000001E-2</v>
      </c>
      <c r="FV58">
        <f t="shared" si="1414"/>
        <v>0</v>
      </c>
      <c r="FW58">
        <f t="shared" si="1415"/>
        <v>0</v>
      </c>
    </row>
    <row r="59" spans="1:179" x14ac:dyDescent="0.35">
      <c r="B59" s="73" t="s">
        <v>408</v>
      </c>
      <c r="C59" s="8">
        <v>5</v>
      </c>
      <c r="D59" s="48">
        <v>77</v>
      </c>
      <c r="E59" s="48">
        <v>321</v>
      </c>
      <c r="F59" s="48">
        <v>0</v>
      </c>
      <c r="G59" s="49">
        <v>0</v>
      </c>
      <c r="H59" s="49">
        <v>0</v>
      </c>
      <c r="I59" s="48">
        <v>0</v>
      </c>
      <c r="J59" s="49">
        <v>0</v>
      </c>
      <c r="K59" s="49">
        <v>0</v>
      </c>
      <c r="L59" s="48">
        <v>0</v>
      </c>
      <c r="M59" s="48">
        <v>19.2</v>
      </c>
      <c r="N59" s="50">
        <v>0.75</v>
      </c>
      <c r="O59" s="48">
        <v>10</v>
      </c>
      <c r="P59" s="48">
        <v>0</v>
      </c>
      <c r="Q59" s="48">
        <v>0</v>
      </c>
      <c r="R59" s="48">
        <v>78.5</v>
      </c>
      <c r="S59" s="48">
        <v>5.3</v>
      </c>
      <c r="T59" s="48">
        <v>107</v>
      </c>
      <c r="U59" s="48">
        <v>1300</v>
      </c>
      <c r="V59" s="48">
        <v>800</v>
      </c>
      <c r="W59" s="48">
        <v>60</v>
      </c>
      <c r="X59" s="48">
        <v>0.19</v>
      </c>
      <c r="Y59" s="48">
        <v>13</v>
      </c>
      <c r="Z59" s="48">
        <v>0.2</v>
      </c>
      <c r="AA59" s="48">
        <v>0.5</v>
      </c>
      <c r="AB59" s="50">
        <v>1640</v>
      </c>
      <c r="AC59" s="50">
        <v>1.6</v>
      </c>
      <c r="AD59" s="50">
        <v>680</v>
      </c>
      <c r="AE59" s="50">
        <v>31</v>
      </c>
      <c r="AF59" s="48">
        <v>7.0000000000000007E-2</v>
      </c>
      <c r="AG59" s="48">
        <v>0.13</v>
      </c>
      <c r="AH59" s="48">
        <v>13</v>
      </c>
      <c r="AI59" s="48">
        <v>0.7</v>
      </c>
      <c r="AJ59" s="48">
        <v>0</v>
      </c>
      <c r="AK59" s="48">
        <v>8</v>
      </c>
      <c r="AL59" s="50">
        <v>0</v>
      </c>
      <c r="AM59" s="50">
        <v>1</v>
      </c>
      <c r="AN59" s="48">
        <v>0</v>
      </c>
      <c r="AO59" s="48">
        <v>8.5</v>
      </c>
      <c r="AP59" s="48">
        <v>1</v>
      </c>
      <c r="AQ59" s="48">
        <v>45</v>
      </c>
      <c r="AR59" s="48">
        <v>0.08</v>
      </c>
      <c r="AS59" s="48">
        <v>0</v>
      </c>
      <c r="AT59" s="48">
        <v>1</v>
      </c>
      <c r="AU59" s="48">
        <v>0</v>
      </c>
      <c r="AV59" s="44">
        <v>0</v>
      </c>
      <c r="AW59" s="48">
        <v>0</v>
      </c>
      <c r="AX59" s="48">
        <v>0</v>
      </c>
      <c r="AY59" s="48">
        <v>0</v>
      </c>
      <c r="AZ59" s="48">
        <v>0</v>
      </c>
      <c r="BA59" s="43">
        <v>0</v>
      </c>
      <c r="BB59" s="43">
        <v>0</v>
      </c>
      <c r="BC59" s="48">
        <v>0</v>
      </c>
      <c r="BD59" s="43">
        <v>0</v>
      </c>
      <c r="BE59" s="48">
        <v>0</v>
      </c>
      <c r="BF59" s="48">
        <v>0</v>
      </c>
      <c r="BG59" s="48">
        <v>0</v>
      </c>
      <c r="BH59" s="48">
        <v>0</v>
      </c>
      <c r="BI59" s="48">
        <v>0</v>
      </c>
      <c r="BJ59" s="43">
        <v>0</v>
      </c>
      <c r="BK59" s="43">
        <v>0</v>
      </c>
      <c r="BL59" s="48">
        <v>0</v>
      </c>
      <c r="BM59" s="48">
        <v>0</v>
      </c>
      <c r="BN59" s="48">
        <v>0</v>
      </c>
      <c r="BO59" s="44">
        <v>0</v>
      </c>
      <c r="BP59" s="43">
        <v>7.0000000000000001E-3</v>
      </c>
      <c r="BQ59" s="43">
        <v>9.2999999999999999E-2</v>
      </c>
      <c r="BR59" s="43">
        <v>0.08</v>
      </c>
      <c r="BS59" s="43">
        <v>0.1565</v>
      </c>
      <c r="BT59" s="43">
        <v>0.14349999999999999</v>
      </c>
      <c r="BU59" s="43">
        <v>4.0500000000000001E-2</v>
      </c>
      <c r="BV59" s="43">
        <v>3.85E-2</v>
      </c>
      <c r="BW59" s="43">
        <v>9.0999999999999998E-2</v>
      </c>
      <c r="BX59" s="43">
        <v>7.1499999999999994E-2</v>
      </c>
      <c r="BY59" s="43">
        <v>0.10150000000000001</v>
      </c>
      <c r="BZ59" s="43">
        <v>0.13400000000000001</v>
      </c>
      <c r="CA59" s="43">
        <v>6.6000000000000003E-2</v>
      </c>
      <c r="CB59" s="43">
        <v>9.8500000000000004E-2</v>
      </c>
      <c r="CC59" s="43">
        <v>0.26150000000000001</v>
      </c>
      <c r="CD59" s="43">
        <v>0.53649999999999998</v>
      </c>
      <c r="CE59" s="43">
        <v>0.122</v>
      </c>
      <c r="CF59" s="43">
        <v>0.1835</v>
      </c>
      <c r="CG59" s="43">
        <v>0.11249999999999999</v>
      </c>
      <c r="CH59" s="50">
        <v>3.68</v>
      </c>
      <c r="CI59" s="50">
        <v>3.976</v>
      </c>
      <c r="CJ59" s="47">
        <v>0</v>
      </c>
      <c r="CK59" s="50">
        <v>2.34</v>
      </c>
      <c r="CL59" s="50">
        <v>0</v>
      </c>
      <c r="CM59" s="47">
        <v>0</v>
      </c>
      <c r="CN59">
        <f t="shared" ref="CN59" si="1416">($C59*D59)/100</f>
        <v>3.85</v>
      </c>
      <c r="CO59">
        <f t="shared" ref="CO59" si="1417">($C59*E59)/100</f>
        <v>16.05</v>
      </c>
      <c r="CP59">
        <f t="shared" ref="CP59" si="1418">($C59*F59)/100</f>
        <v>0</v>
      </c>
      <c r="CQ59">
        <f t="shared" ref="CQ59" si="1419">($C59*G59)/100</f>
        <v>0</v>
      </c>
      <c r="CR59">
        <f t="shared" ref="CR59" si="1420">($C59*H59)/100</f>
        <v>0</v>
      </c>
      <c r="CS59">
        <f t="shared" ref="CS59" si="1421">($C59*I59)/100</f>
        <v>0</v>
      </c>
      <c r="CT59">
        <f t="shared" ref="CT59" si="1422">($C59*J59)/100</f>
        <v>0</v>
      </c>
      <c r="CU59">
        <f t="shared" ref="CU59" si="1423">($C59*K59)/100</f>
        <v>0</v>
      </c>
      <c r="CV59">
        <f t="shared" ref="CV59" si="1424">($C59*L59)/100</f>
        <v>0</v>
      </c>
      <c r="CW59">
        <f t="shared" ref="CW59" si="1425">($C59*M59)/100</f>
        <v>0.96</v>
      </c>
      <c r="CX59">
        <f t="shared" ref="CX59" si="1426">($C59*N59)/100</f>
        <v>3.7499999999999999E-2</v>
      </c>
      <c r="CY59">
        <f t="shared" ref="CY59" si="1427">($C59*O59)/100</f>
        <v>0.5</v>
      </c>
      <c r="CZ59">
        <f t="shared" ref="CZ59" si="1428">($C59*P59)/100</f>
        <v>0</v>
      </c>
      <c r="DA59">
        <f t="shared" ref="DA59" si="1429">($C59*Q59)/100</f>
        <v>0</v>
      </c>
      <c r="DB59">
        <f t="shared" ref="DB59" si="1430">($C59*R59)/100</f>
        <v>3.9249999999999998</v>
      </c>
      <c r="DC59">
        <f t="shared" ref="DC59" si="1431">($C59*S59)/100</f>
        <v>0.26500000000000001</v>
      </c>
      <c r="DD59">
        <f t="shared" ref="DD59" si="1432">($C59*T59)/100</f>
        <v>5.35</v>
      </c>
      <c r="DE59">
        <f t="shared" ref="DE59" si="1433">($C59*U59)/100</f>
        <v>65</v>
      </c>
      <c r="DF59">
        <f t="shared" ref="DF59" si="1434">($C59*V59)/100</f>
        <v>40</v>
      </c>
      <c r="DG59">
        <f t="shared" ref="DG59" si="1435">($C59*W59)/100</f>
        <v>3</v>
      </c>
      <c r="DH59">
        <f t="shared" ref="DH59" si="1436">($C59*X59)/100</f>
        <v>9.4999999999999998E-3</v>
      </c>
      <c r="DI59">
        <f t="shared" ref="DI59" si="1437">($C59*Y59)/100</f>
        <v>0.65</v>
      </c>
      <c r="DJ59">
        <f t="shared" ref="DJ59" si="1438">($C59*Z59)/100</f>
        <v>0.01</v>
      </c>
      <c r="DK59">
        <f t="shared" ref="DK59" si="1439">($C59*AA59)/100</f>
        <v>2.5000000000000001E-2</v>
      </c>
      <c r="DL59">
        <f t="shared" ref="DL59" si="1440">($C59*AB59)/100</f>
        <v>82</v>
      </c>
      <c r="DM59">
        <f t="shared" ref="DM59" si="1441">($C59*AC59)/100</f>
        <v>0.08</v>
      </c>
      <c r="DN59">
        <f t="shared" ref="DN59" si="1442">($C59*AD59)/100</f>
        <v>34</v>
      </c>
      <c r="DO59">
        <f t="shared" ref="DO59" si="1443">($C59*AE59)/100</f>
        <v>1.55</v>
      </c>
      <c r="DP59">
        <f t="shared" ref="DP59" si="1444">($C59*AF59)/100</f>
        <v>3.5000000000000005E-3</v>
      </c>
      <c r="DQ59">
        <f t="shared" ref="DQ59" si="1445">($C59*AG59)/100</f>
        <v>6.5000000000000006E-3</v>
      </c>
      <c r="DR59">
        <f t="shared" ref="DR59" si="1446">($C59*AH59)/100</f>
        <v>0.65</v>
      </c>
      <c r="DS59">
        <f t="shared" ref="DS59" si="1447">($C59*AI59)/100</f>
        <v>3.5000000000000003E-2</v>
      </c>
      <c r="DT59">
        <f t="shared" ref="DT59" si="1448">($C59*AJ59)/100</f>
        <v>0</v>
      </c>
      <c r="DU59">
        <f t="shared" ref="DU59" si="1449">($C59*AK59)/100</f>
        <v>0.4</v>
      </c>
      <c r="DV59">
        <f t="shared" ref="DV59" si="1450">($C59*AL59)/100</f>
        <v>0</v>
      </c>
      <c r="DW59">
        <f t="shared" ref="DW59" si="1451">($C59*AM59)/100</f>
        <v>0.05</v>
      </c>
      <c r="DX59">
        <f t="shared" ref="DX59" si="1452">($C59*AN59)/100</f>
        <v>0</v>
      </c>
      <c r="DY59">
        <f t="shared" ref="DY59" si="1453">($C59*AO59)/100</f>
        <v>0.42499999999999999</v>
      </c>
      <c r="DZ59">
        <f t="shared" ref="DZ59" si="1454">($C59*AP59)/100</f>
        <v>0.05</v>
      </c>
      <c r="EA59">
        <f t="shared" ref="EA59" si="1455">($C59*AQ59)/100</f>
        <v>2.25</v>
      </c>
      <c r="EB59">
        <f t="shared" ref="EB59" si="1456">($C59*AR59)/100</f>
        <v>4.0000000000000001E-3</v>
      </c>
      <c r="EC59">
        <f t="shared" ref="EC59" si="1457">($C59*AS59)/100</f>
        <v>0</v>
      </c>
      <c r="ED59">
        <f t="shared" ref="ED59" si="1458">($C59*AT59)/100</f>
        <v>0.05</v>
      </c>
      <c r="EE59">
        <f t="shared" ref="EE59" si="1459">($C59*AU59)/100</f>
        <v>0</v>
      </c>
      <c r="EF59">
        <f t="shared" ref="EF59" si="1460">($C59*AV59)/100</f>
        <v>0</v>
      </c>
      <c r="EG59">
        <f t="shared" ref="EG59" si="1461">($C59*AW59)/100</f>
        <v>0</v>
      </c>
      <c r="EH59">
        <f t="shared" ref="EH59" si="1462">($C59*AX59)/100</f>
        <v>0</v>
      </c>
      <c r="EI59">
        <f t="shared" ref="EI59" si="1463">($C59*AY59)/100</f>
        <v>0</v>
      </c>
      <c r="EJ59">
        <f t="shared" ref="EJ59" si="1464">($C59*AZ59)/100</f>
        <v>0</v>
      </c>
      <c r="EK59">
        <f t="shared" ref="EK59" si="1465">($C59*BA59)/100</f>
        <v>0</v>
      </c>
      <c r="EL59">
        <f t="shared" ref="EL59" si="1466">($C59*BB59)/100</f>
        <v>0</v>
      </c>
      <c r="EM59">
        <f t="shared" ref="EM59" si="1467">($C59*BC59)/100</f>
        <v>0</v>
      </c>
      <c r="EN59">
        <f t="shared" ref="EN59" si="1468">($C59*BD59)/100</f>
        <v>0</v>
      </c>
      <c r="EO59">
        <f t="shared" ref="EO59" si="1469">($C59*BE59)/100</f>
        <v>0</v>
      </c>
      <c r="EP59">
        <f t="shared" ref="EP59" si="1470">($C59*BF59)/100</f>
        <v>0</v>
      </c>
      <c r="EQ59">
        <f t="shared" ref="EQ59" si="1471">($C59*BG59)/100</f>
        <v>0</v>
      </c>
      <c r="ER59">
        <f t="shared" ref="ER59" si="1472">($C59*BH59)/100</f>
        <v>0</v>
      </c>
      <c r="ES59">
        <f t="shared" ref="ES59" si="1473">($C59*BI59)/100</f>
        <v>0</v>
      </c>
      <c r="ET59">
        <f t="shared" ref="ET59" si="1474">($C59*BJ59)/100</f>
        <v>0</v>
      </c>
      <c r="EU59">
        <f t="shared" ref="EU59" si="1475">($C59*BK59)/100</f>
        <v>0</v>
      </c>
      <c r="EV59">
        <f t="shared" ref="EV59" si="1476">($C59*BL59)/100</f>
        <v>0</v>
      </c>
      <c r="EW59">
        <f t="shared" ref="EW59" si="1477">($C59*BM59)/100</f>
        <v>0</v>
      </c>
      <c r="EX59">
        <f t="shared" ref="EX59" si="1478">($C59*BN59)/100</f>
        <v>0</v>
      </c>
      <c r="EY59">
        <f t="shared" ref="EY59" si="1479">($C59*BO59)/100</f>
        <v>0</v>
      </c>
      <c r="EZ59">
        <f t="shared" ref="EZ59" si="1480">($C59*BP59)/100</f>
        <v>3.5000000000000005E-4</v>
      </c>
      <c r="FA59">
        <f t="shared" ref="FA59" si="1481">($C59*BQ59)/100</f>
        <v>4.6499999999999996E-3</v>
      </c>
      <c r="FB59">
        <f t="shared" ref="FB59" si="1482">($C59*BR59)/100</f>
        <v>4.0000000000000001E-3</v>
      </c>
      <c r="FC59">
        <f t="shared" ref="FC59" si="1483">($C59*BS59)/100</f>
        <v>7.8250000000000004E-3</v>
      </c>
      <c r="FD59">
        <f t="shared" ref="FD59" si="1484">($C59*BT59)/100</f>
        <v>7.1749999999999991E-3</v>
      </c>
      <c r="FE59">
        <f t="shared" ref="FE59" si="1485">($C59*BU59)/100</f>
        <v>2.0250000000000003E-3</v>
      </c>
      <c r="FF59">
        <f t="shared" ref="FF59" si="1486">($C59*BV59)/100</f>
        <v>1.9250000000000001E-3</v>
      </c>
      <c r="FG59">
        <f t="shared" ref="FG59" si="1487">($C59*BW59)/100</f>
        <v>4.5499999999999994E-3</v>
      </c>
      <c r="FH59">
        <f t="shared" ref="FH59" si="1488">($C59*BX59)/100</f>
        <v>3.5750000000000001E-3</v>
      </c>
      <c r="FI59">
        <f t="shared" ref="FI59" si="1489">($C59*BY59)/100</f>
        <v>5.0750000000000005E-3</v>
      </c>
      <c r="FJ59">
        <f t="shared" ref="FJ59" si="1490">($C59*BZ59)/100</f>
        <v>6.7000000000000002E-3</v>
      </c>
      <c r="FK59">
        <f t="shared" ref="FK59" si="1491">($C59*CA59)/100</f>
        <v>3.3E-3</v>
      </c>
      <c r="FL59">
        <f t="shared" ref="FL59" si="1492">($C59*CB59)/100</f>
        <v>4.9250000000000006E-3</v>
      </c>
      <c r="FM59">
        <f t="shared" ref="FM59" si="1493">($C59*CC59)/100</f>
        <v>1.3075000000000002E-2</v>
      </c>
      <c r="FN59">
        <f t="shared" ref="FN59" si="1494">($C59*CD59)/100</f>
        <v>2.6825000000000002E-2</v>
      </c>
      <c r="FO59">
        <f t="shared" ref="FO59" si="1495">($C59*CE59)/100</f>
        <v>6.0999999999999995E-3</v>
      </c>
      <c r="FP59">
        <f t="shared" ref="FP59" si="1496">($C59*CF59)/100</f>
        <v>9.1749999999999991E-3</v>
      </c>
      <c r="FQ59">
        <f t="shared" ref="FQ59" si="1497">($C59*CG59)/100</f>
        <v>5.6249999999999998E-3</v>
      </c>
      <c r="FR59">
        <f t="shared" ref="FR59" si="1498">($C59*CH59)/100</f>
        <v>0.18400000000000002</v>
      </c>
      <c r="FS59">
        <f t="shared" ref="FS59" si="1499">($C59*CI59)/100</f>
        <v>0.19879999999999998</v>
      </c>
      <c r="FT59">
        <f t="shared" ref="FT59" si="1500">($C59*CJ59)/100</f>
        <v>0</v>
      </c>
      <c r="FU59">
        <f t="shared" ref="FU59" si="1501">($C59*CK59)/100</f>
        <v>0.11699999999999999</v>
      </c>
      <c r="FV59">
        <f t="shared" ref="FV59" si="1502">($C59*CL59)/100</f>
        <v>0</v>
      </c>
      <c r="FW59">
        <f t="shared" ref="FW59" si="1503">($C59*CM59)/100</f>
        <v>0</v>
      </c>
    </row>
    <row r="60" spans="1:179" x14ac:dyDescent="0.35">
      <c r="B60" s="72" t="s">
        <v>442</v>
      </c>
      <c r="C60" s="8">
        <v>15</v>
      </c>
      <c r="D60" s="6">
        <v>129</v>
      </c>
      <c r="E60" s="6">
        <v>547</v>
      </c>
      <c r="F60" s="6">
        <v>30.2</v>
      </c>
      <c r="G60" s="6">
        <v>30.2</v>
      </c>
      <c r="H60" s="6">
        <v>0</v>
      </c>
      <c r="I60" s="6">
        <v>0.9</v>
      </c>
      <c r="J60" s="6">
        <v>0.9</v>
      </c>
      <c r="K60" s="6">
        <v>0</v>
      </c>
      <c r="L60" s="6">
        <v>75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67.2</v>
      </c>
      <c r="S60" s="6">
        <v>0.6</v>
      </c>
      <c r="T60" s="6">
        <v>5</v>
      </c>
      <c r="U60" s="6">
        <v>46</v>
      </c>
      <c r="V60" s="6">
        <v>497</v>
      </c>
      <c r="W60" s="6">
        <v>220</v>
      </c>
      <c r="X60" s="6">
        <v>0.98</v>
      </c>
      <c r="Y60" s="6">
        <v>40</v>
      </c>
      <c r="Z60" s="6">
        <v>0.06</v>
      </c>
      <c r="AA60" s="6">
        <v>13</v>
      </c>
      <c r="AB60" s="6">
        <v>60</v>
      </c>
      <c r="AC60" s="6">
        <v>8</v>
      </c>
      <c r="AD60" s="6">
        <v>0.01</v>
      </c>
      <c r="AE60" s="6">
        <v>140</v>
      </c>
      <c r="AF60" s="6">
        <v>0.2</v>
      </c>
      <c r="AG60" s="6">
        <v>0.2</v>
      </c>
      <c r="AH60" s="6">
        <v>0</v>
      </c>
      <c r="AI60" s="6">
        <v>11.6</v>
      </c>
      <c r="AJ60" s="6">
        <v>0.36</v>
      </c>
      <c r="AK60" s="6">
        <v>6</v>
      </c>
      <c r="AL60" s="6">
        <v>1.34</v>
      </c>
      <c r="AM60" s="6">
        <v>2</v>
      </c>
      <c r="AN60" s="51">
        <v>0.05</v>
      </c>
      <c r="AO60" s="6">
        <v>0</v>
      </c>
      <c r="AP60" s="6">
        <v>0</v>
      </c>
      <c r="AQ60" s="6">
        <v>0</v>
      </c>
      <c r="AR60" s="6">
        <v>7.0000000000000007E-2</v>
      </c>
      <c r="AS60" s="6">
        <v>0.1</v>
      </c>
      <c r="AT60" s="84">
        <v>2.4</v>
      </c>
      <c r="AU60" s="6">
        <v>0.28999999999999998</v>
      </c>
      <c r="AV60" s="6">
        <v>0</v>
      </c>
      <c r="AW60" s="6">
        <v>0</v>
      </c>
      <c r="AX60" s="6">
        <v>0.02</v>
      </c>
      <c r="AY60" s="6">
        <v>0.15</v>
      </c>
      <c r="AZ60" s="6">
        <v>0.1</v>
      </c>
      <c r="BA60" s="6">
        <v>0</v>
      </c>
      <c r="BB60" s="6">
        <v>0</v>
      </c>
      <c r="BC60" s="6">
        <v>0.23</v>
      </c>
      <c r="BD60" s="6">
        <v>0.01</v>
      </c>
      <c r="BE60" s="6">
        <v>0.03</v>
      </c>
      <c r="BF60" s="6">
        <v>0.18</v>
      </c>
      <c r="BG60" s="6">
        <v>0</v>
      </c>
      <c r="BH60" s="6">
        <v>0</v>
      </c>
      <c r="BI60" s="6">
        <v>0.25</v>
      </c>
      <c r="BJ60" s="6">
        <v>0.11</v>
      </c>
      <c r="BK60" s="6">
        <v>0</v>
      </c>
      <c r="BL60" s="6">
        <v>7.0000000000000007E-2</v>
      </c>
      <c r="BM60" s="6">
        <v>0</v>
      </c>
      <c r="BN60" s="6">
        <v>0.02</v>
      </c>
      <c r="BO60" s="6">
        <v>0.05</v>
      </c>
      <c r="BP60" s="7">
        <v>359</v>
      </c>
      <c r="BQ60" s="7">
        <v>1356</v>
      </c>
      <c r="BR60" s="7">
        <v>1540</v>
      </c>
      <c r="BS60" s="7">
        <v>2537</v>
      </c>
      <c r="BT60" s="7">
        <v>2694</v>
      </c>
      <c r="BU60" s="7">
        <v>891</v>
      </c>
      <c r="BV60" s="7">
        <v>365</v>
      </c>
      <c r="BW60" s="7">
        <v>1193</v>
      </c>
      <c r="BX60" s="7">
        <v>1042</v>
      </c>
      <c r="BY60" s="7">
        <v>1770</v>
      </c>
      <c r="BZ60" s="7">
        <v>1957</v>
      </c>
      <c r="CA60" s="7">
        <v>1099</v>
      </c>
      <c r="CB60" s="7">
        <v>1809</v>
      </c>
      <c r="CC60" s="7">
        <v>3138</v>
      </c>
      <c r="CD60" s="7">
        <v>4572</v>
      </c>
      <c r="CE60" s="7">
        <v>1265</v>
      </c>
      <c r="CF60" s="7">
        <v>1081</v>
      </c>
      <c r="CG60" s="7">
        <v>1323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>
        <f t="shared" ref="CN60" si="1504">($C60*D60)/100</f>
        <v>19.350000000000001</v>
      </c>
      <c r="CO60">
        <f t="shared" ref="CO60" si="1505">($C60*E60)/100</f>
        <v>82.05</v>
      </c>
      <c r="CP60">
        <f t="shared" ref="CP60" si="1506">($C60*F60)/100</f>
        <v>4.53</v>
      </c>
      <c r="CQ60">
        <f t="shared" ref="CQ60" si="1507">($C60*G60)/100</f>
        <v>4.53</v>
      </c>
      <c r="CR60">
        <f t="shared" ref="CR60" si="1508">($C60*H60)/100</f>
        <v>0</v>
      </c>
      <c r="CS60">
        <f t="shared" ref="CS60" si="1509">($C60*I60)/100</f>
        <v>0.13500000000000001</v>
      </c>
      <c r="CT60">
        <f t="shared" ref="CT60" si="1510">($C60*J60)/100</f>
        <v>0.13500000000000001</v>
      </c>
      <c r="CU60">
        <f t="shared" ref="CU60" si="1511">($C60*K60)/100</f>
        <v>0</v>
      </c>
      <c r="CV60">
        <f t="shared" ref="CV60" si="1512">($C60*L60)/100</f>
        <v>11.25</v>
      </c>
      <c r="CW60">
        <f t="shared" ref="CW60" si="1513">($C60*M60)/100</f>
        <v>0</v>
      </c>
      <c r="CX60">
        <f t="shared" ref="CX60" si="1514">($C60*N60)/100</f>
        <v>0</v>
      </c>
      <c r="CY60">
        <f t="shared" ref="CY60" si="1515">($C60*O60)/100</f>
        <v>0</v>
      </c>
      <c r="CZ60">
        <f t="shared" ref="CZ60" si="1516">($C60*P60)/100</f>
        <v>0</v>
      </c>
      <c r="DA60">
        <f t="shared" ref="DA60" si="1517">($C60*Q60)/100</f>
        <v>0</v>
      </c>
      <c r="DB60">
        <f t="shared" ref="DB60" si="1518">($C60*R60)/100</f>
        <v>10.08</v>
      </c>
      <c r="DC60">
        <f t="shared" ref="DC60" si="1519">($C60*S60)/100</f>
        <v>0.09</v>
      </c>
      <c r="DD60">
        <f t="shared" ref="DD60" si="1520">($C60*T60)/100</f>
        <v>0.75</v>
      </c>
      <c r="DE60">
        <f t="shared" ref="DE60" si="1521">($C60*U60)/100</f>
        <v>6.9</v>
      </c>
      <c r="DF60">
        <f t="shared" ref="DF60" si="1522">($C60*V60)/100</f>
        <v>74.55</v>
      </c>
      <c r="DG60">
        <f t="shared" ref="DG60" si="1523">($C60*W60)/100</f>
        <v>33</v>
      </c>
      <c r="DH60">
        <f t="shared" ref="DH60" si="1524">($C60*X60)/100</f>
        <v>0.14699999999999999</v>
      </c>
      <c r="DI60">
        <f t="shared" ref="DI60" si="1525">($C60*Y60)/100</f>
        <v>6</v>
      </c>
      <c r="DJ60">
        <f t="shared" ref="DJ60" si="1526">($C60*Z60)/100</f>
        <v>8.9999999999999993E-3</v>
      </c>
      <c r="DK60">
        <f t="shared" ref="DK60" si="1527">($C60*AA60)/100</f>
        <v>1.95</v>
      </c>
      <c r="DL60">
        <f t="shared" ref="DL60" si="1528">($C60*AB60)/100</f>
        <v>9</v>
      </c>
      <c r="DM60">
        <f t="shared" ref="DM60" si="1529">($C60*AC60)/100</f>
        <v>1.2</v>
      </c>
      <c r="DN60">
        <f t="shared" ref="DN60" si="1530">($C60*AD60)/100</f>
        <v>1.5E-3</v>
      </c>
      <c r="DO60">
        <f t="shared" ref="DO60" si="1531">($C60*AE60)/100</f>
        <v>21</v>
      </c>
      <c r="DP60">
        <f t="shared" ref="DP60" si="1532">($C60*AF60)/100</f>
        <v>0.03</v>
      </c>
      <c r="DQ60">
        <f t="shared" ref="DQ60" si="1533">($C60*AG60)/100</f>
        <v>0.03</v>
      </c>
      <c r="DR60">
        <f t="shared" ref="DR60" si="1534">($C60*AH60)/100</f>
        <v>0</v>
      </c>
      <c r="DS60">
        <f t="shared" ref="DS60" si="1535">($C60*AI60)/100</f>
        <v>1.74</v>
      </c>
      <c r="DT60">
        <f t="shared" ref="DT60" si="1536">($C60*AJ60)/100</f>
        <v>5.3999999999999992E-2</v>
      </c>
      <c r="DU60">
        <f t="shared" ref="DU60" si="1537">($C60*AK60)/100</f>
        <v>0.9</v>
      </c>
      <c r="DV60">
        <f t="shared" ref="DV60" si="1538">($C60*AL60)/100</f>
        <v>0.20100000000000001</v>
      </c>
      <c r="DW60">
        <f t="shared" ref="DW60" si="1539">($C60*AM60)/100</f>
        <v>0.3</v>
      </c>
      <c r="DX60">
        <f t="shared" ref="DX60" si="1540">($C60*AN60)/100</f>
        <v>7.4999999999999997E-3</v>
      </c>
      <c r="DY60">
        <f t="shared" ref="DY60" si="1541">($C60*AO60)/100</f>
        <v>0</v>
      </c>
      <c r="DZ60">
        <f t="shared" ref="DZ60" si="1542">($C60*AP60)/100</f>
        <v>0</v>
      </c>
      <c r="EA60">
        <f t="shared" ref="EA60" si="1543">($C60*AQ60)/100</f>
        <v>0</v>
      </c>
      <c r="EB60">
        <f t="shared" ref="EB60" si="1544">($C60*AR60)/100</f>
        <v>1.0500000000000001E-2</v>
      </c>
      <c r="EC60">
        <f t="shared" ref="EC60" si="1545">($C60*AS60)/100</f>
        <v>1.4999999999999999E-2</v>
      </c>
      <c r="ED60">
        <f t="shared" ref="ED60" si="1546">($C60*AT60)/100</f>
        <v>0.36</v>
      </c>
      <c r="EE60">
        <f t="shared" ref="EE60" si="1547">($C60*AU60)/100</f>
        <v>4.3499999999999997E-2</v>
      </c>
      <c r="EF60">
        <f t="shared" ref="EF60" si="1548">($C60*AV60)/100</f>
        <v>0</v>
      </c>
      <c r="EG60">
        <f t="shared" ref="EG60" si="1549">($C60*AW60)/100</f>
        <v>0</v>
      </c>
      <c r="EH60">
        <f t="shared" ref="EH60" si="1550">($C60*AX60)/100</f>
        <v>3.0000000000000001E-3</v>
      </c>
      <c r="EI60">
        <f t="shared" ref="EI60" si="1551">($C60*AY60)/100</f>
        <v>2.2499999999999999E-2</v>
      </c>
      <c r="EJ60">
        <f t="shared" ref="EJ60" si="1552">($C60*AZ60)/100</f>
        <v>1.4999999999999999E-2</v>
      </c>
      <c r="EK60">
        <f t="shared" ref="EK60" si="1553">($C60*BA60)/100</f>
        <v>0</v>
      </c>
      <c r="EL60">
        <f t="shared" ref="EL60" si="1554">($C60*BB60)/100</f>
        <v>0</v>
      </c>
      <c r="EM60">
        <f t="shared" ref="EM60" si="1555">($C60*BC60)/100</f>
        <v>3.4500000000000003E-2</v>
      </c>
      <c r="EN60">
        <f t="shared" ref="EN60" si="1556">($C60*BD60)/100</f>
        <v>1.5E-3</v>
      </c>
      <c r="EO60">
        <f t="shared" ref="EO60" si="1557">($C60*BE60)/100</f>
        <v>4.4999999999999997E-3</v>
      </c>
      <c r="EP60">
        <f t="shared" ref="EP60" si="1558">($C60*BF60)/100</f>
        <v>2.6999999999999996E-2</v>
      </c>
      <c r="EQ60">
        <f t="shared" ref="EQ60" si="1559">($C60*BG60)/100</f>
        <v>0</v>
      </c>
      <c r="ER60">
        <f t="shared" ref="ER60" si="1560">($C60*BH60)/100</f>
        <v>0</v>
      </c>
      <c r="ES60">
        <f t="shared" ref="ES60" si="1561">($C60*BI60)/100</f>
        <v>3.7499999999999999E-2</v>
      </c>
      <c r="ET60">
        <f t="shared" ref="ET60" si="1562">($C60*BJ60)/100</f>
        <v>1.6500000000000001E-2</v>
      </c>
      <c r="EU60">
        <f t="shared" ref="EU60" si="1563">($C60*BK60)/100</f>
        <v>0</v>
      </c>
      <c r="EV60">
        <f t="shared" ref="EV60" si="1564">($C60*BL60)/100</f>
        <v>1.0500000000000001E-2</v>
      </c>
      <c r="EW60">
        <f t="shared" ref="EW60" si="1565">($C60*BM60)/100</f>
        <v>0</v>
      </c>
      <c r="EX60">
        <f t="shared" ref="EX60" si="1566">($C60*BN60)/100</f>
        <v>3.0000000000000001E-3</v>
      </c>
      <c r="EY60">
        <f t="shared" ref="EY60" si="1567">($C60*BO60)/100</f>
        <v>7.4999999999999997E-3</v>
      </c>
      <c r="EZ60">
        <f t="shared" ref="EZ60" si="1568">($C60*BP60)/100</f>
        <v>53.85</v>
      </c>
      <c r="FA60">
        <f t="shared" ref="FA60" si="1569">($C60*BQ60)/100</f>
        <v>203.4</v>
      </c>
      <c r="FB60">
        <f t="shared" ref="FB60" si="1570">($C60*BR60)/100</f>
        <v>231</v>
      </c>
      <c r="FC60">
        <f t="shared" ref="FC60" si="1571">($C60*BS60)/100</f>
        <v>380.55</v>
      </c>
      <c r="FD60">
        <f t="shared" ref="FD60" si="1572">($C60*BT60)/100</f>
        <v>404.1</v>
      </c>
      <c r="FE60">
        <f t="shared" ref="FE60" si="1573">($C60*BU60)/100</f>
        <v>133.65</v>
      </c>
      <c r="FF60">
        <f t="shared" ref="FF60" si="1574">($C60*BV60)/100</f>
        <v>54.75</v>
      </c>
      <c r="FG60">
        <f t="shared" ref="FG60" si="1575">($C60*BW60)/100</f>
        <v>178.95</v>
      </c>
      <c r="FH60">
        <f t="shared" ref="FH60" si="1576">($C60*BX60)/100</f>
        <v>156.30000000000001</v>
      </c>
      <c r="FI60">
        <f t="shared" ref="FI60" si="1577">($C60*BY60)/100</f>
        <v>265.5</v>
      </c>
      <c r="FJ60">
        <f t="shared" ref="FJ60" si="1578">($C60*BZ60)/100</f>
        <v>293.55</v>
      </c>
      <c r="FK60">
        <f t="shared" ref="FK60" si="1579">($C60*CA60)/100</f>
        <v>164.85</v>
      </c>
      <c r="FL60">
        <f t="shared" ref="FL60" si="1580">($C60*CB60)/100</f>
        <v>271.35000000000002</v>
      </c>
      <c r="FM60">
        <f t="shared" ref="FM60" si="1581">($C60*CC60)/100</f>
        <v>470.7</v>
      </c>
      <c r="FN60">
        <f t="shared" ref="FN60" si="1582">($C60*CD60)/100</f>
        <v>685.8</v>
      </c>
      <c r="FO60">
        <f t="shared" ref="FO60" si="1583">($C60*CE60)/100</f>
        <v>189.75</v>
      </c>
      <c r="FP60">
        <f t="shared" ref="FP60" si="1584">($C60*CF60)/100</f>
        <v>162.15</v>
      </c>
      <c r="FQ60">
        <f t="shared" ref="FQ60" si="1585">($C60*CG60)/100</f>
        <v>198.45</v>
      </c>
      <c r="FR60">
        <f t="shared" ref="FR60" si="1586">($C60*CH60)/100</f>
        <v>0</v>
      </c>
      <c r="FS60">
        <f t="shared" ref="FS60" si="1587">($C60*CI60)/100</f>
        <v>0</v>
      </c>
      <c r="FT60">
        <f t="shared" ref="FT60" si="1588">($C60*CJ60)/100</f>
        <v>0</v>
      </c>
      <c r="FU60">
        <f t="shared" ref="FU60" si="1589">($C60*CK60)/100</f>
        <v>0</v>
      </c>
      <c r="FV60">
        <f t="shared" ref="FV60" si="1590">($C60*CL60)/100</f>
        <v>0</v>
      </c>
      <c r="FW60">
        <f t="shared" ref="FW60" si="1591">($C60*CM60)/100</f>
        <v>0</v>
      </c>
    </row>
    <row r="61" spans="1:179" x14ac:dyDescent="0.35">
      <c r="B61" s="10"/>
      <c r="C61">
        <f>SUM(C51:C60)</f>
        <v>100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3"/>
      <c r="CI61" s="33"/>
      <c r="CJ61" s="33"/>
      <c r="CK61" s="33"/>
      <c r="CL61" s="33"/>
      <c r="CM61" s="33"/>
      <c r="CN61">
        <f>SUM(CN51:CN60)</f>
        <v>235.5</v>
      </c>
      <c r="CO61">
        <f t="shared" ref="CO61:EZ61" si="1592">SUM(CO51:CO60)</f>
        <v>979.10999999999979</v>
      </c>
      <c r="CP61">
        <f t="shared" si="1592"/>
        <v>11.876000000000001</v>
      </c>
      <c r="CQ61">
        <f t="shared" si="1592"/>
        <v>10.029</v>
      </c>
      <c r="CR61">
        <f t="shared" si="1592"/>
        <v>1.8470000000000002</v>
      </c>
      <c r="CS61">
        <f t="shared" si="1592"/>
        <v>17.336000000000006</v>
      </c>
      <c r="CT61">
        <f t="shared" si="1592"/>
        <v>5.2229999999999999</v>
      </c>
      <c r="CU61">
        <f t="shared" si="1592"/>
        <v>12.113000000000001</v>
      </c>
      <c r="CV61">
        <f t="shared" si="1592"/>
        <v>65.009999999999991</v>
      </c>
      <c r="CW61">
        <f t="shared" si="1592"/>
        <v>7.9485000000000001</v>
      </c>
      <c r="CX61">
        <f t="shared" si="1592"/>
        <v>5.4794999999999998</v>
      </c>
      <c r="CY61">
        <f t="shared" si="1592"/>
        <v>1.8090000000000002</v>
      </c>
      <c r="CZ61">
        <f t="shared" si="1592"/>
        <v>1.3619999999999999</v>
      </c>
      <c r="DA61">
        <f t="shared" si="1592"/>
        <v>0</v>
      </c>
      <c r="DB61">
        <f t="shared" si="1592"/>
        <v>59.232999999999997</v>
      </c>
      <c r="DC61">
        <f t="shared" si="1592"/>
        <v>1.2535000000000001</v>
      </c>
      <c r="DD61">
        <f t="shared" si="1592"/>
        <v>213.05999999999997</v>
      </c>
      <c r="DE61">
        <f t="shared" si="1592"/>
        <v>278.56</v>
      </c>
      <c r="DF61">
        <f t="shared" si="1592"/>
        <v>240.5</v>
      </c>
      <c r="DG61">
        <f t="shared" si="1592"/>
        <v>184.72</v>
      </c>
      <c r="DH61">
        <f t="shared" si="1592"/>
        <v>1.0112499999999998</v>
      </c>
      <c r="DI61">
        <f t="shared" si="1592"/>
        <v>20.82</v>
      </c>
      <c r="DJ61">
        <f t="shared" si="1592"/>
        <v>0.17954000000000006</v>
      </c>
      <c r="DK61">
        <f t="shared" si="1592"/>
        <v>8.6989999999999998</v>
      </c>
      <c r="DL61">
        <f t="shared" si="1592"/>
        <v>494.1</v>
      </c>
      <c r="DM61">
        <f t="shared" si="1592"/>
        <v>11.066000000000001</v>
      </c>
      <c r="DN61">
        <f t="shared" si="1592"/>
        <v>34.080950000000001</v>
      </c>
      <c r="DO61">
        <f t="shared" si="1592"/>
        <v>74.664999999999992</v>
      </c>
      <c r="DP61">
        <f t="shared" si="1592"/>
        <v>0.12315</v>
      </c>
      <c r="DQ61">
        <f t="shared" si="1592"/>
        <v>0.2046</v>
      </c>
      <c r="DR61">
        <f t="shared" si="1592"/>
        <v>7.1950000000000003</v>
      </c>
      <c r="DS61">
        <f t="shared" si="1592"/>
        <v>2.5067500000000003</v>
      </c>
      <c r="DT61">
        <f t="shared" si="1592"/>
        <v>0.11244</v>
      </c>
      <c r="DU61">
        <f t="shared" si="1592"/>
        <v>36.96</v>
      </c>
      <c r="DV61">
        <f t="shared" si="1592"/>
        <v>0.49558000000000002</v>
      </c>
      <c r="DW61">
        <f t="shared" si="1592"/>
        <v>5.5149999999999997</v>
      </c>
      <c r="DX61">
        <f t="shared" si="1592"/>
        <v>0.84449999999999992</v>
      </c>
      <c r="DY61">
        <f t="shared" si="1592"/>
        <v>137.36666666666665</v>
      </c>
      <c r="DZ61">
        <f t="shared" si="1592"/>
        <v>59.96</v>
      </c>
      <c r="EA61">
        <f t="shared" si="1592"/>
        <v>464.14000000000004</v>
      </c>
      <c r="EB61">
        <f t="shared" si="1592"/>
        <v>2.6241400000000001</v>
      </c>
      <c r="EC61">
        <f t="shared" si="1592"/>
        <v>0.23820000000000002</v>
      </c>
      <c r="ED61">
        <f t="shared" si="1592"/>
        <v>7.2451500000000006</v>
      </c>
      <c r="EE61">
        <f t="shared" si="1592"/>
        <v>5.1155799999999996</v>
      </c>
      <c r="EF61">
        <f t="shared" si="1592"/>
        <v>0.46625</v>
      </c>
      <c r="EG61">
        <f t="shared" si="1592"/>
        <v>0.16210000000000002</v>
      </c>
      <c r="EH61">
        <f t="shared" si="1592"/>
        <v>0.48962000000000006</v>
      </c>
      <c r="EI61">
        <f t="shared" si="1592"/>
        <v>2.7414499999999999</v>
      </c>
      <c r="EJ61">
        <f t="shared" si="1592"/>
        <v>1.0973399999999998</v>
      </c>
      <c r="EK61">
        <f t="shared" si="1592"/>
        <v>7.7499999999999999E-2</v>
      </c>
      <c r="EL61">
        <f t="shared" si="1592"/>
        <v>1.2999999999999999E-3</v>
      </c>
      <c r="EM61">
        <f t="shared" si="1592"/>
        <v>9.9619199999999992</v>
      </c>
      <c r="EN61">
        <f t="shared" si="1592"/>
        <v>1.5E-3</v>
      </c>
      <c r="EO61">
        <f t="shared" si="1592"/>
        <v>0.20472000000000001</v>
      </c>
      <c r="EP61">
        <f t="shared" si="1592"/>
        <v>9.6539999999999981</v>
      </c>
      <c r="EQ61">
        <f t="shared" si="1592"/>
        <v>4.3449999999999996E-2</v>
      </c>
      <c r="ER61">
        <f t="shared" si="1592"/>
        <v>5.3000000000000005E-2</v>
      </c>
      <c r="ES61">
        <f t="shared" si="1592"/>
        <v>1.3873799999999998</v>
      </c>
      <c r="ET61">
        <f t="shared" si="1592"/>
        <v>1.1275600000000001</v>
      </c>
      <c r="EU61">
        <f t="shared" si="1592"/>
        <v>0.21747</v>
      </c>
      <c r="EV61">
        <f t="shared" si="1592"/>
        <v>3.0900000000000004E-2</v>
      </c>
      <c r="EW61">
        <f t="shared" si="1592"/>
        <v>0</v>
      </c>
      <c r="EX61">
        <f t="shared" si="1592"/>
        <v>3.0000000000000001E-3</v>
      </c>
      <c r="EY61">
        <f t="shared" si="1592"/>
        <v>4.6949999999999999E-2</v>
      </c>
      <c r="EZ61">
        <f t="shared" si="1592"/>
        <v>126.49080000000001</v>
      </c>
      <c r="FA61">
        <f t="shared" ref="FA61:FW61" si="1593">SUM(FA51:FA60)</f>
        <v>448.863</v>
      </c>
      <c r="FB61">
        <f t="shared" si="1593"/>
        <v>512.8913</v>
      </c>
      <c r="FC61">
        <f t="shared" si="1593"/>
        <v>965.892425</v>
      </c>
      <c r="FD61">
        <f t="shared" si="1593"/>
        <v>867.72037499999999</v>
      </c>
      <c r="FE61">
        <f t="shared" si="1593"/>
        <v>330.78582500000005</v>
      </c>
      <c r="FF61">
        <f t="shared" si="1593"/>
        <v>116.92552499999999</v>
      </c>
      <c r="FG61">
        <f t="shared" si="1593"/>
        <v>477.43260000000004</v>
      </c>
      <c r="FH61">
        <f t="shared" si="1593"/>
        <v>487.00027500000004</v>
      </c>
      <c r="FI61">
        <f t="shared" si="1593"/>
        <v>578.93452500000001</v>
      </c>
      <c r="FJ61">
        <f t="shared" si="1593"/>
        <v>515.35930000000008</v>
      </c>
      <c r="FK61">
        <f t="shared" si="1593"/>
        <v>348.54924999999997</v>
      </c>
      <c r="FL61">
        <f t="shared" si="1593"/>
        <v>500.16312500000004</v>
      </c>
      <c r="FM61">
        <f t="shared" si="1593"/>
        <v>929.07257499999992</v>
      </c>
      <c r="FN61">
        <f t="shared" si="1593"/>
        <v>2045.0830249999999</v>
      </c>
      <c r="FO61">
        <f t="shared" si="1593"/>
        <v>371.89749999999998</v>
      </c>
      <c r="FP61">
        <f t="shared" si="1593"/>
        <v>863.35692499999993</v>
      </c>
      <c r="FQ61">
        <f t="shared" si="1593"/>
        <v>584.38582500000007</v>
      </c>
      <c r="FR61">
        <f t="shared" si="1593"/>
        <v>0.27</v>
      </c>
      <c r="FS61">
        <f t="shared" si="1593"/>
        <v>0.2913</v>
      </c>
      <c r="FT61">
        <f t="shared" si="1593"/>
        <v>0</v>
      </c>
      <c r="FU61">
        <f t="shared" si="1593"/>
        <v>0.1525</v>
      </c>
      <c r="FV61">
        <f t="shared" si="1593"/>
        <v>0.44</v>
      </c>
      <c r="FW61">
        <f t="shared" si="1593"/>
        <v>7.4999999999999997E-3</v>
      </c>
    </row>
    <row r="62" spans="1:179" x14ac:dyDescent="0.35">
      <c r="B62" s="10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3"/>
      <c r="CI62" s="33"/>
      <c r="CJ62" s="33"/>
      <c r="CK62" s="33"/>
      <c r="CL62" s="33"/>
      <c r="CM62" s="33"/>
    </row>
    <row r="63" spans="1:179" x14ac:dyDescent="0.35">
      <c r="B63" s="10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3"/>
      <c r="CI63" s="33"/>
      <c r="CJ63" s="33"/>
      <c r="CK63" s="33"/>
      <c r="CL63" s="33"/>
      <c r="CM63" s="33"/>
    </row>
    <row r="64" spans="1:179" x14ac:dyDescent="0.35">
      <c r="A64" s="80" t="s">
        <v>443</v>
      </c>
      <c r="B64" s="72" t="s">
        <v>211</v>
      </c>
      <c r="C64" s="8">
        <v>65</v>
      </c>
      <c r="D64" s="6">
        <v>899</v>
      </c>
      <c r="E64" s="6">
        <v>3696</v>
      </c>
      <c r="F64" s="6">
        <v>0</v>
      </c>
      <c r="G64" s="6">
        <v>0</v>
      </c>
      <c r="H64" s="6">
        <v>0</v>
      </c>
      <c r="I64" s="6">
        <v>99.9</v>
      </c>
      <c r="J64" s="6">
        <v>0</v>
      </c>
      <c r="K64" s="6">
        <v>99.9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0.2</v>
      </c>
      <c r="T64" s="6">
        <v>0</v>
      </c>
      <c r="U64" s="51">
        <v>0.5</v>
      </c>
      <c r="V64" s="51">
        <v>0.5</v>
      </c>
      <c r="W64" s="6">
        <v>0</v>
      </c>
      <c r="X64" s="51">
        <v>5.0000000000000001E-3</v>
      </c>
      <c r="Y64" s="51">
        <v>0.5</v>
      </c>
      <c r="Z64" s="6">
        <v>0.01</v>
      </c>
      <c r="AA64" s="51">
        <v>0.05</v>
      </c>
      <c r="AB64" s="51">
        <v>0.5</v>
      </c>
      <c r="AC64" s="51">
        <v>0.5</v>
      </c>
      <c r="AD64" s="51">
        <v>5.0000000000000001E-3</v>
      </c>
      <c r="AE64" s="51">
        <v>0.5</v>
      </c>
      <c r="AF64" s="6">
        <v>0</v>
      </c>
      <c r="AG64" s="6">
        <v>0</v>
      </c>
      <c r="AH64" s="6">
        <v>0</v>
      </c>
      <c r="AI64" s="6">
        <v>0</v>
      </c>
      <c r="AJ64" s="51">
        <v>5.0000000000000001E-3</v>
      </c>
      <c r="AK64" s="51">
        <v>0.5</v>
      </c>
      <c r="AL64" s="51">
        <v>5.0000000000000001E-3</v>
      </c>
      <c r="AM64" s="51">
        <v>0.05</v>
      </c>
      <c r="AN64" s="6">
        <v>0</v>
      </c>
      <c r="AO64" s="6">
        <v>36</v>
      </c>
      <c r="AP64" s="6">
        <v>0</v>
      </c>
      <c r="AQ64" s="6">
        <v>216</v>
      </c>
      <c r="AR64" s="6">
        <v>21.42</v>
      </c>
      <c r="AS64" s="6">
        <v>0</v>
      </c>
      <c r="AT64" s="6">
        <v>57.5</v>
      </c>
      <c r="AU64" s="6">
        <v>14.46</v>
      </c>
      <c r="AV64" s="6">
        <v>0</v>
      </c>
      <c r="AW64" s="6">
        <v>0</v>
      </c>
      <c r="AX64" s="6">
        <v>0</v>
      </c>
      <c r="AY64" s="6">
        <v>10.64</v>
      </c>
      <c r="AZ64" s="6">
        <v>3.06</v>
      </c>
      <c r="BA64" s="6">
        <v>0.76</v>
      </c>
      <c r="BB64" s="6">
        <v>0</v>
      </c>
      <c r="BC64" s="6">
        <v>72.95</v>
      </c>
      <c r="BD64" s="6">
        <v>0</v>
      </c>
      <c r="BE64" s="6">
        <v>0.79</v>
      </c>
      <c r="BF64" s="6">
        <v>71.87</v>
      </c>
      <c r="BG64" s="6">
        <v>0.28999999999999998</v>
      </c>
      <c r="BH64" s="6">
        <v>0</v>
      </c>
      <c r="BI64" s="6">
        <v>7.52</v>
      </c>
      <c r="BJ64" s="6">
        <v>6.79</v>
      </c>
      <c r="BK64" s="6">
        <v>0.73</v>
      </c>
      <c r="BL64" s="6">
        <v>0</v>
      </c>
      <c r="BM64" s="6">
        <v>0</v>
      </c>
      <c r="BN64" s="6">
        <v>0</v>
      </c>
      <c r="BO64" s="6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>
        <f t="shared" ref="CN64:CN69" si="1594">($C64*D64)/100</f>
        <v>584.35</v>
      </c>
      <c r="CO64">
        <f t="shared" ref="CO64:CO69" si="1595">($C64*E64)/100</f>
        <v>2402.4</v>
      </c>
      <c r="CP64">
        <f t="shared" ref="CP64:CP69" si="1596">($C64*F64)/100</f>
        <v>0</v>
      </c>
      <c r="CQ64">
        <f t="shared" ref="CQ64:CQ69" si="1597">($C64*G64)/100</f>
        <v>0</v>
      </c>
      <c r="CR64">
        <f t="shared" ref="CR64:CR69" si="1598">($C64*H64)/100</f>
        <v>0</v>
      </c>
      <c r="CS64">
        <f t="shared" ref="CS64:CS69" si="1599">($C64*I64)/100</f>
        <v>64.935000000000002</v>
      </c>
      <c r="CT64">
        <f t="shared" ref="CT64:CT69" si="1600">($C64*J64)/100</f>
        <v>0</v>
      </c>
      <c r="CU64">
        <f t="shared" ref="CU64:CU69" si="1601">($C64*K64)/100</f>
        <v>64.935000000000002</v>
      </c>
      <c r="CV64">
        <f t="shared" ref="CV64:CV69" si="1602">($C64*L64)/100</f>
        <v>0</v>
      </c>
      <c r="CW64">
        <f t="shared" ref="CW64:CW69" si="1603">($C64*M64)/100</f>
        <v>0</v>
      </c>
      <c r="CX64">
        <f t="shared" ref="CX64:CX69" si="1604">($C64*N64)/100</f>
        <v>0</v>
      </c>
      <c r="CY64">
        <f t="shared" ref="CY64:CY69" si="1605">($C64*O64)/100</f>
        <v>0</v>
      </c>
      <c r="CZ64">
        <f t="shared" ref="CZ64:CZ69" si="1606">($C64*P64)/100</f>
        <v>0</v>
      </c>
      <c r="DA64">
        <f t="shared" ref="DA64:DA69" si="1607">($C64*Q64)/100</f>
        <v>0</v>
      </c>
      <c r="DB64">
        <f t="shared" ref="DB64:DB69" si="1608">($C64*R64)/100</f>
        <v>0</v>
      </c>
      <c r="DC64">
        <f t="shared" ref="DC64:DC69" si="1609">($C64*S64)/100</f>
        <v>0.13</v>
      </c>
      <c r="DD64">
        <f t="shared" ref="DD64:DD69" si="1610">($C64*T64)/100</f>
        <v>0</v>
      </c>
      <c r="DE64">
        <f t="shared" ref="DE64:DE69" si="1611">($C64*U64)/100</f>
        <v>0.32500000000000001</v>
      </c>
      <c r="DF64">
        <f t="shared" ref="DF64:DF69" si="1612">($C64*V64)/100</f>
        <v>0.32500000000000001</v>
      </c>
      <c r="DG64">
        <f t="shared" ref="DG64:DG69" si="1613">($C64*W64)/100</f>
        <v>0</v>
      </c>
      <c r="DH64">
        <f t="shared" ref="DH64:DH69" si="1614">($C64*X64)/100</f>
        <v>3.2500000000000003E-3</v>
      </c>
      <c r="DI64">
        <f t="shared" ref="DI64:DI69" si="1615">($C64*Y64)/100</f>
        <v>0.32500000000000001</v>
      </c>
      <c r="DJ64">
        <f t="shared" ref="DJ64:DJ69" si="1616">($C64*Z64)/100</f>
        <v>6.5000000000000006E-3</v>
      </c>
      <c r="DK64">
        <f t="shared" ref="DK64:DK69" si="1617">($C64*AA64)/100</f>
        <v>3.2500000000000001E-2</v>
      </c>
      <c r="DL64">
        <f t="shared" ref="DL64:DL69" si="1618">($C64*AB64)/100</f>
        <v>0.32500000000000001</v>
      </c>
      <c r="DM64">
        <f t="shared" ref="DM64:DM69" si="1619">($C64*AC64)/100</f>
        <v>0.32500000000000001</v>
      </c>
      <c r="DN64">
        <f t="shared" ref="DN64:DN69" si="1620">($C64*AD64)/100</f>
        <v>3.2500000000000003E-3</v>
      </c>
      <c r="DO64">
        <f t="shared" ref="DO64:DO69" si="1621">($C64*AE64)/100</f>
        <v>0.32500000000000001</v>
      </c>
      <c r="DP64">
        <f t="shared" ref="DP64:DP69" si="1622">($C64*AF64)/100</f>
        <v>0</v>
      </c>
      <c r="DQ64">
        <f t="shared" ref="DQ64:DQ69" si="1623">($C64*AG64)/100</f>
        <v>0</v>
      </c>
      <c r="DR64">
        <f t="shared" ref="DR64:DR69" si="1624">($C64*AH64)/100</f>
        <v>0</v>
      </c>
      <c r="DS64">
        <f t="shared" ref="DS64:DS69" si="1625">($C64*AI64)/100</f>
        <v>0</v>
      </c>
      <c r="DT64">
        <f t="shared" ref="DT64:DT69" si="1626">($C64*AJ64)/100</f>
        <v>3.2500000000000003E-3</v>
      </c>
      <c r="DU64">
        <f t="shared" ref="DU64:DU69" si="1627">($C64*AK64)/100</f>
        <v>0.32500000000000001</v>
      </c>
      <c r="DV64">
        <f t="shared" ref="DV64:DV69" si="1628">($C64*AL64)/100</f>
        <v>3.2500000000000003E-3</v>
      </c>
      <c r="DW64">
        <f t="shared" ref="DW64:DW69" si="1629">($C64*AM64)/100</f>
        <v>3.2500000000000001E-2</v>
      </c>
      <c r="DX64">
        <f t="shared" ref="DX64:DX69" si="1630">($C64*AN64)/100</f>
        <v>0</v>
      </c>
      <c r="DY64">
        <f t="shared" ref="DY64:DY69" si="1631">($C64*AO64)/100</f>
        <v>23.4</v>
      </c>
      <c r="DZ64">
        <f t="shared" ref="DZ64:DZ69" si="1632">($C64*AP64)/100</f>
        <v>0</v>
      </c>
      <c r="EA64">
        <f t="shared" ref="EA64:EA69" si="1633">($C64*AQ64)/100</f>
        <v>140.4</v>
      </c>
      <c r="EB64">
        <f t="shared" ref="EB64:EB69" si="1634">($C64*AR64)/100</f>
        <v>13.923000000000002</v>
      </c>
      <c r="EC64">
        <f t="shared" ref="EC64:EC69" si="1635">($C64*AS64)/100</f>
        <v>0</v>
      </c>
      <c r="ED64">
        <f t="shared" ref="ED64:ED69" si="1636">($C64*AT64)/100</f>
        <v>37.375</v>
      </c>
      <c r="EE64">
        <f t="shared" ref="EE64:EE69" si="1637">($C64*AU64)/100</f>
        <v>9.3990000000000009</v>
      </c>
      <c r="EF64">
        <f t="shared" ref="EF64:EF69" si="1638">($C64*AV64)/100</f>
        <v>0</v>
      </c>
      <c r="EG64">
        <f t="shared" ref="EG64:EG69" si="1639">($C64*AW64)/100</f>
        <v>0</v>
      </c>
      <c r="EH64">
        <f t="shared" ref="EH64:EH69" si="1640">($C64*AX64)/100</f>
        <v>0</v>
      </c>
      <c r="EI64">
        <f t="shared" ref="EI64:EI69" si="1641">($C64*AY64)/100</f>
        <v>6.9160000000000004</v>
      </c>
      <c r="EJ64">
        <f t="shared" ref="EJ64:EJ69" si="1642">($C64*AZ64)/100</f>
        <v>1.9890000000000001</v>
      </c>
      <c r="EK64">
        <f t="shared" ref="EK64:EK69" si="1643">($C64*BA64)/100</f>
        <v>0.49399999999999999</v>
      </c>
      <c r="EL64">
        <f t="shared" ref="EL64:EL69" si="1644">($C64*BB64)/100</f>
        <v>0</v>
      </c>
      <c r="EM64">
        <f t="shared" ref="EM64:EM69" si="1645">($C64*BC64)/100</f>
        <v>47.417499999999997</v>
      </c>
      <c r="EN64">
        <f t="shared" ref="EN64:EN69" si="1646">($C64*BD64)/100</f>
        <v>0</v>
      </c>
      <c r="EO64">
        <f t="shared" ref="EO64:EO69" si="1647">($C64*BE64)/100</f>
        <v>0.51350000000000007</v>
      </c>
      <c r="EP64">
        <f t="shared" ref="EP64:EP69" si="1648">($C64*BF64)/100</f>
        <v>46.715499999999999</v>
      </c>
      <c r="EQ64">
        <f t="shared" ref="EQ64:EQ69" si="1649">($C64*BG64)/100</f>
        <v>0.18849999999999997</v>
      </c>
      <c r="ER64">
        <f t="shared" ref="ER64:ER69" si="1650">($C64*BH64)/100</f>
        <v>0</v>
      </c>
      <c r="ES64">
        <f t="shared" ref="ES64:ES69" si="1651">($C64*BI64)/100</f>
        <v>4.8879999999999999</v>
      </c>
      <c r="ET64">
        <f t="shared" ref="ET64:ET69" si="1652">($C64*BJ64)/100</f>
        <v>4.4135</v>
      </c>
      <c r="EU64">
        <f t="shared" ref="EU64:EU69" si="1653">($C64*BK64)/100</f>
        <v>0.47449999999999998</v>
      </c>
      <c r="EV64">
        <f t="shared" ref="EV64:EV69" si="1654">($C64*BL64)/100</f>
        <v>0</v>
      </c>
      <c r="EW64">
        <f t="shared" ref="EW64:EW69" si="1655">($C64*BM64)/100</f>
        <v>0</v>
      </c>
      <c r="EX64">
        <f t="shared" ref="EX64:EX69" si="1656">($C64*BN64)/100</f>
        <v>0</v>
      </c>
      <c r="EY64">
        <f t="shared" ref="EY64:EY69" si="1657">($C64*BO64)/100</f>
        <v>0</v>
      </c>
      <c r="EZ64">
        <f t="shared" ref="EZ64:EZ69" si="1658">($C64*BP64)/100</f>
        <v>0</v>
      </c>
      <c r="FA64">
        <f t="shared" ref="FA64:FA69" si="1659">($C64*BQ64)/100</f>
        <v>0</v>
      </c>
      <c r="FB64">
        <f t="shared" ref="FB64:FB69" si="1660">($C64*BR64)/100</f>
        <v>0</v>
      </c>
      <c r="FC64">
        <f t="shared" ref="FC64:FC69" si="1661">($C64*BS64)/100</f>
        <v>0</v>
      </c>
      <c r="FD64">
        <f t="shared" ref="FD64:FD69" si="1662">($C64*BT64)/100</f>
        <v>0</v>
      </c>
      <c r="FE64">
        <f t="shared" ref="FE64:FE69" si="1663">($C64*BU64)/100</f>
        <v>0</v>
      </c>
      <c r="FF64">
        <f t="shared" ref="FF64:FF69" si="1664">($C64*BV64)/100</f>
        <v>0</v>
      </c>
      <c r="FG64">
        <f t="shared" ref="FG64:FG69" si="1665">($C64*BW64)/100</f>
        <v>0</v>
      </c>
      <c r="FH64">
        <f t="shared" ref="FH64:FH69" si="1666">($C64*BX64)/100</f>
        <v>0</v>
      </c>
      <c r="FI64">
        <f t="shared" ref="FI64:FI69" si="1667">($C64*BY64)/100</f>
        <v>0</v>
      </c>
      <c r="FJ64">
        <f t="shared" ref="FJ64:FJ69" si="1668">($C64*BZ64)/100</f>
        <v>0</v>
      </c>
      <c r="FK64">
        <f t="shared" ref="FK64:FK69" si="1669">($C64*CA64)/100</f>
        <v>0</v>
      </c>
      <c r="FL64">
        <f t="shared" ref="FL64:FL69" si="1670">($C64*CB64)/100</f>
        <v>0</v>
      </c>
      <c r="FM64">
        <f t="shared" ref="FM64:FM69" si="1671">($C64*CC64)/100</f>
        <v>0</v>
      </c>
      <c r="FN64">
        <f t="shared" ref="FN64:FN69" si="1672">($C64*CD64)/100</f>
        <v>0</v>
      </c>
      <c r="FO64">
        <f t="shared" ref="FO64:FO69" si="1673">($C64*CE64)/100</f>
        <v>0</v>
      </c>
      <c r="FP64">
        <f t="shared" ref="FP64:FP69" si="1674">($C64*CF64)/100</f>
        <v>0</v>
      </c>
      <c r="FQ64">
        <f t="shared" ref="FQ64:FQ69" si="1675">($C64*CG64)/100</f>
        <v>0</v>
      </c>
      <c r="FR64">
        <f t="shared" ref="FR64:FR69" si="1676">($C64*CH64)/100</f>
        <v>0</v>
      </c>
      <c r="FS64">
        <f t="shared" ref="FS64:FS69" si="1677">($C64*CI64)/100</f>
        <v>0</v>
      </c>
      <c r="FT64">
        <f t="shared" ref="FT64:FT69" si="1678">($C64*CJ64)/100</f>
        <v>0</v>
      </c>
      <c r="FU64">
        <f t="shared" ref="FU64:FU69" si="1679">($C64*CK64)/100</f>
        <v>0</v>
      </c>
      <c r="FV64">
        <f t="shared" ref="FV64:FV69" si="1680">($C64*CL64)/100</f>
        <v>0</v>
      </c>
      <c r="FW64">
        <f t="shared" ref="FW64:FW69" si="1681">($C64*CM64)/100</f>
        <v>0</v>
      </c>
    </row>
    <row r="65" spans="1:179" x14ac:dyDescent="0.35">
      <c r="B65" s="72" t="s">
        <v>417</v>
      </c>
      <c r="C65" s="8">
        <v>10</v>
      </c>
      <c r="D65" s="6">
        <v>6</v>
      </c>
      <c r="E65" s="6">
        <v>26</v>
      </c>
      <c r="F65" s="6">
        <v>0.2</v>
      </c>
      <c r="G65" s="6">
        <v>0</v>
      </c>
      <c r="H65" s="6">
        <v>0.2</v>
      </c>
      <c r="I65" s="6">
        <v>0</v>
      </c>
      <c r="J65" s="6">
        <v>0</v>
      </c>
      <c r="K65" s="6">
        <v>0</v>
      </c>
      <c r="L65" s="6">
        <v>0</v>
      </c>
      <c r="M65" s="6">
        <v>1.4</v>
      </c>
      <c r="N65" s="6">
        <v>0</v>
      </c>
      <c r="O65" s="6">
        <v>1.4</v>
      </c>
      <c r="P65" s="6">
        <v>0</v>
      </c>
      <c r="Q65" s="6">
        <v>0</v>
      </c>
      <c r="R65" s="6">
        <v>92.1</v>
      </c>
      <c r="S65" s="6">
        <v>0.2</v>
      </c>
      <c r="T65" s="6">
        <v>14</v>
      </c>
      <c r="U65" s="6">
        <v>2</v>
      </c>
      <c r="V65" s="6">
        <v>140</v>
      </c>
      <c r="W65" s="6">
        <v>10</v>
      </c>
      <c r="X65" s="51">
        <v>5.0000000000000001E-3</v>
      </c>
      <c r="Y65" s="6">
        <v>7</v>
      </c>
      <c r="Z65" s="6">
        <v>0.13</v>
      </c>
      <c r="AA65" s="6">
        <v>1</v>
      </c>
      <c r="AB65" s="6">
        <v>3</v>
      </c>
      <c r="AC65" s="6">
        <v>0.6</v>
      </c>
      <c r="AD65" s="51">
        <v>5.0000000000000001E-3</v>
      </c>
      <c r="AE65" s="6">
        <v>2</v>
      </c>
      <c r="AF65" s="6">
        <v>0.02</v>
      </c>
      <c r="AG65" s="6">
        <v>0.02</v>
      </c>
      <c r="AH65" s="6">
        <v>43</v>
      </c>
      <c r="AI65" s="6">
        <v>0.2</v>
      </c>
      <c r="AJ65" s="6">
        <v>0.05</v>
      </c>
      <c r="AK65" s="6">
        <v>13</v>
      </c>
      <c r="AL65" s="6">
        <v>0.1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51">
        <v>5.0000000000000001E-3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7">
        <v>1</v>
      </c>
      <c r="BQ65" s="7">
        <v>3</v>
      </c>
      <c r="BR65" s="7">
        <v>6</v>
      </c>
      <c r="BS65" s="7">
        <v>5</v>
      </c>
      <c r="BT65" s="7">
        <v>10</v>
      </c>
      <c r="BU65" s="7">
        <v>3</v>
      </c>
      <c r="BV65" s="7">
        <v>3</v>
      </c>
      <c r="BW65" s="7">
        <v>7</v>
      </c>
      <c r="BX65" s="7">
        <v>4</v>
      </c>
      <c r="BY65" s="7">
        <v>7</v>
      </c>
      <c r="BZ65" s="7">
        <v>12</v>
      </c>
      <c r="CA65" s="7">
        <v>3</v>
      </c>
      <c r="CB65" s="7">
        <v>12</v>
      </c>
      <c r="CC65" s="7">
        <v>28</v>
      </c>
      <c r="CD65" s="7">
        <v>23</v>
      </c>
      <c r="CE65" s="7">
        <v>19</v>
      </c>
      <c r="CF65" s="7">
        <v>11</v>
      </c>
      <c r="CG65" s="7">
        <v>6</v>
      </c>
      <c r="CH65" s="6">
        <v>0.4</v>
      </c>
      <c r="CI65" s="6">
        <v>0.8</v>
      </c>
      <c r="CJ65" s="6">
        <v>0</v>
      </c>
      <c r="CK65" s="6">
        <v>0.2</v>
      </c>
      <c r="CL65" s="6">
        <v>0</v>
      </c>
      <c r="CM65" s="6">
        <v>0</v>
      </c>
      <c r="CN65">
        <f t="shared" si="1594"/>
        <v>0.6</v>
      </c>
      <c r="CO65">
        <f t="shared" si="1595"/>
        <v>2.6</v>
      </c>
      <c r="CP65">
        <f t="shared" si="1596"/>
        <v>0.02</v>
      </c>
      <c r="CQ65">
        <f t="shared" si="1597"/>
        <v>0</v>
      </c>
      <c r="CR65">
        <f t="shared" si="1598"/>
        <v>0.02</v>
      </c>
      <c r="CS65">
        <f t="shared" si="1599"/>
        <v>0</v>
      </c>
      <c r="CT65">
        <f t="shared" si="1600"/>
        <v>0</v>
      </c>
      <c r="CU65">
        <f t="shared" si="1601"/>
        <v>0</v>
      </c>
      <c r="CV65">
        <f t="shared" si="1602"/>
        <v>0</v>
      </c>
      <c r="CW65">
        <f t="shared" si="1603"/>
        <v>0.14000000000000001</v>
      </c>
      <c r="CX65">
        <f t="shared" si="1604"/>
        <v>0</v>
      </c>
      <c r="CY65">
        <f t="shared" si="1605"/>
        <v>0.14000000000000001</v>
      </c>
      <c r="CZ65">
        <f t="shared" si="1606"/>
        <v>0</v>
      </c>
      <c r="DA65">
        <f t="shared" si="1607"/>
        <v>0</v>
      </c>
      <c r="DB65">
        <f t="shared" si="1608"/>
        <v>9.2100000000000009</v>
      </c>
      <c r="DC65">
        <f t="shared" si="1609"/>
        <v>0.02</v>
      </c>
      <c r="DD65">
        <f t="shared" si="1610"/>
        <v>1.4</v>
      </c>
      <c r="DE65">
        <f t="shared" si="1611"/>
        <v>0.2</v>
      </c>
      <c r="DF65">
        <f t="shared" si="1612"/>
        <v>14</v>
      </c>
      <c r="DG65">
        <f t="shared" si="1613"/>
        <v>1</v>
      </c>
      <c r="DH65">
        <f t="shared" si="1614"/>
        <v>5.0000000000000001E-4</v>
      </c>
      <c r="DI65">
        <f t="shared" si="1615"/>
        <v>0.7</v>
      </c>
      <c r="DJ65">
        <f t="shared" si="1616"/>
        <v>1.3000000000000001E-2</v>
      </c>
      <c r="DK65">
        <f t="shared" si="1617"/>
        <v>0.1</v>
      </c>
      <c r="DL65">
        <f t="shared" si="1618"/>
        <v>0.3</v>
      </c>
      <c r="DM65">
        <f t="shared" si="1619"/>
        <v>0.06</v>
      </c>
      <c r="DN65">
        <f t="shared" si="1620"/>
        <v>5.0000000000000001E-4</v>
      </c>
      <c r="DO65">
        <f t="shared" si="1621"/>
        <v>0.2</v>
      </c>
      <c r="DP65">
        <f t="shared" si="1622"/>
        <v>2E-3</v>
      </c>
      <c r="DQ65">
        <f t="shared" si="1623"/>
        <v>2E-3</v>
      </c>
      <c r="DR65">
        <f t="shared" si="1624"/>
        <v>4.3</v>
      </c>
      <c r="DS65">
        <f t="shared" si="1625"/>
        <v>0.02</v>
      </c>
      <c r="DT65">
        <f t="shared" si="1626"/>
        <v>5.0000000000000001E-3</v>
      </c>
      <c r="DU65">
        <f t="shared" si="1627"/>
        <v>1.3</v>
      </c>
      <c r="DV65">
        <f t="shared" si="1628"/>
        <v>0.01</v>
      </c>
      <c r="DW65">
        <f t="shared" si="1629"/>
        <v>0</v>
      </c>
      <c r="DX65">
        <f t="shared" si="1630"/>
        <v>0</v>
      </c>
      <c r="DY65">
        <f t="shared" si="1631"/>
        <v>0</v>
      </c>
      <c r="DZ65">
        <f t="shared" si="1632"/>
        <v>0</v>
      </c>
      <c r="EA65">
        <f t="shared" si="1633"/>
        <v>0</v>
      </c>
      <c r="EB65">
        <f t="shared" si="1634"/>
        <v>5.0000000000000001E-4</v>
      </c>
      <c r="EC65">
        <f t="shared" si="1635"/>
        <v>0</v>
      </c>
      <c r="ED65">
        <f t="shared" si="1636"/>
        <v>0</v>
      </c>
      <c r="EE65">
        <f t="shared" si="1637"/>
        <v>0</v>
      </c>
      <c r="EF65">
        <f t="shared" si="1638"/>
        <v>0</v>
      </c>
      <c r="EG65">
        <f t="shared" si="1639"/>
        <v>0</v>
      </c>
      <c r="EH65">
        <f t="shared" si="1640"/>
        <v>0</v>
      </c>
      <c r="EI65">
        <f t="shared" si="1641"/>
        <v>0</v>
      </c>
      <c r="EJ65">
        <f t="shared" si="1642"/>
        <v>0</v>
      </c>
      <c r="EK65">
        <f t="shared" si="1643"/>
        <v>0</v>
      </c>
      <c r="EL65">
        <f t="shared" si="1644"/>
        <v>0</v>
      </c>
      <c r="EM65">
        <f t="shared" si="1645"/>
        <v>0</v>
      </c>
      <c r="EN65">
        <f t="shared" si="1646"/>
        <v>0</v>
      </c>
      <c r="EO65">
        <f t="shared" si="1647"/>
        <v>0</v>
      </c>
      <c r="EP65">
        <f t="shared" si="1648"/>
        <v>0</v>
      </c>
      <c r="EQ65">
        <f t="shared" si="1649"/>
        <v>0</v>
      </c>
      <c r="ER65">
        <f t="shared" si="1650"/>
        <v>0</v>
      </c>
      <c r="ES65">
        <f t="shared" si="1651"/>
        <v>0</v>
      </c>
      <c r="ET65">
        <f t="shared" si="1652"/>
        <v>0</v>
      </c>
      <c r="EU65">
        <f t="shared" si="1653"/>
        <v>0</v>
      </c>
      <c r="EV65">
        <f t="shared" si="1654"/>
        <v>0</v>
      </c>
      <c r="EW65">
        <f t="shared" si="1655"/>
        <v>0</v>
      </c>
      <c r="EX65">
        <f t="shared" si="1656"/>
        <v>0</v>
      </c>
      <c r="EY65">
        <f t="shared" si="1657"/>
        <v>0</v>
      </c>
      <c r="EZ65">
        <f t="shared" si="1658"/>
        <v>0.1</v>
      </c>
      <c r="FA65">
        <f t="shared" si="1659"/>
        <v>0.3</v>
      </c>
      <c r="FB65">
        <f t="shared" si="1660"/>
        <v>0.6</v>
      </c>
      <c r="FC65">
        <f t="shared" si="1661"/>
        <v>0.5</v>
      </c>
      <c r="FD65">
        <f t="shared" si="1662"/>
        <v>1</v>
      </c>
      <c r="FE65">
        <f t="shared" si="1663"/>
        <v>0.3</v>
      </c>
      <c r="FF65">
        <f t="shared" si="1664"/>
        <v>0.3</v>
      </c>
      <c r="FG65">
        <f t="shared" si="1665"/>
        <v>0.7</v>
      </c>
      <c r="FH65">
        <f t="shared" si="1666"/>
        <v>0.4</v>
      </c>
      <c r="FI65">
        <f t="shared" si="1667"/>
        <v>0.7</v>
      </c>
      <c r="FJ65">
        <f t="shared" si="1668"/>
        <v>1.2</v>
      </c>
      <c r="FK65">
        <f t="shared" si="1669"/>
        <v>0.3</v>
      </c>
      <c r="FL65">
        <f t="shared" si="1670"/>
        <v>1.2</v>
      </c>
      <c r="FM65">
        <f t="shared" si="1671"/>
        <v>2.8</v>
      </c>
      <c r="FN65">
        <f t="shared" si="1672"/>
        <v>2.2999999999999998</v>
      </c>
      <c r="FO65">
        <f t="shared" si="1673"/>
        <v>1.9</v>
      </c>
      <c r="FP65">
        <f t="shared" si="1674"/>
        <v>1.1000000000000001</v>
      </c>
      <c r="FQ65">
        <f t="shared" si="1675"/>
        <v>0.6</v>
      </c>
      <c r="FR65">
        <f t="shared" si="1676"/>
        <v>0.04</v>
      </c>
      <c r="FS65">
        <f t="shared" si="1677"/>
        <v>0.08</v>
      </c>
      <c r="FT65">
        <f t="shared" si="1678"/>
        <v>0</v>
      </c>
      <c r="FU65">
        <f t="shared" si="1679"/>
        <v>0.02</v>
      </c>
      <c r="FV65">
        <f t="shared" si="1680"/>
        <v>0</v>
      </c>
      <c r="FW65">
        <f t="shared" si="1681"/>
        <v>0</v>
      </c>
    </row>
    <row r="66" spans="1:179" x14ac:dyDescent="0.35">
      <c r="B66" s="72" t="s">
        <v>441</v>
      </c>
      <c r="C66" s="8">
        <v>5</v>
      </c>
      <c r="D66" s="6">
        <v>50</v>
      </c>
      <c r="E66" s="6">
        <v>208</v>
      </c>
      <c r="F66" s="6">
        <v>1.5</v>
      </c>
      <c r="G66" s="6">
        <v>0</v>
      </c>
      <c r="H66" s="6">
        <v>1.5</v>
      </c>
      <c r="I66" s="6">
        <v>0.3</v>
      </c>
      <c r="J66" s="6">
        <v>0</v>
      </c>
      <c r="K66" s="6">
        <v>0.3</v>
      </c>
      <c r="L66" s="6">
        <v>0</v>
      </c>
      <c r="M66" s="6">
        <v>5.4</v>
      </c>
      <c r="N66" s="6">
        <v>0</v>
      </c>
      <c r="O66" s="6">
        <v>4.2</v>
      </c>
      <c r="P66" s="6">
        <v>10.6</v>
      </c>
      <c r="Q66" s="6">
        <v>0</v>
      </c>
      <c r="R66" s="6">
        <v>81.599999999999994</v>
      </c>
      <c r="S66" s="6">
        <v>0.8</v>
      </c>
      <c r="T66" s="6">
        <v>134</v>
      </c>
      <c r="U66" s="6">
        <v>6</v>
      </c>
      <c r="V66" s="6">
        <v>160</v>
      </c>
      <c r="W66" s="6">
        <v>12</v>
      </c>
      <c r="X66" s="6">
        <v>0.25</v>
      </c>
      <c r="Y66" s="6">
        <v>15</v>
      </c>
      <c r="Z66" s="6">
        <v>9.1999999999999998E-2</v>
      </c>
      <c r="AA66" s="6">
        <v>0.7</v>
      </c>
      <c r="AB66" s="6">
        <v>5</v>
      </c>
      <c r="AC66" s="6">
        <v>0.3</v>
      </c>
      <c r="AD66" s="6">
        <v>0.03</v>
      </c>
      <c r="AE66" s="6">
        <v>12</v>
      </c>
      <c r="AF66" s="6">
        <v>0.06</v>
      </c>
      <c r="AG66" s="6">
        <v>0.08</v>
      </c>
      <c r="AH66" s="6">
        <v>129</v>
      </c>
      <c r="AI66" s="6">
        <v>0.4</v>
      </c>
      <c r="AJ66" s="6">
        <v>0.17199999999999999</v>
      </c>
      <c r="AK66" s="6">
        <v>13</v>
      </c>
      <c r="AL66" s="6">
        <v>0.31900000000000001</v>
      </c>
      <c r="AM66" s="6">
        <v>0.5</v>
      </c>
      <c r="AN66" s="6">
        <v>0</v>
      </c>
      <c r="AO66" s="6">
        <v>5</v>
      </c>
      <c r="AP66" s="6">
        <v>0</v>
      </c>
      <c r="AQ66" s="6">
        <v>30</v>
      </c>
      <c r="AR66" s="6">
        <v>0.25</v>
      </c>
      <c r="AS66" s="6">
        <v>0</v>
      </c>
      <c r="AT66" s="6">
        <v>0</v>
      </c>
      <c r="AU66" s="6">
        <v>3.9E-2</v>
      </c>
      <c r="AV66" s="6">
        <v>0</v>
      </c>
      <c r="AW66" s="6">
        <v>0</v>
      </c>
      <c r="AX66" s="6">
        <v>1E-3</v>
      </c>
      <c r="AY66" s="6">
        <v>3.5000000000000003E-2</v>
      </c>
      <c r="AZ66" s="6">
        <v>2E-3</v>
      </c>
      <c r="BA66" s="52">
        <v>0</v>
      </c>
      <c r="BB66" s="52">
        <v>0</v>
      </c>
      <c r="BC66" s="6">
        <v>1.0999999999999999E-2</v>
      </c>
      <c r="BD66" s="6">
        <v>0</v>
      </c>
      <c r="BE66" s="6">
        <v>1E-3</v>
      </c>
      <c r="BF66" s="6">
        <v>0.01</v>
      </c>
      <c r="BG66" s="6">
        <v>0</v>
      </c>
      <c r="BH66" s="6">
        <v>0</v>
      </c>
      <c r="BI66" s="6">
        <v>8.8999999999999996E-2</v>
      </c>
      <c r="BJ66" s="6">
        <v>6.3E-2</v>
      </c>
      <c r="BK66" s="6">
        <v>2.5999999999999999E-2</v>
      </c>
      <c r="BL66" s="6">
        <v>0</v>
      </c>
      <c r="BM66" s="6">
        <v>0</v>
      </c>
      <c r="BN66" s="6">
        <v>0</v>
      </c>
      <c r="BO66" s="6">
        <v>0</v>
      </c>
      <c r="BP66" s="7">
        <v>9</v>
      </c>
      <c r="BQ66" s="7">
        <v>21</v>
      </c>
      <c r="BR66" s="7">
        <v>41</v>
      </c>
      <c r="BS66" s="7">
        <v>38</v>
      </c>
      <c r="BT66" s="7">
        <v>75</v>
      </c>
      <c r="BU66" s="7">
        <v>21</v>
      </c>
      <c r="BV66" s="7">
        <v>19</v>
      </c>
      <c r="BW66" s="7">
        <v>53</v>
      </c>
      <c r="BX66" s="7">
        <v>30</v>
      </c>
      <c r="BY66" s="7">
        <v>54</v>
      </c>
      <c r="BZ66" s="7">
        <v>90</v>
      </c>
      <c r="CA66" s="7">
        <v>21</v>
      </c>
      <c r="CB66" s="7">
        <v>88</v>
      </c>
      <c r="CC66" s="7">
        <v>206</v>
      </c>
      <c r="CD66" s="7">
        <v>171</v>
      </c>
      <c r="CE66" s="7">
        <v>144</v>
      </c>
      <c r="CF66" s="7">
        <v>79</v>
      </c>
      <c r="CG66" s="7">
        <v>41</v>
      </c>
      <c r="CH66" s="6">
        <v>1.8</v>
      </c>
      <c r="CI66" s="6">
        <v>1.8</v>
      </c>
      <c r="CJ66" s="6">
        <v>0</v>
      </c>
      <c r="CK66" s="6">
        <v>0.5</v>
      </c>
      <c r="CL66" s="6">
        <v>0</v>
      </c>
      <c r="CM66" s="6">
        <v>0</v>
      </c>
      <c r="CN66">
        <f t="shared" si="1594"/>
        <v>2.5</v>
      </c>
      <c r="CO66">
        <f t="shared" si="1595"/>
        <v>10.4</v>
      </c>
      <c r="CP66">
        <f t="shared" si="1596"/>
        <v>7.4999999999999997E-2</v>
      </c>
      <c r="CQ66">
        <f t="shared" si="1597"/>
        <v>0</v>
      </c>
      <c r="CR66">
        <f t="shared" si="1598"/>
        <v>7.4999999999999997E-2</v>
      </c>
      <c r="CS66">
        <f t="shared" si="1599"/>
        <v>1.4999999999999999E-2</v>
      </c>
      <c r="CT66">
        <f t="shared" si="1600"/>
        <v>0</v>
      </c>
      <c r="CU66">
        <f t="shared" si="1601"/>
        <v>1.4999999999999999E-2</v>
      </c>
      <c r="CV66">
        <f t="shared" si="1602"/>
        <v>0</v>
      </c>
      <c r="CW66">
        <f t="shared" si="1603"/>
        <v>0.27</v>
      </c>
      <c r="CX66">
        <f t="shared" si="1604"/>
        <v>0</v>
      </c>
      <c r="CY66">
        <f t="shared" si="1605"/>
        <v>0.21</v>
      </c>
      <c r="CZ66">
        <f t="shared" si="1606"/>
        <v>0.53</v>
      </c>
      <c r="DA66">
        <f t="shared" si="1607"/>
        <v>0</v>
      </c>
      <c r="DB66">
        <f t="shared" si="1608"/>
        <v>4.08</v>
      </c>
      <c r="DC66">
        <f t="shared" si="1609"/>
        <v>0.04</v>
      </c>
      <c r="DD66">
        <f t="shared" si="1610"/>
        <v>6.7</v>
      </c>
      <c r="DE66">
        <f t="shared" si="1611"/>
        <v>0.3</v>
      </c>
      <c r="DF66">
        <f t="shared" si="1612"/>
        <v>8</v>
      </c>
      <c r="DG66">
        <f t="shared" si="1613"/>
        <v>0.6</v>
      </c>
      <c r="DH66">
        <f t="shared" si="1614"/>
        <v>1.2500000000000001E-2</v>
      </c>
      <c r="DI66">
        <f t="shared" si="1615"/>
        <v>0.75</v>
      </c>
      <c r="DJ66">
        <f t="shared" si="1616"/>
        <v>4.5999999999999999E-3</v>
      </c>
      <c r="DK66">
        <f t="shared" si="1617"/>
        <v>3.5000000000000003E-2</v>
      </c>
      <c r="DL66">
        <f t="shared" si="1618"/>
        <v>0.25</v>
      </c>
      <c r="DM66">
        <f t="shared" si="1619"/>
        <v>1.4999999999999999E-2</v>
      </c>
      <c r="DN66">
        <f t="shared" si="1620"/>
        <v>1.5E-3</v>
      </c>
      <c r="DO66">
        <f t="shared" si="1621"/>
        <v>0.6</v>
      </c>
      <c r="DP66">
        <f t="shared" si="1622"/>
        <v>3.0000000000000001E-3</v>
      </c>
      <c r="DQ66">
        <f t="shared" si="1623"/>
        <v>4.0000000000000001E-3</v>
      </c>
      <c r="DR66">
        <f t="shared" si="1624"/>
        <v>6.45</v>
      </c>
      <c r="DS66">
        <f t="shared" si="1625"/>
        <v>0.02</v>
      </c>
      <c r="DT66">
        <f t="shared" si="1626"/>
        <v>8.5999999999999983E-3</v>
      </c>
      <c r="DU66">
        <f t="shared" si="1627"/>
        <v>0.65</v>
      </c>
      <c r="DV66">
        <f t="shared" si="1628"/>
        <v>1.5949999999999999E-2</v>
      </c>
      <c r="DW66">
        <f t="shared" si="1629"/>
        <v>2.5000000000000001E-2</v>
      </c>
      <c r="DX66">
        <f t="shared" si="1630"/>
        <v>0</v>
      </c>
      <c r="DY66">
        <f t="shared" si="1631"/>
        <v>0.25</v>
      </c>
      <c r="DZ66">
        <f t="shared" si="1632"/>
        <v>0</v>
      </c>
      <c r="EA66">
        <f t="shared" si="1633"/>
        <v>1.5</v>
      </c>
      <c r="EB66">
        <f t="shared" si="1634"/>
        <v>1.2500000000000001E-2</v>
      </c>
      <c r="EC66">
        <f t="shared" si="1635"/>
        <v>0</v>
      </c>
      <c r="ED66">
        <f t="shared" si="1636"/>
        <v>0</v>
      </c>
      <c r="EE66">
        <f t="shared" si="1637"/>
        <v>1.9500000000000001E-3</v>
      </c>
      <c r="EF66">
        <f t="shared" si="1638"/>
        <v>0</v>
      </c>
      <c r="EG66">
        <f t="shared" si="1639"/>
        <v>0</v>
      </c>
      <c r="EH66">
        <f t="shared" si="1640"/>
        <v>5.0000000000000002E-5</v>
      </c>
      <c r="EI66">
        <f t="shared" si="1641"/>
        <v>1.7500000000000003E-3</v>
      </c>
      <c r="EJ66">
        <f t="shared" si="1642"/>
        <v>1E-4</v>
      </c>
      <c r="EK66">
        <f t="shared" si="1643"/>
        <v>0</v>
      </c>
      <c r="EL66">
        <f t="shared" si="1644"/>
        <v>0</v>
      </c>
      <c r="EM66">
        <f t="shared" si="1645"/>
        <v>5.4999999999999992E-4</v>
      </c>
      <c r="EN66">
        <f t="shared" si="1646"/>
        <v>0</v>
      </c>
      <c r="EO66">
        <f t="shared" si="1647"/>
        <v>5.0000000000000002E-5</v>
      </c>
      <c r="EP66">
        <f t="shared" si="1648"/>
        <v>5.0000000000000001E-4</v>
      </c>
      <c r="EQ66">
        <f t="shared" si="1649"/>
        <v>0</v>
      </c>
      <c r="ER66">
        <f t="shared" si="1650"/>
        <v>0</v>
      </c>
      <c r="ES66">
        <f t="shared" si="1651"/>
        <v>4.4499999999999991E-3</v>
      </c>
      <c r="ET66">
        <f t="shared" si="1652"/>
        <v>3.15E-3</v>
      </c>
      <c r="EU66">
        <f t="shared" si="1653"/>
        <v>1.2999999999999999E-3</v>
      </c>
      <c r="EV66">
        <f t="shared" si="1654"/>
        <v>0</v>
      </c>
      <c r="EW66">
        <f t="shared" si="1655"/>
        <v>0</v>
      </c>
      <c r="EX66">
        <f t="shared" si="1656"/>
        <v>0</v>
      </c>
      <c r="EY66">
        <f t="shared" si="1657"/>
        <v>0</v>
      </c>
      <c r="EZ66">
        <f t="shared" si="1658"/>
        <v>0.45</v>
      </c>
      <c r="FA66">
        <f t="shared" si="1659"/>
        <v>1.05</v>
      </c>
      <c r="FB66">
        <f t="shared" si="1660"/>
        <v>2.0499999999999998</v>
      </c>
      <c r="FC66">
        <f t="shared" si="1661"/>
        <v>1.9</v>
      </c>
      <c r="FD66">
        <f t="shared" si="1662"/>
        <v>3.75</v>
      </c>
      <c r="FE66">
        <f t="shared" si="1663"/>
        <v>1.05</v>
      </c>
      <c r="FF66">
        <f t="shared" si="1664"/>
        <v>0.95</v>
      </c>
      <c r="FG66">
        <f t="shared" si="1665"/>
        <v>2.65</v>
      </c>
      <c r="FH66">
        <f t="shared" si="1666"/>
        <v>1.5</v>
      </c>
      <c r="FI66">
        <f t="shared" si="1667"/>
        <v>2.7</v>
      </c>
      <c r="FJ66">
        <f t="shared" si="1668"/>
        <v>4.5</v>
      </c>
      <c r="FK66">
        <f t="shared" si="1669"/>
        <v>1.05</v>
      </c>
      <c r="FL66">
        <f t="shared" si="1670"/>
        <v>4.4000000000000004</v>
      </c>
      <c r="FM66">
        <f t="shared" si="1671"/>
        <v>10.3</v>
      </c>
      <c r="FN66">
        <f t="shared" si="1672"/>
        <v>8.5500000000000007</v>
      </c>
      <c r="FO66">
        <f t="shared" si="1673"/>
        <v>7.2</v>
      </c>
      <c r="FP66">
        <f t="shared" si="1674"/>
        <v>3.95</v>
      </c>
      <c r="FQ66">
        <f t="shared" si="1675"/>
        <v>2.0499999999999998</v>
      </c>
      <c r="FR66">
        <f t="shared" si="1676"/>
        <v>0.09</v>
      </c>
      <c r="FS66">
        <f t="shared" si="1677"/>
        <v>0.09</v>
      </c>
      <c r="FT66">
        <f t="shared" si="1678"/>
        <v>0</v>
      </c>
      <c r="FU66">
        <f t="shared" si="1679"/>
        <v>2.5000000000000001E-2</v>
      </c>
      <c r="FV66">
        <f t="shared" si="1680"/>
        <v>0</v>
      </c>
      <c r="FW66">
        <f t="shared" si="1681"/>
        <v>0</v>
      </c>
    </row>
    <row r="67" spans="1:179" x14ac:dyDescent="0.35">
      <c r="B67" s="72" t="s">
        <v>437</v>
      </c>
      <c r="C67" s="8">
        <v>10</v>
      </c>
      <c r="D67" s="6">
        <v>325</v>
      </c>
      <c r="E67" s="6">
        <v>1345</v>
      </c>
      <c r="F67" s="6">
        <v>15.8</v>
      </c>
      <c r="G67" s="6">
        <v>15.8</v>
      </c>
      <c r="H67" s="6">
        <v>0</v>
      </c>
      <c r="I67" s="6">
        <v>29.1</v>
      </c>
      <c r="J67" s="6">
        <v>29.1</v>
      </c>
      <c r="K67" s="6">
        <v>0</v>
      </c>
      <c r="L67" s="6">
        <v>1337</v>
      </c>
      <c r="M67" s="51">
        <v>0.05</v>
      </c>
      <c r="N67" s="6">
        <v>0</v>
      </c>
      <c r="O67" s="51">
        <v>0.05</v>
      </c>
      <c r="P67" s="6">
        <v>0</v>
      </c>
      <c r="Q67" s="6">
        <v>0</v>
      </c>
      <c r="R67" s="6">
        <v>53.2</v>
      </c>
      <c r="S67" s="6">
        <v>4.9000000000000004</v>
      </c>
      <c r="T67" s="6">
        <v>116</v>
      </c>
      <c r="U67" s="6">
        <v>43</v>
      </c>
      <c r="V67" s="6">
        <v>90</v>
      </c>
      <c r="W67" s="6">
        <v>586</v>
      </c>
      <c r="X67" s="6">
        <v>2.1</v>
      </c>
      <c r="Y67" s="6">
        <v>14</v>
      </c>
      <c r="Z67" s="6">
        <v>0.2</v>
      </c>
      <c r="AA67" s="6">
        <v>10</v>
      </c>
      <c r="AB67" s="6">
        <v>140</v>
      </c>
      <c r="AC67" s="6">
        <v>140</v>
      </c>
      <c r="AD67" s="6">
        <v>0.1</v>
      </c>
      <c r="AE67" s="6">
        <v>170</v>
      </c>
      <c r="AF67" s="6">
        <v>0.27</v>
      </c>
      <c r="AG67" s="6">
        <v>0.35</v>
      </c>
      <c r="AH67" s="6">
        <v>0</v>
      </c>
      <c r="AI67" s="6">
        <v>0.1</v>
      </c>
      <c r="AJ67" s="6">
        <v>0.3</v>
      </c>
      <c r="AK67" s="6">
        <v>130</v>
      </c>
      <c r="AL67" s="6">
        <v>4.5999999999999996</v>
      </c>
      <c r="AM67" s="6">
        <v>50</v>
      </c>
      <c r="AN67" s="6">
        <v>6.9</v>
      </c>
      <c r="AO67" s="6">
        <v>640</v>
      </c>
      <c r="AP67" s="6">
        <v>607</v>
      </c>
      <c r="AQ67" s="6">
        <v>198</v>
      </c>
      <c r="AR67" s="6">
        <v>3.11</v>
      </c>
      <c r="AS67" s="6">
        <v>4.9400000000000004</v>
      </c>
      <c r="AT67" s="51">
        <v>5.0000000000000001E-3</v>
      </c>
      <c r="AU67" s="6">
        <v>9.82</v>
      </c>
      <c r="AV67" s="6">
        <v>0</v>
      </c>
      <c r="AW67" s="6">
        <v>0</v>
      </c>
      <c r="AX67" s="6">
        <v>0.08</v>
      </c>
      <c r="AY67" s="6">
        <v>5.98</v>
      </c>
      <c r="AZ67" s="6">
        <v>3.73</v>
      </c>
      <c r="BA67" s="6">
        <v>0</v>
      </c>
      <c r="BB67" s="6">
        <v>0</v>
      </c>
      <c r="BC67" s="6">
        <v>8.2899999999999991</v>
      </c>
      <c r="BD67" s="6">
        <v>0</v>
      </c>
      <c r="BE67" s="6">
        <v>0.66</v>
      </c>
      <c r="BF67" s="6">
        <v>7.63</v>
      </c>
      <c r="BG67" s="6">
        <v>0</v>
      </c>
      <c r="BH67" s="6">
        <v>0</v>
      </c>
      <c r="BI67" s="6">
        <v>4.63</v>
      </c>
      <c r="BJ67" s="6">
        <v>3.83</v>
      </c>
      <c r="BK67" s="6">
        <v>0.11</v>
      </c>
      <c r="BL67" s="6">
        <v>0.68</v>
      </c>
      <c r="BM67" s="6">
        <v>0</v>
      </c>
      <c r="BN67" s="6">
        <v>0</v>
      </c>
      <c r="BO67" s="6">
        <v>0.01</v>
      </c>
      <c r="BP67" s="7">
        <v>237</v>
      </c>
      <c r="BQ67" s="7">
        <v>826</v>
      </c>
      <c r="BR67" s="7">
        <v>842</v>
      </c>
      <c r="BS67" s="7">
        <v>1347</v>
      </c>
      <c r="BT67" s="7">
        <v>1250</v>
      </c>
      <c r="BU67" s="7">
        <v>422</v>
      </c>
      <c r="BV67" s="7">
        <v>328</v>
      </c>
      <c r="BW67" s="7">
        <v>707</v>
      </c>
      <c r="BX67" s="7">
        <v>663</v>
      </c>
      <c r="BY67" s="7">
        <v>993</v>
      </c>
      <c r="BZ67" s="7">
        <v>1103</v>
      </c>
      <c r="CA67" s="7">
        <v>394</v>
      </c>
      <c r="CB67" s="7">
        <v>878</v>
      </c>
      <c r="CC67" s="7">
        <v>1524</v>
      </c>
      <c r="CD67" s="7">
        <v>1885</v>
      </c>
      <c r="CE67" s="7">
        <v>490</v>
      </c>
      <c r="CF67" s="7">
        <v>685</v>
      </c>
      <c r="CG67" s="7">
        <v>1170</v>
      </c>
      <c r="CH67" s="51">
        <v>0.05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>
        <f t="shared" si="1594"/>
        <v>32.5</v>
      </c>
      <c r="CO67">
        <f t="shared" si="1595"/>
        <v>134.5</v>
      </c>
      <c r="CP67">
        <f t="shared" si="1596"/>
        <v>1.58</v>
      </c>
      <c r="CQ67">
        <f t="shared" si="1597"/>
        <v>1.58</v>
      </c>
      <c r="CR67">
        <f t="shared" si="1598"/>
        <v>0</v>
      </c>
      <c r="CS67">
        <f t="shared" si="1599"/>
        <v>2.91</v>
      </c>
      <c r="CT67">
        <f t="shared" si="1600"/>
        <v>2.91</v>
      </c>
      <c r="CU67">
        <f t="shared" si="1601"/>
        <v>0</v>
      </c>
      <c r="CV67">
        <f t="shared" si="1602"/>
        <v>133.69999999999999</v>
      </c>
      <c r="CW67">
        <f t="shared" si="1603"/>
        <v>5.0000000000000001E-3</v>
      </c>
      <c r="CX67">
        <f t="shared" si="1604"/>
        <v>0</v>
      </c>
      <c r="CY67">
        <f t="shared" si="1605"/>
        <v>5.0000000000000001E-3</v>
      </c>
      <c r="CZ67">
        <f t="shared" si="1606"/>
        <v>0</v>
      </c>
      <c r="DA67">
        <f t="shared" si="1607"/>
        <v>0</v>
      </c>
      <c r="DB67">
        <f t="shared" si="1608"/>
        <v>5.32</v>
      </c>
      <c r="DC67">
        <f t="shared" si="1609"/>
        <v>0.49</v>
      </c>
      <c r="DD67">
        <f t="shared" si="1610"/>
        <v>11.6</v>
      </c>
      <c r="DE67">
        <f t="shared" si="1611"/>
        <v>4.3</v>
      </c>
      <c r="DF67">
        <f t="shared" si="1612"/>
        <v>9</v>
      </c>
      <c r="DG67">
        <f t="shared" si="1613"/>
        <v>58.6</v>
      </c>
      <c r="DH67">
        <f t="shared" si="1614"/>
        <v>0.21</v>
      </c>
      <c r="DI67">
        <f t="shared" si="1615"/>
        <v>1.4</v>
      </c>
      <c r="DJ67">
        <f t="shared" si="1616"/>
        <v>0.02</v>
      </c>
      <c r="DK67">
        <f t="shared" si="1617"/>
        <v>1</v>
      </c>
      <c r="DL67">
        <f t="shared" si="1618"/>
        <v>14</v>
      </c>
      <c r="DM67">
        <f t="shared" si="1619"/>
        <v>14</v>
      </c>
      <c r="DN67">
        <f t="shared" si="1620"/>
        <v>0.01</v>
      </c>
      <c r="DO67">
        <f t="shared" si="1621"/>
        <v>17</v>
      </c>
      <c r="DP67">
        <f t="shared" si="1622"/>
        <v>2.7000000000000003E-2</v>
      </c>
      <c r="DQ67">
        <f t="shared" si="1623"/>
        <v>3.5000000000000003E-2</v>
      </c>
      <c r="DR67">
        <f t="shared" si="1624"/>
        <v>0</v>
      </c>
      <c r="DS67">
        <f t="shared" si="1625"/>
        <v>0.01</v>
      </c>
      <c r="DT67">
        <f t="shared" si="1626"/>
        <v>0.03</v>
      </c>
      <c r="DU67">
        <f t="shared" si="1627"/>
        <v>13</v>
      </c>
      <c r="DV67">
        <f t="shared" si="1628"/>
        <v>0.46</v>
      </c>
      <c r="DW67">
        <f t="shared" si="1629"/>
        <v>5</v>
      </c>
      <c r="DX67">
        <f t="shared" si="1630"/>
        <v>0.69</v>
      </c>
      <c r="DY67">
        <f t="shared" si="1631"/>
        <v>64</v>
      </c>
      <c r="DZ67">
        <f t="shared" si="1632"/>
        <v>60.7</v>
      </c>
      <c r="EA67">
        <f t="shared" si="1633"/>
        <v>19.8</v>
      </c>
      <c r="EB67">
        <f t="shared" si="1634"/>
        <v>0.311</v>
      </c>
      <c r="EC67">
        <f t="shared" si="1635"/>
        <v>0.49400000000000005</v>
      </c>
      <c r="ED67">
        <f t="shared" si="1636"/>
        <v>5.0000000000000001E-4</v>
      </c>
      <c r="EE67">
        <f t="shared" si="1637"/>
        <v>0.98199999999999998</v>
      </c>
      <c r="EF67">
        <f t="shared" si="1638"/>
        <v>0</v>
      </c>
      <c r="EG67">
        <f t="shared" si="1639"/>
        <v>0</v>
      </c>
      <c r="EH67">
        <f t="shared" si="1640"/>
        <v>8.0000000000000002E-3</v>
      </c>
      <c r="EI67">
        <f t="shared" si="1641"/>
        <v>0.59800000000000009</v>
      </c>
      <c r="EJ67">
        <f t="shared" si="1642"/>
        <v>0.373</v>
      </c>
      <c r="EK67">
        <f t="shared" si="1643"/>
        <v>0</v>
      </c>
      <c r="EL67">
        <f t="shared" si="1644"/>
        <v>0</v>
      </c>
      <c r="EM67">
        <f t="shared" si="1645"/>
        <v>0.82899999999999996</v>
      </c>
      <c r="EN67">
        <f t="shared" si="1646"/>
        <v>0</v>
      </c>
      <c r="EO67">
        <f t="shared" si="1647"/>
        <v>6.6000000000000003E-2</v>
      </c>
      <c r="EP67">
        <f t="shared" si="1648"/>
        <v>0.76300000000000001</v>
      </c>
      <c r="EQ67">
        <f t="shared" si="1649"/>
        <v>0</v>
      </c>
      <c r="ER67">
        <f t="shared" si="1650"/>
        <v>0</v>
      </c>
      <c r="ES67">
        <f t="shared" si="1651"/>
        <v>0.46299999999999997</v>
      </c>
      <c r="ET67">
        <f t="shared" si="1652"/>
        <v>0.38299999999999995</v>
      </c>
      <c r="EU67">
        <f t="shared" si="1653"/>
        <v>1.1000000000000001E-2</v>
      </c>
      <c r="EV67">
        <f t="shared" si="1654"/>
        <v>6.8000000000000005E-2</v>
      </c>
      <c r="EW67">
        <f t="shared" si="1655"/>
        <v>0</v>
      </c>
      <c r="EX67">
        <f t="shared" si="1656"/>
        <v>0</v>
      </c>
      <c r="EY67">
        <f t="shared" si="1657"/>
        <v>1E-3</v>
      </c>
      <c r="EZ67">
        <f t="shared" si="1658"/>
        <v>23.7</v>
      </c>
      <c r="FA67">
        <f t="shared" si="1659"/>
        <v>82.6</v>
      </c>
      <c r="FB67">
        <f t="shared" si="1660"/>
        <v>84.2</v>
      </c>
      <c r="FC67">
        <f t="shared" si="1661"/>
        <v>134.69999999999999</v>
      </c>
      <c r="FD67">
        <f t="shared" si="1662"/>
        <v>125</v>
      </c>
      <c r="FE67">
        <f t="shared" si="1663"/>
        <v>42.2</v>
      </c>
      <c r="FF67">
        <f t="shared" si="1664"/>
        <v>32.799999999999997</v>
      </c>
      <c r="FG67">
        <f t="shared" si="1665"/>
        <v>70.7</v>
      </c>
      <c r="FH67">
        <f t="shared" si="1666"/>
        <v>66.3</v>
      </c>
      <c r="FI67">
        <f t="shared" si="1667"/>
        <v>99.3</v>
      </c>
      <c r="FJ67">
        <f t="shared" si="1668"/>
        <v>110.3</v>
      </c>
      <c r="FK67">
        <f t="shared" si="1669"/>
        <v>39.4</v>
      </c>
      <c r="FL67">
        <f t="shared" si="1670"/>
        <v>87.8</v>
      </c>
      <c r="FM67">
        <f t="shared" si="1671"/>
        <v>152.4</v>
      </c>
      <c r="FN67">
        <f t="shared" si="1672"/>
        <v>188.5</v>
      </c>
      <c r="FO67">
        <f t="shared" si="1673"/>
        <v>49</v>
      </c>
      <c r="FP67">
        <f t="shared" si="1674"/>
        <v>68.5</v>
      </c>
      <c r="FQ67">
        <f t="shared" si="1675"/>
        <v>117</v>
      </c>
      <c r="FR67">
        <f t="shared" si="1676"/>
        <v>5.0000000000000001E-3</v>
      </c>
      <c r="FS67">
        <f t="shared" si="1677"/>
        <v>0</v>
      </c>
      <c r="FT67">
        <f t="shared" si="1678"/>
        <v>0</v>
      </c>
      <c r="FU67">
        <f t="shared" si="1679"/>
        <v>0</v>
      </c>
      <c r="FV67">
        <f t="shared" si="1680"/>
        <v>0</v>
      </c>
      <c r="FW67">
        <f t="shared" si="1681"/>
        <v>0</v>
      </c>
    </row>
    <row r="68" spans="1:179" x14ac:dyDescent="0.35">
      <c r="B68" s="73" t="s">
        <v>436</v>
      </c>
      <c r="C68" s="8">
        <v>5</v>
      </c>
      <c r="D68" s="48">
        <v>60</v>
      </c>
      <c r="E68" s="48">
        <v>253</v>
      </c>
      <c r="F68" s="48">
        <v>3.74</v>
      </c>
      <c r="G68" s="49">
        <v>0</v>
      </c>
      <c r="H68" s="49">
        <v>3.74</v>
      </c>
      <c r="I68" s="48">
        <v>3.34</v>
      </c>
      <c r="J68" s="49">
        <v>0</v>
      </c>
      <c r="K68" s="49">
        <v>3.34</v>
      </c>
      <c r="L68" s="48">
        <v>0</v>
      </c>
      <c r="M68" s="48">
        <v>5.83</v>
      </c>
      <c r="N68" s="48">
        <v>0.64</v>
      </c>
      <c r="O68" s="48">
        <v>0.92</v>
      </c>
      <c r="P68" s="48">
        <v>4</v>
      </c>
      <c r="Q68" s="48">
        <v>0</v>
      </c>
      <c r="R68" s="48">
        <v>83.7</v>
      </c>
      <c r="S68" s="48">
        <v>1.61</v>
      </c>
      <c r="T68" s="48">
        <v>63</v>
      </c>
      <c r="U68" s="48">
        <v>1100</v>
      </c>
      <c r="V68" s="48">
        <v>152</v>
      </c>
      <c r="W68" s="48">
        <v>108</v>
      </c>
      <c r="X68" s="48">
        <v>0.64</v>
      </c>
      <c r="Y68" s="48">
        <v>48</v>
      </c>
      <c r="Z68" s="48">
        <v>7.3999999999999996E-2</v>
      </c>
      <c r="AA68" s="48">
        <v>33.5</v>
      </c>
      <c r="AB68" s="42">
        <v>3550</v>
      </c>
      <c r="AC68" s="42">
        <v>1</v>
      </c>
      <c r="AD68" s="48">
        <v>0.42199999999999999</v>
      </c>
      <c r="AE68" s="43">
        <v>22.5</v>
      </c>
      <c r="AF68" s="48">
        <v>0.17699999999999999</v>
      </c>
      <c r="AG68" s="48">
        <v>7.0000000000000007E-2</v>
      </c>
      <c r="AH68" s="48">
        <v>0.3</v>
      </c>
      <c r="AI68" s="48">
        <v>0.56499999999999995</v>
      </c>
      <c r="AJ68" s="48">
        <v>7.0000000000000007E-2</v>
      </c>
      <c r="AK68" s="48">
        <v>7</v>
      </c>
      <c r="AL68" s="48">
        <v>0.254</v>
      </c>
      <c r="AM68" s="42">
        <v>0</v>
      </c>
      <c r="AN68" s="48">
        <v>0</v>
      </c>
      <c r="AO68" s="48">
        <v>10.833333333333334</v>
      </c>
      <c r="AP68" s="48">
        <v>0</v>
      </c>
      <c r="AQ68" s="48">
        <v>65</v>
      </c>
      <c r="AR68" s="48">
        <v>0.58179999999999998</v>
      </c>
      <c r="AS68" s="48">
        <v>0</v>
      </c>
      <c r="AT68" s="48">
        <v>1.4</v>
      </c>
      <c r="AU68" s="48">
        <v>0.214</v>
      </c>
      <c r="AV68" s="44">
        <v>5.0000000000000001E-3</v>
      </c>
      <c r="AW68" s="48">
        <v>2E-3</v>
      </c>
      <c r="AX68" s="48">
        <v>4.0000000000000001E-3</v>
      </c>
      <c r="AY68" s="48">
        <v>0.11700000000000001</v>
      </c>
      <c r="AZ68" s="48">
        <v>3.7999999999999999E-2</v>
      </c>
      <c r="BA68" s="48">
        <v>0.02</v>
      </c>
      <c r="BB68" s="48">
        <v>1.6E-2</v>
      </c>
      <c r="BC68" s="48">
        <v>2.1800000000000002</v>
      </c>
      <c r="BD68" s="48">
        <v>0</v>
      </c>
      <c r="BE68" s="48">
        <v>8.0000000000000002E-3</v>
      </c>
      <c r="BF68" s="48">
        <v>0.77800000000000002</v>
      </c>
      <c r="BG68" s="48">
        <v>0.28899999999999998</v>
      </c>
      <c r="BH68" s="48">
        <v>1.06</v>
      </c>
      <c r="BI68" s="48">
        <v>0.77400000000000002</v>
      </c>
      <c r="BJ68" s="48">
        <v>0.35799999999999998</v>
      </c>
      <c r="BK68" s="48">
        <v>0.373</v>
      </c>
      <c r="BL68" s="48">
        <v>0</v>
      </c>
      <c r="BM68" s="48">
        <v>0</v>
      </c>
      <c r="BN68" s="48">
        <v>0</v>
      </c>
      <c r="BO68" s="44">
        <v>0.78300000000000003</v>
      </c>
      <c r="BP68" s="48">
        <v>8.9999999999999993E-3</v>
      </c>
      <c r="BQ68" s="48">
        <v>0.16700000000000001</v>
      </c>
      <c r="BR68" s="48">
        <v>0.14599999999999999</v>
      </c>
      <c r="BS68" s="48">
        <v>0.29199999999999998</v>
      </c>
      <c r="BT68" s="48">
        <v>0.26400000000000001</v>
      </c>
      <c r="BU68" s="48">
        <v>7.5999999999999998E-2</v>
      </c>
      <c r="BV68" s="48">
        <v>7.1999999999999995E-2</v>
      </c>
      <c r="BW68" s="48">
        <v>0.161</v>
      </c>
      <c r="BX68" s="48">
        <v>0.13400000000000001</v>
      </c>
      <c r="BY68" s="48">
        <v>0.189</v>
      </c>
      <c r="BZ68" s="48">
        <v>0.252</v>
      </c>
      <c r="CA68" s="48">
        <v>0.11899999999999999</v>
      </c>
      <c r="CB68" s="48">
        <v>0.16400000000000001</v>
      </c>
      <c r="CC68" s="48">
        <v>0.39</v>
      </c>
      <c r="CD68" s="48">
        <v>0.72399999999999998</v>
      </c>
      <c r="CE68" s="48">
        <v>0.22800000000000001</v>
      </c>
      <c r="CF68" s="48">
        <v>0.35499999999999998</v>
      </c>
      <c r="CG68" s="48">
        <v>0.20399999999999999</v>
      </c>
      <c r="CH68" s="48">
        <v>0.47</v>
      </c>
      <c r="CI68" s="48">
        <v>0.23</v>
      </c>
      <c r="CJ68" s="48">
        <v>0</v>
      </c>
      <c r="CK68" s="48">
        <v>0.21</v>
      </c>
      <c r="CL68" s="48">
        <v>0</v>
      </c>
      <c r="CM68" s="48">
        <v>0</v>
      </c>
      <c r="CN68">
        <f t="shared" si="1594"/>
        <v>3</v>
      </c>
      <c r="CO68">
        <f t="shared" si="1595"/>
        <v>12.65</v>
      </c>
      <c r="CP68">
        <f t="shared" si="1596"/>
        <v>0.18700000000000003</v>
      </c>
      <c r="CQ68">
        <f t="shared" si="1597"/>
        <v>0</v>
      </c>
      <c r="CR68">
        <f t="shared" si="1598"/>
        <v>0.18700000000000003</v>
      </c>
      <c r="CS68">
        <f t="shared" si="1599"/>
        <v>0.16699999999999998</v>
      </c>
      <c r="CT68">
        <f t="shared" si="1600"/>
        <v>0</v>
      </c>
      <c r="CU68">
        <f t="shared" si="1601"/>
        <v>0.16699999999999998</v>
      </c>
      <c r="CV68">
        <f t="shared" si="1602"/>
        <v>0</v>
      </c>
      <c r="CW68">
        <f t="shared" si="1603"/>
        <v>0.29149999999999998</v>
      </c>
      <c r="CX68">
        <f t="shared" si="1604"/>
        <v>3.2000000000000001E-2</v>
      </c>
      <c r="CY68">
        <f t="shared" si="1605"/>
        <v>4.6000000000000006E-2</v>
      </c>
      <c r="CZ68">
        <f t="shared" si="1606"/>
        <v>0.2</v>
      </c>
      <c r="DA68">
        <f t="shared" si="1607"/>
        <v>0</v>
      </c>
      <c r="DB68">
        <f t="shared" si="1608"/>
        <v>4.1849999999999996</v>
      </c>
      <c r="DC68">
        <f t="shared" si="1609"/>
        <v>8.0500000000000002E-2</v>
      </c>
      <c r="DD68">
        <f t="shared" si="1610"/>
        <v>3.15</v>
      </c>
      <c r="DE68">
        <f t="shared" si="1611"/>
        <v>55</v>
      </c>
      <c r="DF68">
        <f t="shared" si="1612"/>
        <v>7.6</v>
      </c>
      <c r="DG68">
        <f t="shared" si="1613"/>
        <v>5.4</v>
      </c>
      <c r="DH68">
        <f t="shared" si="1614"/>
        <v>3.2000000000000001E-2</v>
      </c>
      <c r="DI68">
        <f t="shared" si="1615"/>
        <v>2.4</v>
      </c>
      <c r="DJ68">
        <f t="shared" si="1616"/>
        <v>3.7000000000000002E-3</v>
      </c>
      <c r="DK68">
        <f t="shared" si="1617"/>
        <v>1.675</v>
      </c>
      <c r="DL68">
        <f t="shared" si="1618"/>
        <v>177.5</v>
      </c>
      <c r="DM68">
        <f t="shared" si="1619"/>
        <v>0.05</v>
      </c>
      <c r="DN68">
        <f t="shared" si="1620"/>
        <v>2.1099999999999997E-2</v>
      </c>
      <c r="DO68">
        <f t="shared" si="1621"/>
        <v>1.125</v>
      </c>
      <c r="DP68">
        <f t="shared" si="1622"/>
        <v>8.8500000000000002E-3</v>
      </c>
      <c r="DQ68">
        <f t="shared" si="1623"/>
        <v>3.5000000000000005E-3</v>
      </c>
      <c r="DR68">
        <f t="shared" si="1624"/>
        <v>1.4999999999999999E-2</v>
      </c>
      <c r="DS68">
        <f t="shared" si="1625"/>
        <v>2.8249999999999997E-2</v>
      </c>
      <c r="DT68">
        <f t="shared" si="1626"/>
        <v>3.5000000000000005E-3</v>
      </c>
      <c r="DU68">
        <f t="shared" si="1627"/>
        <v>0.35</v>
      </c>
      <c r="DV68">
        <f t="shared" si="1628"/>
        <v>1.2699999999999999E-2</v>
      </c>
      <c r="DW68">
        <f t="shared" si="1629"/>
        <v>0</v>
      </c>
      <c r="DX68">
        <f t="shared" si="1630"/>
        <v>0</v>
      </c>
      <c r="DY68">
        <f t="shared" si="1631"/>
        <v>0.54166666666666674</v>
      </c>
      <c r="DZ68">
        <f t="shared" si="1632"/>
        <v>0</v>
      </c>
      <c r="EA68">
        <f t="shared" si="1633"/>
        <v>3.25</v>
      </c>
      <c r="EB68">
        <f t="shared" si="1634"/>
        <v>2.9089999999999998E-2</v>
      </c>
      <c r="EC68">
        <f t="shared" si="1635"/>
        <v>0</v>
      </c>
      <c r="ED68">
        <f t="shared" si="1636"/>
        <v>7.0000000000000007E-2</v>
      </c>
      <c r="EE68">
        <f t="shared" si="1637"/>
        <v>1.0700000000000001E-2</v>
      </c>
      <c r="EF68">
        <f t="shared" si="1638"/>
        <v>2.5000000000000001E-4</v>
      </c>
      <c r="EG68">
        <f t="shared" si="1639"/>
        <v>1E-4</v>
      </c>
      <c r="EH68">
        <f t="shared" si="1640"/>
        <v>2.0000000000000001E-4</v>
      </c>
      <c r="EI68">
        <f t="shared" si="1641"/>
        <v>5.850000000000001E-3</v>
      </c>
      <c r="EJ68">
        <f t="shared" si="1642"/>
        <v>1.9E-3</v>
      </c>
      <c r="EK68">
        <f t="shared" si="1643"/>
        <v>1E-3</v>
      </c>
      <c r="EL68">
        <f t="shared" si="1644"/>
        <v>8.0000000000000004E-4</v>
      </c>
      <c r="EM68">
        <f t="shared" si="1645"/>
        <v>0.109</v>
      </c>
      <c r="EN68">
        <f t="shared" si="1646"/>
        <v>0</v>
      </c>
      <c r="EO68">
        <f t="shared" si="1647"/>
        <v>4.0000000000000002E-4</v>
      </c>
      <c r="EP68">
        <f t="shared" si="1648"/>
        <v>3.8900000000000004E-2</v>
      </c>
      <c r="EQ68">
        <f t="shared" si="1649"/>
        <v>1.4449999999999998E-2</v>
      </c>
      <c r="ER68">
        <f t="shared" si="1650"/>
        <v>5.3000000000000005E-2</v>
      </c>
      <c r="ES68">
        <f t="shared" si="1651"/>
        <v>3.8699999999999998E-2</v>
      </c>
      <c r="ET68">
        <f t="shared" si="1652"/>
        <v>1.7899999999999999E-2</v>
      </c>
      <c r="EU68">
        <f t="shared" si="1653"/>
        <v>1.865E-2</v>
      </c>
      <c r="EV68">
        <f t="shared" si="1654"/>
        <v>0</v>
      </c>
      <c r="EW68">
        <f t="shared" si="1655"/>
        <v>0</v>
      </c>
      <c r="EX68">
        <f t="shared" si="1656"/>
        <v>0</v>
      </c>
      <c r="EY68">
        <f t="shared" si="1657"/>
        <v>3.9149999999999997E-2</v>
      </c>
      <c r="EZ68">
        <f t="shared" si="1658"/>
        <v>4.4999999999999999E-4</v>
      </c>
      <c r="FA68">
        <f t="shared" si="1659"/>
        <v>8.3500000000000015E-3</v>
      </c>
      <c r="FB68">
        <f t="shared" si="1660"/>
        <v>7.3000000000000001E-3</v>
      </c>
      <c r="FC68">
        <f t="shared" si="1661"/>
        <v>1.46E-2</v>
      </c>
      <c r="FD68">
        <f t="shared" si="1662"/>
        <v>1.32E-2</v>
      </c>
      <c r="FE68">
        <f t="shared" si="1663"/>
        <v>3.8E-3</v>
      </c>
      <c r="FF68">
        <f t="shared" si="1664"/>
        <v>3.5999999999999999E-3</v>
      </c>
      <c r="FG68">
        <f t="shared" si="1665"/>
        <v>8.0499999999999999E-3</v>
      </c>
      <c r="FH68">
        <f t="shared" si="1666"/>
        <v>6.7000000000000002E-3</v>
      </c>
      <c r="FI68">
        <f t="shared" si="1667"/>
        <v>9.4500000000000001E-3</v>
      </c>
      <c r="FJ68">
        <f t="shared" si="1668"/>
        <v>1.26E-2</v>
      </c>
      <c r="FK68">
        <f t="shared" si="1669"/>
        <v>5.9499999999999996E-3</v>
      </c>
      <c r="FL68">
        <f t="shared" si="1670"/>
        <v>8.2000000000000007E-3</v>
      </c>
      <c r="FM68">
        <f t="shared" si="1671"/>
        <v>1.9500000000000003E-2</v>
      </c>
      <c r="FN68">
        <f t="shared" si="1672"/>
        <v>3.6200000000000003E-2</v>
      </c>
      <c r="FO68">
        <f t="shared" si="1673"/>
        <v>1.14E-2</v>
      </c>
      <c r="FP68">
        <f t="shared" si="1674"/>
        <v>1.7749999999999998E-2</v>
      </c>
      <c r="FQ68">
        <f t="shared" si="1675"/>
        <v>1.0200000000000001E-2</v>
      </c>
      <c r="FR68">
        <f t="shared" si="1676"/>
        <v>2.3499999999999997E-2</v>
      </c>
      <c r="FS68">
        <f t="shared" si="1677"/>
        <v>1.1500000000000002E-2</v>
      </c>
      <c r="FT68">
        <f t="shared" si="1678"/>
        <v>0</v>
      </c>
      <c r="FU68">
        <f t="shared" si="1679"/>
        <v>1.0500000000000001E-2</v>
      </c>
      <c r="FV68">
        <f t="shared" si="1680"/>
        <v>0</v>
      </c>
      <c r="FW68">
        <f t="shared" si="1681"/>
        <v>0</v>
      </c>
    </row>
    <row r="69" spans="1:179" x14ac:dyDescent="0.35">
      <c r="B69" s="73" t="s">
        <v>408</v>
      </c>
      <c r="C69" s="8">
        <v>5</v>
      </c>
      <c r="D69" s="48">
        <v>77</v>
      </c>
      <c r="E69" s="48">
        <v>321</v>
      </c>
      <c r="F69" s="48">
        <v>0</v>
      </c>
      <c r="G69" s="49">
        <v>0</v>
      </c>
      <c r="H69" s="49">
        <v>0</v>
      </c>
      <c r="I69" s="48">
        <v>0</v>
      </c>
      <c r="J69" s="49">
        <v>0</v>
      </c>
      <c r="K69" s="49">
        <v>0</v>
      </c>
      <c r="L69" s="48">
        <v>0</v>
      </c>
      <c r="M69" s="48">
        <v>19.2</v>
      </c>
      <c r="N69" s="50">
        <v>0.75</v>
      </c>
      <c r="O69" s="48">
        <v>10</v>
      </c>
      <c r="P69" s="48">
        <v>0</v>
      </c>
      <c r="Q69" s="48">
        <v>0</v>
      </c>
      <c r="R69" s="48">
        <v>78.5</v>
      </c>
      <c r="S69" s="48">
        <v>5.3</v>
      </c>
      <c r="T69" s="48">
        <v>107</v>
      </c>
      <c r="U69" s="48">
        <v>1300</v>
      </c>
      <c r="V69" s="48">
        <v>800</v>
      </c>
      <c r="W69" s="48">
        <v>60</v>
      </c>
      <c r="X69" s="48">
        <v>0.19</v>
      </c>
      <c r="Y69" s="48">
        <v>13</v>
      </c>
      <c r="Z69" s="48">
        <v>0.2</v>
      </c>
      <c r="AA69" s="48">
        <v>0.5</v>
      </c>
      <c r="AB69" s="50">
        <v>1640</v>
      </c>
      <c r="AC69" s="50">
        <v>1.6</v>
      </c>
      <c r="AD69" s="50">
        <v>680</v>
      </c>
      <c r="AE69" s="50">
        <v>31</v>
      </c>
      <c r="AF69" s="48">
        <v>7.0000000000000007E-2</v>
      </c>
      <c r="AG69" s="48">
        <v>0.13</v>
      </c>
      <c r="AH69" s="48">
        <v>13</v>
      </c>
      <c r="AI69" s="48">
        <v>0.7</v>
      </c>
      <c r="AJ69" s="48">
        <v>0</v>
      </c>
      <c r="AK69" s="48">
        <v>8</v>
      </c>
      <c r="AL69" s="50">
        <v>0</v>
      </c>
      <c r="AM69" s="50">
        <v>1</v>
      </c>
      <c r="AN69" s="48">
        <v>0</v>
      </c>
      <c r="AO69" s="48">
        <v>8.5</v>
      </c>
      <c r="AP69" s="48">
        <v>1</v>
      </c>
      <c r="AQ69" s="48">
        <v>45</v>
      </c>
      <c r="AR69" s="48">
        <v>0.08</v>
      </c>
      <c r="AS69" s="48">
        <v>0</v>
      </c>
      <c r="AT69" s="48">
        <v>1</v>
      </c>
      <c r="AU69" s="48">
        <v>0</v>
      </c>
      <c r="AV69" s="44">
        <v>0</v>
      </c>
      <c r="AW69" s="48">
        <v>0</v>
      </c>
      <c r="AX69" s="48">
        <v>0</v>
      </c>
      <c r="AY69" s="48">
        <v>0</v>
      </c>
      <c r="AZ69" s="48">
        <v>0</v>
      </c>
      <c r="BA69" s="43">
        <v>0</v>
      </c>
      <c r="BB69" s="43">
        <v>0</v>
      </c>
      <c r="BC69" s="48">
        <v>0</v>
      </c>
      <c r="BD69" s="43">
        <v>0</v>
      </c>
      <c r="BE69" s="48">
        <v>0</v>
      </c>
      <c r="BF69" s="48">
        <v>0</v>
      </c>
      <c r="BG69" s="48">
        <v>0</v>
      </c>
      <c r="BH69" s="48">
        <v>0</v>
      </c>
      <c r="BI69" s="48">
        <v>0</v>
      </c>
      <c r="BJ69" s="43">
        <v>0</v>
      </c>
      <c r="BK69" s="43">
        <v>0</v>
      </c>
      <c r="BL69" s="48">
        <v>0</v>
      </c>
      <c r="BM69" s="48">
        <v>0</v>
      </c>
      <c r="BN69" s="48">
        <v>0</v>
      </c>
      <c r="BO69" s="44">
        <v>0</v>
      </c>
      <c r="BP69" s="43">
        <v>7.0000000000000001E-3</v>
      </c>
      <c r="BQ69" s="43">
        <v>9.2999999999999999E-2</v>
      </c>
      <c r="BR69" s="43">
        <v>0.08</v>
      </c>
      <c r="BS69" s="43">
        <v>0.1565</v>
      </c>
      <c r="BT69" s="43">
        <v>0.14349999999999999</v>
      </c>
      <c r="BU69" s="43">
        <v>4.0500000000000001E-2</v>
      </c>
      <c r="BV69" s="43">
        <v>3.85E-2</v>
      </c>
      <c r="BW69" s="43">
        <v>9.0999999999999998E-2</v>
      </c>
      <c r="BX69" s="43">
        <v>7.1499999999999994E-2</v>
      </c>
      <c r="BY69" s="43">
        <v>0.10150000000000001</v>
      </c>
      <c r="BZ69" s="43">
        <v>0.13400000000000001</v>
      </c>
      <c r="CA69" s="43">
        <v>6.6000000000000003E-2</v>
      </c>
      <c r="CB69" s="43">
        <v>9.8500000000000004E-2</v>
      </c>
      <c r="CC69" s="43">
        <v>0.26150000000000001</v>
      </c>
      <c r="CD69" s="43">
        <v>0.53649999999999998</v>
      </c>
      <c r="CE69" s="43">
        <v>0.122</v>
      </c>
      <c r="CF69" s="43">
        <v>0.1835</v>
      </c>
      <c r="CG69" s="43">
        <v>0.11249999999999999</v>
      </c>
      <c r="CH69" s="50">
        <v>3.68</v>
      </c>
      <c r="CI69" s="50">
        <v>3.976</v>
      </c>
      <c r="CJ69" s="47">
        <v>0</v>
      </c>
      <c r="CK69" s="50">
        <v>2.34</v>
      </c>
      <c r="CL69" s="50">
        <v>0</v>
      </c>
      <c r="CM69" s="47">
        <v>0</v>
      </c>
      <c r="CN69">
        <f t="shared" si="1594"/>
        <v>3.85</v>
      </c>
      <c r="CO69">
        <f t="shared" si="1595"/>
        <v>16.05</v>
      </c>
      <c r="CP69">
        <f t="shared" si="1596"/>
        <v>0</v>
      </c>
      <c r="CQ69">
        <f t="shared" si="1597"/>
        <v>0</v>
      </c>
      <c r="CR69">
        <f t="shared" si="1598"/>
        <v>0</v>
      </c>
      <c r="CS69">
        <f t="shared" si="1599"/>
        <v>0</v>
      </c>
      <c r="CT69">
        <f t="shared" si="1600"/>
        <v>0</v>
      </c>
      <c r="CU69">
        <f t="shared" si="1601"/>
        <v>0</v>
      </c>
      <c r="CV69">
        <f t="shared" si="1602"/>
        <v>0</v>
      </c>
      <c r="CW69">
        <f t="shared" si="1603"/>
        <v>0.96</v>
      </c>
      <c r="CX69">
        <f t="shared" si="1604"/>
        <v>3.7499999999999999E-2</v>
      </c>
      <c r="CY69">
        <f t="shared" si="1605"/>
        <v>0.5</v>
      </c>
      <c r="CZ69">
        <f t="shared" si="1606"/>
        <v>0</v>
      </c>
      <c r="DA69">
        <f t="shared" si="1607"/>
        <v>0</v>
      </c>
      <c r="DB69">
        <f t="shared" si="1608"/>
        <v>3.9249999999999998</v>
      </c>
      <c r="DC69">
        <f t="shared" si="1609"/>
        <v>0.26500000000000001</v>
      </c>
      <c r="DD69">
        <f t="shared" si="1610"/>
        <v>5.35</v>
      </c>
      <c r="DE69">
        <f t="shared" si="1611"/>
        <v>65</v>
      </c>
      <c r="DF69">
        <f t="shared" si="1612"/>
        <v>40</v>
      </c>
      <c r="DG69">
        <f t="shared" si="1613"/>
        <v>3</v>
      </c>
      <c r="DH69">
        <f t="shared" si="1614"/>
        <v>9.4999999999999998E-3</v>
      </c>
      <c r="DI69">
        <f t="shared" si="1615"/>
        <v>0.65</v>
      </c>
      <c r="DJ69">
        <f t="shared" si="1616"/>
        <v>0.01</v>
      </c>
      <c r="DK69">
        <f t="shared" si="1617"/>
        <v>2.5000000000000001E-2</v>
      </c>
      <c r="DL69">
        <f t="shared" si="1618"/>
        <v>82</v>
      </c>
      <c r="DM69">
        <f t="shared" si="1619"/>
        <v>0.08</v>
      </c>
      <c r="DN69">
        <f t="shared" si="1620"/>
        <v>34</v>
      </c>
      <c r="DO69">
        <f t="shared" si="1621"/>
        <v>1.55</v>
      </c>
      <c r="DP69">
        <f t="shared" si="1622"/>
        <v>3.5000000000000005E-3</v>
      </c>
      <c r="DQ69">
        <f t="shared" si="1623"/>
        <v>6.5000000000000006E-3</v>
      </c>
      <c r="DR69">
        <f t="shared" si="1624"/>
        <v>0.65</v>
      </c>
      <c r="DS69">
        <f t="shared" si="1625"/>
        <v>3.5000000000000003E-2</v>
      </c>
      <c r="DT69">
        <f t="shared" si="1626"/>
        <v>0</v>
      </c>
      <c r="DU69">
        <f t="shared" si="1627"/>
        <v>0.4</v>
      </c>
      <c r="DV69">
        <f t="shared" si="1628"/>
        <v>0</v>
      </c>
      <c r="DW69">
        <f t="shared" si="1629"/>
        <v>0.05</v>
      </c>
      <c r="DX69">
        <f t="shared" si="1630"/>
        <v>0</v>
      </c>
      <c r="DY69">
        <f t="shared" si="1631"/>
        <v>0.42499999999999999</v>
      </c>
      <c r="DZ69">
        <f t="shared" si="1632"/>
        <v>0.05</v>
      </c>
      <c r="EA69">
        <f t="shared" si="1633"/>
        <v>2.25</v>
      </c>
      <c r="EB69">
        <f t="shared" si="1634"/>
        <v>4.0000000000000001E-3</v>
      </c>
      <c r="EC69">
        <f t="shared" si="1635"/>
        <v>0</v>
      </c>
      <c r="ED69">
        <f t="shared" si="1636"/>
        <v>0.05</v>
      </c>
      <c r="EE69">
        <f t="shared" si="1637"/>
        <v>0</v>
      </c>
      <c r="EF69">
        <f t="shared" si="1638"/>
        <v>0</v>
      </c>
      <c r="EG69">
        <f t="shared" si="1639"/>
        <v>0</v>
      </c>
      <c r="EH69">
        <f t="shared" si="1640"/>
        <v>0</v>
      </c>
      <c r="EI69">
        <f t="shared" si="1641"/>
        <v>0</v>
      </c>
      <c r="EJ69">
        <f t="shared" si="1642"/>
        <v>0</v>
      </c>
      <c r="EK69">
        <f t="shared" si="1643"/>
        <v>0</v>
      </c>
      <c r="EL69">
        <f t="shared" si="1644"/>
        <v>0</v>
      </c>
      <c r="EM69">
        <f t="shared" si="1645"/>
        <v>0</v>
      </c>
      <c r="EN69">
        <f t="shared" si="1646"/>
        <v>0</v>
      </c>
      <c r="EO69">
        <f t="shared" si="1647"/>
        <v>0</v>
      </c>
      <c r="EP69">
        <f t="shared" si="1648"/>
        <v>0</v>
      </c>
      <c r="EQ69">
        <f t="shared" si="1649"/>
        <v>0</v>
      </c>
      <c r="ER69">
        <f t="shared" si="1650"/>
        <v>0</v>
      </c>
      <c r="ES69">
        <f t="shared" si="1651"/>
        <v>0</v>
      </c>
      <c r="ET69">
        <f t="shared" si="1652"/>
        <v>0</v>
      </c>
      <c r="EU69">
        <f t="shared" si="1653"/>
        <v>0</v>
      </c>
      <c r="EV69">
        <f t="shared" si="1654"/>
        <v>0</v>
      </c>
      <c r="EW69">
        <f t="shared" si="1655"/>
        <v>0</v>
      </c>
      <c r="EX69">
        <f t="shared" si="1656"/>
        <v>0</v>
      </c>
      <c r="EY69">
        <f t="shared" si="1657"/>
        <v>0</v>
      </c>
      <c r="EZ69">
        <f t="shared" si="1658"/>
        <v>3.5000000000000005E-4</v>
      </c>
      <c r="FA69">
        <f t="shared" si="1659"/>
        <v>4.6499999999999996E-3</v>
      </c>
      <c r="FB69">
        <f t="shared" si="1660"/>
        <v>4.0000000000000001E-3</v>
      </c>
      <c r="FC69">
        <f t="shared" si="1661"/>
        <v>7.8250000000000004E-3</v>
      </c>
      <c r="FD69">
        <f t="shared" si="1662"/>
        <v>7.1749999999999991E-3</v>
      </c>
      <c r="FE69">
        <f t="shared" si="1663"/>
        <v>2.0250000000000003E-3</v>
      </c>
      <c r="FF69">
        <f t="shared" si="1664"/>
        <v>1.9250000000000001E-3</v>
      </c>
      <c r="FG69">
        <f t="shared" si="1665"/>
        <v>4.5499999999999994E-3</v>
      </c>
      <c r="FH69">
        <f t="shared" si="1666"/>
        <v>3.5750000000000001E-3</v>
      </c>
      <c r="FI69">
        <f t="shared" si="1667"/>
        <v>5.0750000000000005E-3</v>
      </c>
      <c r="FJ69">
        <f t="shared" si="1668"/>
        <v>6.7000000000000002E-3</v>
      </c>
      <c r="FK69">
        <f t="shared" si="1669"/>
        <v>3.3E-3</v>
      </c>
      <c r="FL69">
        <f t="shared" si="1670"/>
        <v>4.9250000000000006E-3</v>
      </c>
      <c r="FM69">
        <f t="shared" si="1671"/>
        <v>1.3075000000000002E-2</v>
      </c>
      <c r="FN69">
        <f t="shared" si="1672"/>
        <v>2.6825000000000002E-2</v>
      </c>
      <c r="FO69">
        <f t="shared" si="1673"/>
        <v>6.0999999999999995E-3</v>
      </c>
      <c r="FP69">
        <f t="shared" si="1674"/>
        <v>9.1749999999999991E-3</v>
      </c>
      <c r="FQ69">
        <f t="shared" si="1675"/>
        <v>5.6249999999999998E-3</v>
      </c>
      <c r="FR69">
        <f t="shared" si="1676"/>
        <v>0.18400000000000002</v>
      </c>
      <c r="FS69">
        <f t="shared" si="1677"/>
        <v>0.19879999999999998</v>
      </c>
      <c r="FT69">
        <f t="shared" si="1678"/>
        <v>0</v>
      </c>
      <c r="FU69">
        <f t="shared" si="1679"/>
        <v>0.11699999999999999</v>
      </c>
      <c r="FV69">
        <f t="shared" si="1680"/>
        <v>0</v>
      </c>
      <c r="FW69">
        <f t="shared" si="1681"/>
        <v>0</v>
      </c>
    </row>
    <row r="70" spans="1:179" x14ac:dyDescent="0.35">
      <c r="B70" s="10"/>
      <c r="C70">
        <f>SUM(C64:C69)</f>
        <v>100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3"/>
      <c r="CI70" s="33"/>
      <c r="CJ70" s="33"/>
      <c r="CK70" s="33"/>
      <c r="CL70" s="33"/>
      <c r="CM70" s="33"/>
      <c r="CN70">
        <f t="shared" ref="CN70:EY70" si="1682">SUM(CN64:CN69)</f>
        <v>626.80000000000007</v>
      </c>
      <c r="CO70">
        <f t="shared" si="1682"/>
        <v>2578.6000000000004</v>
      </c>
      <c r="CP70">
        <f t="shared" si="1682"/>
        <v>1.8620000000000001</v>
      </c>
      <c r="CQ70">
        <f t="shared" si="1682"/>
        <v>1.58</v>
      </c>
      <c r="CR70">
        <f t="shared" si="1682"/>
        <v>0.28200000000000003</v>
      </c>
      <c r="CS70">
        <f t="shared" si="1682"/>
        <v>68.027000000000001</v>
      </c>
      <c r="CT70">
        <f t="shared" si="1682"/>
        <v>2.91</v>
      </c>
      <c r="CU70">
        <f t="shared" si="1682"/>
        <v>65.117000000000004</v>
      </c>
      <c r="CV70">
        <f t="shared" si="1682"/>
        <v>133.69999999999999</v>
      </c>
      <c r="CW70">
        <f t="shared" si="1682"/>
        <v>1.6665000000000001</v>
      </c>
      <c r="CX70">
        <f t="shared" si="1682"/>
        <v>6.9500000000000006E-2</v>
      </c>
      <c r="CY70">
        <f t="shared" si="1682"/>
        <v>0.90100000000000002</v>
      </c>
      <c r="CZ70">
        <f t="shared" si="1682"/>
        <v>0.73</v>
      </c>
      <c r="DA70">
        <f t="shared" si="1682"/>
        <v>0</v>
      </c>
      <c r="DB70">
        <f t="shared" si="1682"/>
        <v>26.72</v>
      </c>
      <c r="DC70">
        <f t="shared" si="1682"/>
        <v>1.0255000000000001</v>
      </c>
      <c r="DD70">
        <f t="shared" si="1682"/>
        <v>28.199999999999996</v>
      </c>
      <c r="DE70">
        <f t="shared" si="1682"/>
        <v>125.125</v>
      </c>
      <c r="DF70">
        <f t="shared" si="1682"/>
        <v>78.924999999999997</v>
      </c>
      <c r="DG70">
        <f t="shared" si="1682"/>
        <v>68.600000000000009</v>
      </c>
      <c r="DH70">
        <f t="shared" si="1682"/>
        <v>0.26774999999999999</v>
      </c>
      <c r="DI70">
        <f t="shared" si="1682"/>
        <v>6.2249999999999996</v>
      </c>
      <c r="DJ70">
        <f t="shared" si="1682"/>
        <v>5.7800000000000004E-2</v>
      </c>
      <c r="DK70">
        <f t="shared" si="1682"/>
        <v>2.8675000000000002</v>
      </c>
      <c r="DL70">
        <f t="shared" si="1682"/>
        <v>274.375</v>
      </c>
      <c r="DM70">
        <f t="shared" si="1682"/>
        <v>14.530000000000001</v>
      </c>
      <c r="DN70">
        <f t="shared" si="1682"/>
        <v>34.036349999999999</v>
      </c>
      <c r="DO70">
        <f t="shared" si="1682"/>
        <v>20.8</v>
      </c>
      <c r="DP70">
        <f t="shared" si="1682"/>
        <v>4.4350000000000001E-2</v>
      </c>
      <c r="DQ70">
        <f t="shared" si="1682"/>
        <v>5.1000000000000004E-2</v>
      </c>
      <c r="DR70">
        <f t="shared" si="1682"/>
        <v>11.415000000000001</v>
      </c>
      <c r="DS70">
        <f t="shared" si="1682"/>
        <v>0.11325</v>
      </c>
      <c r="DT70">
        <f t="shared" si="1682"/>
        <v>5.0349999999999999E-2</v>
      </c>
      <c r="DU70">
        <f t="shared" si="1682"/>
        <v>16.024999999999999</v>
      </c>
      <c r="DV70">
        <f t="shared" si="1682"/>
        <v>0.50190000000000001</v>
      </c>
      <c r="DW70">
        <f t="shared" si="1682"/>
        <v>5.1074999999999999</v>
      </c>
      <c r="DX70">
        <f t="shared" si="1682"/>
        <v>0.69</v>
      </c>
      <c r="DY70">
        <f t="shared" si="1682"/>
        <v>88.616666666666674</v>
      </c>
      <c r="DZ70">
        <f t="shared" si="1682"/>
        <v>60.75</v>
      </c>
      <c r="EA70">
        <f t="shared" si="1682"/>
        <v>167.20000000000002</v>
      </c>
      <c r="EB70">
        <f t="shared" si="1682"/>
        <v>14.280090000000001</v>
      </c>
      <c r="EC70">
        <f t="shared" si="1682"/>
        <v>0.49400000000000005</v>
      </c>
      <c r="ED70">
        <f t="shared" si="1682"/>
        <v>37.4955</v>
      </c>
      <c r="EE70">
        <f t="shared" si="1682"/>
        <v>10.393650000000001</v>
      </c>
      <c r="EF70">
        <f t="shared" si="1682"/>
        <v>2.5000000000000001E-4</v>
      </c>
      <c r="EG70">
        <f t="shared" si="1682"/>
        <v>1E-4</v>
      </c>
      <c r="EH70">
        <f t="shared" si="1682"/>
        <v>8.2500000000000004E-3</v>
      </c>
      <c r="EI70">
        <f t="shared" si="1682"/>
        <v>7.5216000000000003</v>
      </c>
      <c r="EJ70">
        <f t="shared" si="1682"/>
        <v>2.3639999999999999</v>
      </c>
      <c r="EK70">
        <f t="shared" si="1682"/>
        <v>0.495</v>
      </c>
      <c r="EL70">
        <f t="shared" si="1682"/>
        <v>8.0000000000000004E-4</v>
      </c>
      <c r="EM70">
        <f t="shared" si="1682"/>
        <v>48.356049999999996</v>
      </c>
      <c r="EN70">
        <f t="shared" si="1682"/>
        <v>0</v>
      </c>
      <c r="EO70">
        <f t="shared" si="1682"/>
        <v>0.57994999999999997</v>
      </c>
      <c r="EP70">
        <f t="shared" si="1682"/>
        <v>47.517899999999997</v>
      </c>
      <c r="EQ70">
        <f t="shared" si="1682"/>
        <v>0.20294999999999996</v>
      </c>
      <c r="ER70">
        <f t="shared" si="1682"/>
        <v>5.3000000000000005E-2</v>
      </c>
      <c r="ES70">
        <f t="shared" si="1682"/>
        <v>5.3941500000000007</v>
      </c>
      <c r="ET70">
        <f t="shared" si="1682"/>
        <v>4.8175499999999998</v>
      </c>
      <c r="EU70">
        <f t="shared" si="1682"/>
        <v>0.50544999999999995</v>
      </c>
      <c r="EV70">
        <f t="shared" si="1682"/>
        <v>6.8000000000000005E-2</v>
      </c>
      <c r="EW70">
        <f t="shared" si="1682"/>
        <v>0</v>
      </c>
      <c r="EX70">
        <f t="shared" si="1682"/>
        <v>0</v>
      </c>
      <c r="EY70">
        <f t="shared" si="1682"/>
        <v>4.0149999999999998E-2</v>
      </c>
      <c r="EZ70">
        <f t="shared" ref="EZ70:FW70" si="1683">SUM(EZ64:EZ69)</f>
        <v>24.250800000000002</v>
      </c>
      <c r="FA70">
        <f t="shared" si="1683"/>
        <v>83.96299999999998</v>
      </c>
      <c r="FB70">
        <f t="shared" si="1683"/>
        <v>86.861300000000014</v>
      </c>
      <c r="FC70">
        <f t="shared" si="1683"/>
        <v>137.12242499999999</v>
      </c>
      <c r="FD70">
        <f t="shared" si="1683"/>
        <v>129.770375</v>
      </c>
      <c r="FE70">
        <f t="shared" si="1683"/>
        <v>43.555825000000006</v>
      </c>
      <c r="FF70">
        <f t="shared" si="1683"/>
        <v>34.055524999999996</v>
      </c>
      <c r="FG70">
        <f t="shared" si="1683"/>
        <v>74.062599999999989</v>
      </c>
      <c r="FH70">
        <f t="shared" si="1683"/>
        <v>68.210274999999996</v>
      </c>
      <c r="FI70">
        <f t="shared" si="1683"/>
        <v>102.71452500000001</v>
      </c>
      <c r="FJ70">
        <f t="shared" si="1683"/>
        <v>116.0193</v>
      </c>
      <c r="FK70">
        <f t="shared" si="1683"/>
        <v>40.759250000000002</v>
      </c>
      <c r="FL70">
        <f t="shared" si="1683"/>
        <v>93.413124999999994</v>
      </c>
      <c r="FM70">
        <f t="shared" si="1683"/>
        <v>165.53257499999998</v>
      </c>
      <c r="FN70">
        <f t="shared" si="1683"/>
        <v>199.413025</v>
      </c>
      <c r="FO70">
        <f t="shared" si="1683"/>
        <v>58.117500000000007</v>
      </c>
      <c r="FP70">
        <f t="shared" si="1683"/>
        <v>73.576925000000003</v>
      </c>
      <c r="FQ70">
        <f t="shared" si="1683"/>
        <v>119.665825</v>
      </c>
      <c r="FR70">
        <f t="shared" si="1683"/>
        <v>0.34250000000000003</v>
      </c>
      <c r="FS70">
        <f t="shared" si="1683"/>
        <v>0.38029999999999997</v>
      </c>
      <c r="FT70">
        <f t="shared" si="1683"/>
        <v>0</v>
      </c>
      <c r="FU70">
        <f t="shared" si="1683"/>
        <v>0.17249999999999999</v>
      </c>
      <c r="FV70">
        <f t="shared" si="1683"/>
        <v>0</v>
      </c>
      <c r="FW70">
        <f t="shared" si="1683"/>
        <v>0</v>
      </c>
    </row>
    <row r="71" spans="1:179" x14ac:dyDescent="0.35">
      <c r="B71" s="10"/>
    </row>
    <row r="72" spans="1:179" x14ac:dyDescent="0.35">
      <c r="A72" s="80" t="s">
        <v>438</v>
      </c>
      <c r="B72" s="72" t="s">
        <v>439</v>
      </c>
      <c r="C72" s="8">
        <v>3</v>
      </c>
      <c r="D72" s="54">
        <v>22</v>
      </c>
      <c r="E72" s="54">
        <v>93</v>
      </c>
      <c r="F72" s="54">
        <v>1.8</v>
      </c>
      <c r="G72" s="54">
        <v>0</v>
      </c>
      <c r="H72" s="54">
        <v>1.8</v>
      </c>
      <c r="I72" s="54">
        <v>0.4</v>
      </c>
      <c r="J72" s="54">
        <v>0</v>
      </c>
      <c r="K72" s="54">
        <v>0.4</v>
      </c>
      <c r="L72" s="54">
        <v>0</v>
      </c>
      <c r="M72" s="54">
        <v>2.2000000000000002</v>
      </c>
      <c r="N72" s="54">
        <v>0</v>
      </c>
      <c r="O72" s="54">
        <v>2.2000000000000002</v>
      </c>
      <c r="P72" s="54">
        <v>1.5</v>
      </c>
      <c r="Q72" s="54">
        <v>0</v>
      </c>
      <c r="R72" s="54">
        <v>94.3</v>
      </c>
      <c r="S72" s="54">
        <v>0.8</v>
      </c>
      <c r="T72" s="54">
        <v>45</v>
      </c>
      <c r="U72" s="54">
        <v>9</v>
      </c>
      <c r="V72" s="54">
        <v>240</v>
      </c>
      <c r="W72" s="54">
        <v>31</v>
      </c>
      <c r="X72" s="54">
        <v>0.2</v>
      </c>
      <c r="Y72" s="81">
        <v>0</v>
      </c>
      <c r="Z72" s="81">
        <v>0</v>
      </c>
      <c r="AA72" s="81">
        <v>0</v>
      </c>
      <c r="AB72" s="81">
        <v>0</v>
      </c>
      <c r="AC72" s="81">
        <v>0</v>
      </c>
      <c r="AD72" s="81">
        <v>0</v>
      </c>
      <c r="AE72" s="81">
        <v>0</v>
      </c>
      <c r="AF72" s="54">
        <v>0.05</v>
      </c>
      <c r="AG72" s="54">
        <v>0.18</v>
      </c>
      <c r="AH72" s="54">
        <v>6</v>
      </c>
      <c r="AI72" s="54">
        <v>0.7</v>
      </c>
      <c r="AJ72" s="54">
        <v>0.05</v>
      </c>
      <c r="AK72" s="54">
        <v>64</v>
      </c>
      <c r="AL72" s="81">
        <v>0</v>
      </c>
      <c r="AM72" s="81">
        <v>0</v>
      </c>
      <c r="AN72" s="81">
        <v>0</v>
      </c>
      <c r="AO72" s="54">
        <v>229</v>
      </c>
      <c r="AP72" s="54">
        <v>0</v>
      </c>
      <c r="AQ72" s="54">
        <v>1374</v>
      </c>
      <c r="AR72" s="54">
        <v>0.66</v>
      </c>
      <c r="AS72" s="54">
        <v>0</v>
      </c>
      <c r="AT72" s="81">
        <v>0</v>
      </c>
      <c r="AU72" s="54">
        <v>0.05</v>
      </c>
      <c r="AV72" s="81">
        <v>0</v>
      </c>
      <c r="AW72" s="81">
        <v>0</v>
      </c>
      <c r="AX72" s="81">
        <v>0</v>
      </c>
      <c r="AY72" s="81">
        <v>0</v>
      </c>
      <c r="AZ72" s="81">
        <v>0</v>
      </c>
      <c r="BA72" s="81">
        <v>0</v>
      </c>
      <c r="BB72" s="81">
        <v>0</v>
      </c>
      <c r="BC72" s="54">
        <v>0.01</v>
      </c>
      <c r="BD72" s="82">
        <v>0</v>
      </c>
      <c r="BE72" s="82">
        <v>0</v>
      </c>
      <c r="BF72" s="54">
        <v>0.01</v>
      </c>
      <c r="BG72" s="82">
        <v>0</v>
      </c>
      <c r="BH72" s="82">
        <v>0</v>
      </c>
      <c r="BI72" s="54">
        <v>0.21</v>
      </c>
      <c r="BJ72" s="54">
        <v>0.06</v>
      </c>
      <c r="BK72" s="54">
        <v>0.15</v>
      </c>
      <c r="BL72" s="82">
        <v>0</v>
      </c>
      <c r="BM72" s="82">
        <v>0</v>
      </c>
      <c r="BN72" s="82">
        <v>0</v>
      </c>
      <c r="BO72" s="54">
        <v>0</v>
      </c>
      <c r="BP72" s="56">
        <v>16</v>
      </c>
      <c r="BQ72" s="56">
        <v>75</v>
      </c>
      <c r="BR72" s="56">
        <v>69</v>
      </c>
      <c r="BS72" s="56">
        <v>115</v>
      </c>
      <c r="BT72" s="56">
        <v>69</v>
      </c>
      <c r="BU72" s="56">
        <v>33</v>
      </c>
      <c r="BV72" s="88">
        <v>0</v>
      </c>
      <c r="BW72" s="56">
        <v>93</v>
      </c>
      <c r="BX72" s="56">
        <v>48</v>
      </c>
      <c r="BY72" s="56">
        <v>98</v>
      </c>
      <c r="BZ72" s="56">
        <v>82</v>
      </c>
      <c r="CA72" s="56">
        <v>29</v>
      </c>
      <c r="CB72" s="56">
        <v>78</v>
      </c>
      <c r="CC72" s="56">
        <v>209</v>
      </c>
      <c r="CD72" s="56">
        <v>186</v>
      </c>
      <c r="CE72" s="56">
        <v>75</v>
      </c>
      <c r="CF72" s="56">
        <v>94</v>
      </c>
      <c r="CG72" s="56">
        <v>60</v>
      </c>
      <c r="CH72" s="81">
        <v>0</v>
      </c>
      <c r="CI72" s="81">
        <v>0</v>
      </c>
      <c r="CJ72" s="83">
        <v>0</v>
      </c>
      <c r="CK72" s="81">
        <v>0</v>
      </c>
      <c r="CL72" s="81">
        <v>0</v>
      </c>
      <c r="CM72" s="83">
        <v>0</v>
      </c>
      <c r="CN72">
        <f t="shared" ref="CN72:CN73" si="1684">($C72*D72)/100</f>
        <v>0.66</v>
      </c>
      <c r="CO72">
        <f t="shared" ref="CO72:CO73" si="1685">($C72*E72)/100</f>
        <v>2.79</v>
      </c>
      <c r="CP72">
        <f t="shared" ref="CP72:CP73" si="1686">($C72*F72)/100</f>
        <v>5.4000000000000006E-2</v>
      </c>
      <c r="CQ72">
        <f t="shared" ref="CQ72:CQ73" si="1687">($C72*G72)/100</f>
        <v>0</v>
      </c>
      <c r="CR72">
        <f t="shared" ref="CR72:CR73" si="1688">($C72*H72)/100</f>
        <v>5.4000000000000006E-2</v>
      </c>
      <c r="CS72">
        <f t="shared" ref="CS72:CS73" si="1689">($C72*I72)/100</f>
        <v>1.2000000000000002E-2</v>
      </c>
      <c r="CT72">
        <f t="shared" ref="CT72:CT73" si="1690">($C72*J72)/100</f>
        <v>0</v>
      </c>
      <c r="CU72">
        <f t="shared" ref="CU72:CU73" si="1691">($C72*K72)/100</f>
        <v>1.2000000000000002E-2</v>
      </c>
      <c r="CV72">
        <f t="shared" ref="CV72:CV73" si="1692">($C72*L72)/100</f>
        <v>0</v>
      </c>
      <c r="CW72">
        <f t="shared" ref="CW72:CW73" si="1693">($C72*M72)/100</f>
        <v>6.6000000000000003E-2</v>
      </c>
      <c r="CX72">
        <f t="shared" ref="CX72:CX73" si="1694">($C72*N72)/100</f>
        <v>0</v>
      </c>
      <c r="CY72">
        <f t="shared" ref="CY72:CY73" si="1695">($C72*O72)/100</f>
        <v>6.6000000000000003E-2</v>
      </c>
      <c r="CZ72">
        <f t="shared" ref="CZ72:CZ73" si="1696">($C72*P72)/100</f>
        <v>4.4999999999999998E-2</v>
      </c>
      <c r="DA72">
        <f t="shared" ref="DA72:DA73" si="1697">($C72*Q72)/100</f>
        <v>0</v>
      </c>
      <c r="DB72">
        <f t="shared" ref="DB72:DB73" si="1698">($C72*R72)/100</f>
        <v>2.8289999999999997</v>
      </c>
      <c r="DC72">
        <f t="shared" ref="DC72:DC73" si="1699">($C72*S72)/100</f>
        <v>2.4000000000000004E-2</v>
      </c>
      <c r="DD72">
        <f t="shared" ref="DD72:DD73" si="1700">($C72*T72)/100</f>
        <v>1.35</v>
      </c>
      <c r="DE72">
        <f t="shared" ref="DE72:DE73" si="1701">($C72*U72)/100</f>
        <v>0.27</v>
      </c>
      <c r="DF72">
        <f t="shared" ref="DF72:DF73" si="1702">($C72*V72)/100</f>
        <v>7.2</v>
      </c>
      <c r="DG72">
        <f t="shared" ref="DG72:DG73" si="1703">($C72*W72)/100</f>
        <v>0.93</v>
      </c>
      <c r="DH72">
        <f t="shared" ref="DH72:DH73" si="1704">($C72*X72)/100</f>
        <v>6.000000000000001E-3</v>
      </c>
      <c r="DI72">
        <f t="shared" ref="DI72:DI73" si="1705">($C72*Y72)/100</f>
        <v>0</v>
      </c>
      <c r="DJ72">
        <f t="shared" ref="DJ72:DJ73" si="1706">($C72*Z72)/100</f>
        <v>0</v>
      </c>
      <c r="DK72">
        <f t="shared" ref="DK72:DK73" si="1707">($C72*AA72)/100</f>
        <v>0</v>
      </c>
      <c r="DL72">
        <f t="shared" ref="DL72:DL73" si="1708">($C72*AB72)/100</f>
        <v>0</v>
      </c>
      <c r="DM72">
        <f t="shared" ref="DM72:DM73" si="1709">($C72*AC72)/100</f>
        <v>0</v>
      </c>
      <c r="DN72">
        <f t="shared" ref="DN72:DN73" si="1710">($C72*AD72)/100</f>
        <v>0</v>
      </c>
      <c r="DO72">
        <f t="shared" ref="DO72:DO73" si="1711">($C72*AE72)/100</f>
        <v>0</v>
      </c>
      <c r="DP72">
        <f t="shared" ref="DP72:DP73" si="1712">($C72*AF72)/100</f>
        <v>1.5000000000000002E-3</v>
      </c>
      <c r="DQ72">
        <f t="shared" ref="DQ72:DQ73" si="1713">($C72*AG72)/100</f>
        <v>5.4000000000000003E-3</v>
      </c>
      <c r="DR72">
        <f t="shared" ref="DR72:DR73" si="1714">($C72*AH72)/100</f>
        <v>0.18</v>
      </c>
      <c r="DS72">
        <f t="shared" ref="DS72:DS73" si="1715">($C72*AI72)/100</f>
        <v>2.0999999999999998E-2</v>
      </c>
      <c r="DT72">
        <f t="shared" ref="DT72:DT73" si="1716">($C72*AJ72)/100</f>
        <v>1.5000000000000002E-3</v>
      </c>
      <c r="DU72">
        <f t="shared" ref="DU72:DU73" si="1717">($C72*AK72)/100</f>
        <v>1.92</v>
      </c>
      <c r="DV72">
        <f t="shared" ref="DV72:DV73" si="1718">($C72*AL72)/100</f>
        <v>0</v>
      </c>
      <c r="DW72">
        <f t="shared" ref="DW72:DW73" si="1719">($C72*AM72)/100</f>
        <v>0</v>
      </c>
      <c r="DX72">
        <f t="shared" ref="DX72:DX73" si="1720">($C72*AN72)/100</f>
        <v>0</v>
      </c>
      <c r="DY72">
        <f t="shared" ref="DY72:DY73" si="1721">($C72*AO72)/100</f>
        <v>6.87</v>
      </c>
      <c r="DZ72">
        <f t="shared" ref="DZ72:DZ73" si="1722">($C72*AP72)/100</f>
        <v>0</v>
      </c>
      <c r="EA72">
        <f t="shared" ref="EA72:EA73" si="1723">($C72*AQ72)/100</f>
        <v>41.22</v>
      </c>
      <c r="EB72">
        <f t="shared" ref="EB72:EB73" si="1724">($C72*AR72)/100</f>
        <v>1.9799999999999998E-2</v>
      </c>
      <c r="EC72">
        <f t="shared" ref="EC72:EC73" si="1725">($C72*AS72)/100</f>
        <v>0</v>
      </c>
      <c r="ED72">
        <f t="shared" ref="ED72:ED73" si="1726">($C72*AT72)/100</f>
        <v>0</v>
      </c>
      <c r="EE72">
        <f t="shared" ref="EE72:EE73" si="1727">($C72*AU72)/100</f>
        <v>1.5000000000000002E-3</v>
      </c>
      <c r="EF72">
        <f t="shared" ref="EF72:EF73" si="1728">($C72*AV72)/100</f>
        <v>0</v>
      </c>
      <c r="EG72">
        <f t="shared" ref="EG72:EG73" si="1729">($C72*AW72)/100</f>
        <v>0</v>
      </c>
      <c r="EH72">
        <f t="shared" ref="EH72:EH73" si="1730">($C72*AX72)/100</f>
        <v>0</v>
      </c>
      <c r="EI72">
        <f t="shared" ref="EI72:EI73" si="1731">($C72*AY72)/100</f>
        <v>0</v>
      </c>
      <c r="EJ72">
        <f t="shared" ref="EJ72:EJ73" si="1732">($C72*AZ72)/100</f>
        <v>0</v>
      </c>
      <c r="EK72">
        <f t="shared" ref="EK72:EK73" si="1733">($C72*BA72)/100</f>
        <v>0</v>
      </c>
      <c r="EL72">
        <f t="shared" ref="EL72:EL73" si="1734">($C72*BB72)/100</f>
        <v>0</v>
      </c>
      <c r="EM72">
        <f t="shared" ref="EM72:EM73" si="1735">($C72*BC72)/100</f>
        <v>2.9999999999999997E-4</v>
      </c>
      <c r="EN72">
        <f t="shared" ref="EN72:EN73" si="1736">($C72*BD72)/100</f>
        <v>0</v>
      </c>
      <c r="EO72">
        <f t="shared" ref="EO72:EO73" si="1737">($C72*BE72)/100</f>
        <v>0</v>
      </c>
      <c r="EP72">
        <f t="shared" ref="EP72:EP73" si="1738">($C72*BF72)/100</f>
        <v>2.9999999999999997E-4</v>
      </c>
      <c r="EQ72">
        <f t="shared" ref="EQ72:EQ73" si="1739">($C72*BG72)/100</f>
        <v>0</v>
      </c>
      <c r="ER72">
        <f t="shared" ref="ER72:ER73" si="1740">($C72*BH72)/100</f>
        <v>0</v>
      </c>
      <c r="ES72">
        <f t="shared" ref="ES72:ES73" si="1741">($C72*BI72)/100</f>
        <v>6.3E-3</v>
      </c>
      <c r="ET72">
        <f t="shared" ref="ET72:ET73" si="1742">($C72*BJ72)/100</f>
        <v>1.8E-3</v>
      </c>
      <c r="EU72">
        <f t="shared" ref="EU72:EU73" si="1743">($C72*BK72)/100</f>
        <v>4.4999999999999997E-3</v>
      </c>
      <c r="EV72">
        <f t="shared" ref="EV72:EV73" si="1744">($C72*BL72)/100</f>
        <v>0</v>
      </c>
      <c r="EW72">
        <f t="shared" ref="EW72:EW73" si="1745">($C72*BM72)/100</f>
        <v>0</v>
      </c>
      <c r="EX72">
        <f t="shared" ref="EX72:EX73" si="1746">($C72*BN72)/100</f>
        <v>0</v>
      </c>
      <c r="EY72">
        <f t="shared" ref="EY72:EY73" si="1747">($C72*BO72)/100</f>
        <v>0</v>
      </c>
      <c r="EZ72">
        <f t="shared" ref="EZ72:EZ73" si="1748">($C72*BP72)/100</f>
        <v>0.48</v>
      </c>
      <c r="FA72">
        <f t="shared" ref="FA72:FA73" si="1749">($C72*BQ72)/100</f>
        <v>2.25</v>
      </c>
      <c r="FB72">
        <f t="shared" ref="FB72:FB73" si="1750">($C72*BR72)/100</f>
        <v>2.0699999999999998</v>
      </c>
      <c r="FC72">
        <f t="shared" ref="FC72:FC73" si="1751">($C72*BS72)/100</f>
        <v>3.45</v>
      </c>
      <c r="FD72">
        <f t="shared" ref="FD72:FD73" si="1752">($C72*BT72)/100</f>
        <v>2.0699999999999998</v>
      </c>
      <c r="FE72">
        <f t="shared" ref="FE72:FE73" si="1753">($C72*BU72)/100</f>
        <v>0.99</v>
      </c>
      <c r="FF72">
        <f t="shared" ref="FF72:FF73" si="1754">($C72*BV72)/100</f>
        <v>0</v>
      </c>
      <c r="FG72">
        <f t="shared" ref="FG72:FG73" si="1755">($C72*BW72)/100</f>
        <v>2.79</v>
      </c>
      <c r="FH72">
        <f t="shared" ref="FH72:FH73" si="1756">($C72*BX72)/100</f>
        <v>1.44</v>
      </c>
      <c r="FI72">
        <f t="shared" ref="FI72:FI73" si="1757">($C72*BY72)/100</f>
        <v>2.94</v>
      </c>
      <c r="FJ72">
        <f t="shared" ref="FJ72:FJ73" si="1758">($C72*BZ72)/100</f>
        <v>2.46</v>
      </c>
      <c r="FK72">
        <f t="shared" ref="FK72:FK73" si="1759">($C72*CA72)/100</f>
        <v>0.87</v>
      </c>
      <c r="FL72">
        <f t="shared" ref="FL72:FL73" si="1760">($C72*CB72)/100</f>
        <v>2.34</v>
      </c>
      <c r="FM72">
        <f t="shared" ref="FM72:FM73" si="1761">($C72*CC72)/100</f>
        <v>6.27</v>
      </c>
      <c r="FN72">
        <f t="shared" ref="FN72:FN73" si="1762">($C72*CD72)/100</f>
        <v>5.58</v>
      </c>
      <c r="FO72">
        <f t="shared" ref="FO72:FO73" si="1763">($C72*CE72)/100</f>
        <v>2.25</v>
      </c>
      <c r="FP72">
        <f t="shared" ref="FP72:FP73" si="1764">($C72*CF72)/100</f>
        <v>2.82</v>
      </c>
      <c r="FQ72">
        <f t="shared" ref="FQ72:FQ73" si="1765">($C72*CG72)/100</f>
        <v>1.8</v>
      </c>
      <c r="FR72">
        <f t="shared" ref="FR72:FR73" si="1766">($C72*CH72)/100</f>
        <v>0</v>
      </c>
      <c r="FS72">
        <f t="shared" ref="FS72:FS73" si="1767">($C72*CI72)/100</f>
        <v>0</v>
      </c>
      <c r="FT72">
        <f t="shared" ref="FT72:FT73" si="1768">($C72*CJ72)/100</f>
        <v>0</v>
      </c>
      <c r="FU72">
        <f t="shared" ref="FU72:FU73" si="1769">($C72*CK72)/100</f>
        <v>0</v>
      </c>
      <c r="FV72">
        <f t="shared" ref="FV72:FV73" si="1770">($C72*CL72)/100</f>
        <v>0</v>
      </c>
      <c r="FW72">
        <f t="shared" ref="FW72:FW73" si="1771">($C72*CM72)/100</f>
        <v>0</v>
      </c>
    </row>
    <row r="73" spans="1:179" x14ac:dyDescent="0.35">
      <c r="B73" s="72" t="s">
        <v>313</v>
      </c>
      <c r="C73" s="8">
        <v>2</v>
      </c>
      <c r="D73" s="6">
        <v>387</v>
      </c>
      <c r="E73" s="6">
        <v>1609</v>
      </c>
      <c r="F73" s="6">
        <v>33.5</v>
      </c>
      <c r="G73" s="6">
        <v>33.5</v>
      </c>
      <c r="H73" s="6">
        <v>0</v>
      </c>
      <c r="I73" s="6">
        <v>28.1</v>
      </c>
      <c r="J73" s="6">
        <v>28.1</v>
      </c>
      <c r="K73" s="6">
        <v>0</v>
      </c>
      <c r="L73" s="6">
        <v>91</v>
      </c>
      <c r="M73" s="51">
        <v>0.05</v>
      </c>
      <c r="N73" s="6">
        <v>0</v>
      </c>
      <c r="O73" s="51">
        <v>0.05</v>
      </c>
      <c r="P73" s="6">
        <v>0</v>
      </c>
      <c r="Q73" s="6">
        <v>0</v>
      </c>
      <c r="R73" s="6">
        <v>30.4</v>
      </c>
      <c r="S73" s="6">
        <v>0.7</v>
      </c>
      <c r="T73" s="6">
        <v>1159</v>
      </c>
      <c r="U73" s="6">
        <v>556</v>
      </c>
      <c r="V73" s="6">
        <v>102</v>
      </c>
      <c r="W73" s="6">
        <v>678</v>
      </c>
      <c r="X73" s="6">
        <v>4</v>
      </c>
      <c r="Y73" s="6">
        <v>43</v>
      </c>
      <c r="Z73" s="6">
        <v>0.83</v>
      </c>
      <c r="AA73" s="6">
        <v>12</v>
      </c>
      <c r="AB73" s="6">
        <v>834</v>
      </c>
      <c r="AC73" s="6">
        <v>36</v>
      </c>
      <c r="AD73" s="6">
        <v>0.02</v>
      </c>
      <c r="AE73" s="6">
        <v>250</v>
      </c>
      <c r="AF73" s="6">
        <v>0.03</v>
      </c>
      <c r="AG73" s="6">
        <v>0.37</v>
      </c>
      <c r="AH73" s="6">
        <v>0</v>
      </c>
      <c r="AI73" s="6">
        <v>0.05</v>
      </c>
      <c r="AJ73" s="6">
        <v>0.11</v>
      </c>
      <c r="AK73" s="6">
        <v>5</v>
      </c>
      <c r="AL73" s="6">
        <v>0.32</v>
      </c>
      <c r="AM73" s="6">
        <v>23</v>
      </c>
      <c r="AN73" s="6">
        <v>4.2</v>
      </c>
      <c r="AO73" s="6">
        <v>298</v>
      </c>
      <c r="AP73" s="6">
        <v>278</v>
      </c>
      <c r="AQ73" s="6">
        <v>118</v>
      </c>
      <c r="AR73" s="6">
        <v>0.68</v>
      </c>
      <c r="AS73" s="6">
        <v>0.5</v>
      </c>
      <c r="AT73" s="6">
        <v>1.7</v>
      </c>
      <c r="AU73" s="6">
        <v>18.54</v>
      </c>
      <c r="AV73" s="6">
        <v>2.98</v>
      </c>
      <c r="AW73" s="6">
        <v>1.04</v>
      </c>
      <c r="AX73" s="6">
        <v>3.04</v>
      </c>
      <c r="AY73" s="6">
        <v>8.0399999999999991</v>
      </c>
      <c r="AZ73" s="6">
        <v>3.07</v>
      </c>
      <c r="BA73" s="6">
        <v>0</v>
      </c>
      <c r="BB73" s="6">
        <v>0</v>
      </c>
      <c r="BC73" s="6">
        <v>8.81</v>
      </c>
      <c r="BD73" s="6">
        <v>0</v>
      </c>
      <c r="BE73" s="6">
        <v>0.64</v>
      </c>
      <c r="BF73" s="6">
        <v>8.16</v>
      </c>
      <c r="BG73" s="6">
        <v>0</v>
      </c>
      <c r="BH73" s="6">
        <v>0</v>
      </c>
      <c r="BI73" s="6">
        <v>0.79</v>
      </c>
      <c r="BJ73" s="6">
        <v>0.38</v>
      </c>
      <c r="BK73" s="6">
        <v>0.42</v>
      </c>
      <c r="BL73" s="6">
        <v>0</v>
      </c>
      <c r="BM73" s="6">
        <v>0</v>
      </c>
      <c r="BN73" s="6">
        <v>0</v>
      </c>
      <c r="BO73" s="6">
        <v>0</v>
      </c>
      <c r="BP73" s="7">
        <v>320</v>
      </c>
      <c r="BQ73" s="7">
        <v>1100</v>
      </c>
      <c r="BR73" s="7">
        <v>1280</v>
      </c>
      <c r="BS73" s="7">
        <v>2880</v>
      </c>
      <c r="BT73" s="7">
        <v>2460</v>
      </c>
      <c r="BU73" s="7">
        <v>1030</v>
      </c>
      <c r="BV73" s="7">
        <v>200</v>
      </c>
      <c r="BW73" s="7">
        <v>1303</v>
      </c>
      <c r="BX73" s="7">
        <v>1750</v>
      </c>
      <c r="BY73" s="7">
        <v>1360</v>
      </c>
      <c r="BZ73" s="7">
        <v>810</v>
      </c>
      <c r="CA73" s="7">
        <v>920</v>
      </c>
      <c r="CB73" s="7">
        <v>940</v>
      </c>
      <c r="CC73" s="7">
        <v>2260</v>
      </c>
      <c r="CD73" s="7">
        <v>6030</v>
      </c>
      <c r="CE73" s="7">
        <v>700</v>
      </c>
      <c r="CF73" s="7">
        <v>3560</v>
      </c>
      <c r="CG73" s="7">
        <v>1860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51">
        <v>0.05</v>
      </c>
      <c r="CN73">
        <f t="shared" si="1684"/>
        <v>7.74</v>
      </c>
      <c r="CO73">
        <f t="shared" si="1685"/>
        <v>32.18</v>
      </c>
      <c r="CP73">
        <f t="shared" si="1686"/>
        <v>0.67</v>
      </c>
      <c r="CQ73">
        <f t="shared" si="1687"/>
        <v>0.67</v>
      </c>
      <c r="CR73">
        <f t="shared" si="1688"/>
        <v>0</v>
      </c>
      <c r="CS73">
        <f t="shared" si="1689"/>
        <v>0.56200000000000006</v>
      </c>
      <c r="CT73">
        <f t="shared" si="1690"/>
        <v>0.56200000000000006</v>
      </c>
      <c r="CU73">
        <f t="shared" si="1691"/>
        <v>0</v>
      </c>
      <c r="CV73">
        <f t="shared" si="1692"/>
        <v>1.82</v>
      </c>
      <c r="CW73">
        <f t="shared" si="1693"/>
        <v>1E-3</v>
      </c>
      <c r="CX73">
        <f t="shared" si="1694"/>
        <v>0</v>
      </c>
      <c r="CY73">
        <f t="shared" si="1695"/>
        <v>1E-3</v>
      </c>
      <c r="CZ73">
        <f t="shared" si="1696"/>
        <v>0</v>
      </c>
      <c r="DA73">
        <f t="shared" si="1697"/>
        <v>0</v>
      </c>
      <c r="DB73">
        <f t="shared" si="1698"/>
        <v>0.60799999999999998</v>
      </c>
      <c r="DC73">
        <f t="shared" si="1699"/>
        <v>1.3999999999999999E-2</v>
      </c>
      <c r="DD73">
        <f t="shared" si="1700"/>
        <v>23.18</v>
      </c>
      <c r="DE73">
        <f t="shared" si="1701"/>
        <v>11.12</v>
      </c>
      <c r="DF73">
        <f t="shared" si="1702"/>
        <v>2.04</v>
      </c>
      <c r="DG73">
        <f t="shared" si="1703"/>
        <v>13.56</v>
      </c>
      <c r="DH73">
        <f t="shared" si="1704"/>
        <v>0.08</v>
      </c>
      <c r="DI73">
        <f t="shared" si="1705"/>
        <v>0.86</v>
      </c>
      <c r="DJ73">
        <f t="shared" si="1706"/>
        <v>1.66E-2</v>
      </c>
      <c r="DK73">
        <f t="shared" si="1707"/>
        <v>0.24</v>
      </c>
      <c r="DL73">
        <f t="shared" si="1708"/>
        <v>16.68</v>
      </c>
      <c r="DM73">
        <f t="shared" si="1709"/>
        <v>0.72</v>
      </c>
      <c r="DN73">
        <f t="shared" si="1710"/>
        <v>4.0000000000000002E-4</v>
      </c>
      <c r="DO73">
        <f t="shared" si="1711"/>
        <v>5</v>
      </c>
      <c r="DP73">
        <f t="shared" si="1712"/>
        <v>5.9999999999999995E-4</v>
      </c>
      <c r="DQ73">
        <f t="shared" si="1713"/>
        <v>7.4000000000000003E-3</v>
      </c>
      <c r="DR73">
        <f t="shared" si="1714"/>
        <v>0</v>
      </c>
      <c r="DS73">
        <f t="shared" si="1715"/>
        <v>1E-3</v>
      </c>
      <c r="DT73">
        <f t="shared" si="1716"/>
        <v>2.2000000000000001E-3</v>
      </c>
      <c r="DU73">
        <f t="shared" si="1717"/>
        <v>0.1</v>
      </c>
      <c r="DV73">
        <f t="shared" si="1718"/>
        <v>6.4000000000000003E-3</v>
      </c>
      <c r="DW73">
        <f t="shared" si="1719"/>
        <v>0.46</v>
      </c>
      <c r="DX73">
        <f t="shared" si="1720"/>
        <v>8.4000000000000005E-2</v>
      </c>
      <c r="DY73">
        <f t="shared" si="1721"/>
        <v>5.96</v>
      </c>
      <c r="DZ73">
        <f t="shared" si="1722"/>
        <v>5.56</v>
      </c>
      <c r="EA73">
        <f t="shared" si="1723"/>
        <v>2.36</v>
      </c>
      <c r="EB73">
        <f t="shared" si="1724"/>
        <v>1.3600000000000001E-2</v>
      </c>
      <c r="EC73">
        <f t="shared" si="1725"/>
        <v>0.01</v>
      </c>
      <c r="ED73">
        <f t="shared" si="1726"/>
        <v>3.4000000000000002E-2</v>
      </c>
      <c r="EE73">
        <f t="shared" si="1727"/>
        <v>0.37079999999999996</v>
      </c>
      <c r="EF73">
        <f t="shared" si="1728"/>
        <v>5.96E-2</v>
      </c>
      <c r="EG73">
        <f t="shared" si="1729"/>
        <v>2.0799999999999999E-2</v>
      </c>
      <c r="EH73">
        <f t="shared" si="1730"/>
        <v>6.08E-2</v>
      </c>
      <c r="EI73">
        <f t="shared" si="1731"/>
        <v>0.16079999999999997</v>
      </c>
      <c r="EJ73">
        <f t="shared" si="1732"/>
        <v>6.1399999999999996E-2</v>
      </c>
      <c r="EK73">
        <f t="shared" si="1733"/>
        <v>0</v>
      </c>
      <c r="EL73">
        <f t="shared" si="1734"/>
        <v>0</v>
      </c>
      <c r="EM73">
        <f t="shared" si="1735"/>
        <v>0.17620000000000002</v>
      </c>
      <c r="EN73">
        <f t="shared" si="1736"/>
        <v>0</v>
      </c>
      <c r="EO73">
        <f t="shared" si="1737"/>
        <v>1.2800000000000001E-2</v>
      </c>
      <c r="EP73">
        <f t="shared" si="1738"/>
        <v>0.16320000000000001</v>
      </c>
      <c r="EQ73">
        <f t="shared" si="1739"/>
        <v>0</v>
      </c>
      <c r="ER73">
        <f t="shared" si="1740"/>
        <v>0</v>
      </c>
      <c r="ES73">
        <f t="shared" si="1741"/>
        <v>1.5800000000000002E-2</v>
      </c>
      <c r="ET73">
        <f t="shared" si="1742"/>
        <v>7.6E-3</v>
      </c>
      <c r="EU73">
        <f t="shared" si="1743"/>
        <v>8.3999999999999995E-3</v>
      </c>
      <c r="EV73">
        <f t="shared" si="1744"/>
        <v>0</v>
      </c>
      <c r="EW73">
        <f t="shared" si="1745"/>
        <v>0</v>
      </c>
      <c r="EX73">
        <f t="shared" si="1746"/>
        <v>0</v>
      </c>
      <c r="EY73">
        <f t="shared" si="1747"/>
        <v>0</v>
      </c>
      <c r="EZ73">
        <f t="shared" si="1748"/>
        <v>6.4</v>
      </c>
      <c r="FA73">
        <f t="shared" si="1749"/>
        <v>22</v>
      </c>
      <c r="FB73">
        <f t="shared" si="1750"/>
        <v>25.6</v>
      </c>
      <c r="FC73">
        <f t="shared" si="1751"/>
        <v>57.6</v>
      </c>
      <c r="FD73">
        <f t="shared" si="1752"/>
        <v>49.2</v>
      </c>
      <c r="FE73">
        <f t="shared" si="1753"/>
        <v>20.6</v>
      </c>
      <c r="FF73">
        <f t="shared" si="1754"/>
        <v>4</v>
      </c>
      <c r="FG73">
        <f t="shared" si="1755"/>
        <v>26.06</v>
      </c>
      <c r="FH73">
        <f t="shared" si="1756"/>
        <v>35</v>
      </c>
      <c r="FI73">
        <f t="shared" si="1757"/>
        <v>27.2</v>
      </c>
      <c r="FJ73">
        <f t="shared" si="1758"/>
        <v>16.2</v>
      </c>
      <c r="FK73">
        <f t="shared" si="1759"/>
        <v>18.399999999999999</v>
      </c>
      <c r="FL73">
        <f t="shared" si="1760"/>
        <v>18.8</v>
      </c>
      <c r="FM73">
        <f t="shared" si="1761"/>
        <v>45.2</v>
      </c>
      <c r="FN73">
        <f t="shared" si="1762"/>
        <v>120.6</v>
      </c>
      <c r="FO73">
        <f t="shared" si="1763"/>
        <v>14</v>
      </c>
      <c r="FP73">
        <f t="shared" si="1764"/>
        <v>71.2</v>
      </c>
      <c r="FQ73">
        <f t="shared" si="1765"/>
        <v>37.200000000000003</v>
      </c>
      <c r="FR73">
        <f t="shared" si="1766"/>
        <v>0</v>
      </c>
      <c r="FS73">
        <f t="shared" si="1767"/>
        <v>0</v>
      </c>
      <c r="FT73">
        <f t="shared" si="1768"/>
        <v>0</v>
      </c>
      <c r="FU73">
        <f t="shared" si="1769"/>
        <v>0</v>
      </c>
      <c r="FV73">
        <f t="shared" si="1770"/>
        <v>0</v>
      </c>
      <c r="FW73">
        <f t="shared" si="1771"/>
        <v>1E-3</v>
      </c>
    </row>
    <row r="74" spans="1:179" x14ac:dyDescent="0.35">
      <c r="B74" s="72" t="s">
        <v>211</v>
      </c>
      <c r="C74" s="8">
        <v>5</v>
      </c>
      <c r="D74" s="6">
        <v>899</v>
      </c>
      <c r="E74" s="6">
        <v>3696</v>
      </c>
      <c r="F74" s="6">
        <v>0</v>
      </c>
      <c r="G74" s="6">
        <v>0</v>
      </c>
      <c r="H74" s="6">
        <v>0</v>
      </c>
      <c r="I74" s="6">
        <v>99.9</v>
      </c>
      <c r="J74" s="6">
        <v>0</v>
      </c>
      <c r="K74" s="6">
        <v>99.9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0.2</v>
      </c>
      <c r="T74" s="6">
        <v>0</v>
      </c>
      <c r="U74" s="51">
        <v>0.5</v>
      </c>
      <c r="V74" s="51">
        <v>0.5</v>
      </c>
      <c r="W74" s="6">
        <v>0</v>
      </c>
      <c r="X74" s="51">
        <v>5.0000000000000001E-3</v>
      </c>
      <c r="Y74" s="51">
        <v>0.5</v>
      </c>
      <c r="Z74" s="6">
        <v>0.01</v>
      </c>
      <c r="AA74" s="51">
        <v>0.05</v>
      </c>
      <c r="AB74" s="51">
        <v>0.5</v>
      </c>
      <c r="AC74" s="51">
        <v>0.5</v>
      </c>
      <c r="AD74" s="51">
        <v>5.0000000000000001E-3</v>
      </c>
      <c r="AE74" s="51">
        <v>0.5</v>
      </c>
      <c r="AF74" s="6">
        <v>0</v>
      </c>
      <c r="AG74" s="6">
        <v>0</v>
      </c>
      <c r="AH74" s="6">
        <v>0</v>
      </c>
      <c r="AI74" s="6">
        <v>0</v>
      </c>
      <c r="AJ74" s="51">
        <v>5.0000000000000001E-3</v>
      </c>
      <c r="AK74" s="51">
        <v>0.5</v>
      </c>
      <c r="AL74" s="51">
        <v>5.0000000000000001E-3</v>
      </c>
      <c r="AM74" s="51">
        <v>0.05</v>
      </c>
      <c r="AN74" s="6">
        <v>0</v>
      </c>
      <c r="AO74" s="6">
        <v>36</v>
      </c>
      <c r="AP74" s="6">
        <v>0</v>
      </c>
      <c r="AQ74" s="6">
        <v>216</v>
      </c>
      <c r="AR74" s="6">
        <v>21.42</v>
      </c>
      <c r="AS74" s="6">
        <v>0</v>
      </c>
      <c r="AT74" s="6">
        <v>57.5</v>
      </c>
      <c r="AU74" s="6">
        <v>14.46</v>
      </c>
      <c r="AV74" s="6">
        <v>0</v>
      </c>
      <c r="AW74" s="6">
        <v>0</v>
      </c>
      <c r="AX74" s="6">
        <v>0</v>
      </c>
      <c r="AY74" s="6">
        <v>10.64</v>
      </c>
      <c r="AZ74" s="6">
        <v>3.06</v>
      </c>
      <c r="BA74" s="6">
        <v>0.76</v>
      </c>
      <c r="BB74" s="6">
        <v>0</v>
      </c>
      <c r="BC74" s="6">
        <v>72.95</v>
      </c>
      <c r="BD74" s="6">
        <v>0</v>
      </c>
      <c r="BE74" s="6">
        <v>0.79</v>
      </c>
      <c r="BF74" s="6">
        <v>71.87</v>
      </c>
      <c r="BG74" s="6">
        <v>0.28999999999999998</v>
      </c>
      <c r="BH74" s="6">
        <v>0</v>
      </c>
      <c r="BI74" s="6">
        <v>7.52</v>
      </c>
      <c r="BJ74" s="6">
        <v>6.79</v>
      </c>
      <c r="BK74" s="6">
        <v>0.73</v>
      </c>
      <c r="BL74" s="6">
        <v>0</v>
      </c>
      <c r="BM74" s="6">
        <v>0</v>
      </c>
      <c r="BN74" s="6">
        <v>0</v>
      </c>
      <c r="BO74" s="6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>
        <f>($C74*D74)/100</f>
        <v>44.95</v>
      </c>
      <c r="CO74">
        <f t="shared" ref="CO74" si="1772">($C74*E74)/100</f>
        <v>184.8</v>
      </c>
      <c r="CP74">
        <f t="shared" ref="CP74" si="1773">($C74*F74)/100</f>
        <v>0</v>
      </c>
      <c r="CQ74">
        <f t="shared" ref="CQ74" si="1774">($C74*G74)/100</f>
        <v>0</v>
      </c>
      <c r="CR74">
        <f t="shared" ref="CR74" si="1775">($C74*H74)/100</f>
        <v>0</v>
      </c>
      <c r="CS74">
        <f t="shared" ref="CS74" si="1776">($C74*I74)/100</f>
        <v>4.9950000000000001</v>
      </c>
      <c r="CT74">
        <f t="shared" ref="CT74" si="1777">($C74*J74)/100</f>
        <v>0</v>
      </c>
      <c r="CU74">
        <f t="shared" ref="CU74" si="1778">($C74*K74)/100</f>
        <v>4.9950000000000001</v>
      </c>
      <c r="CV74">
        <f t="shared" ref="CV74" si="1779">($C74*L74)/100</f>
        <v>0</v>
      </c>
      <c r="CW74">
        <f t="shared" ref="CW74" si="1780">($C74*M74)/100</f>
        <v>0</v>
      </c>
      <c r="CX74">
        <f t="shared" ref="CX74" si="1781">($C74*N74)/100</f>
        <v>0</v>
      </c>
      <c r="CY74">
        <f t="shared" ref="CY74" si="1782">($C74*O74)/100</f>
        <v>0</v>
      </c>
      <c r="CZ74">
        <f t="shared" ref="CZ74" si="1783">($C74*P74)/100</f>
        <v>0</v>
      </c>
      <c r="DA74">
        <f t="shared" ref="DA74" si="1784">($C74*Q74)/100</f>
        <v>0</v>
      </c>
      <c r="DB74">
        <f t="shared" ref="DB74" si="1785">($C74*R74)/100</f>
        <v>0</v>
      </c>
      <c r="DC74">
        <f t="shared" ref="DC74" si="1786">($C74*S74)/100</f>
        <v>0.01</v>
      </c>
      <c r="DD74">
        <f t="shared" ref="DD74" si="1787">($C74*T74)/100</f>
        <v>0</v>
      </c>
      <c r="DE74">
        <f t="shared" ref="DE74" si="1788">($C74*U74)/100</f>
        <v>2.5000000000000001E-2</v>
      </c>
      <c r="DF74">
        <f t="shared" ref="DF74" si="1789">($C74*V74)/100</f>
        <v>2.5000000000000001E-2</v>
      </c>
      <c r="DG74">
        <f t="shared" ref="DG74" si="1790">($C74*W74)/100</f>
        <v>0</v>
      </c>
      <c r="DH74">
        <f t="shared" ref="DH74" si="1791">($C74*X74)/100</f>
        <v>2.5000000000000001E-4</v>
      </c>
      <c r="DI74">
        <f t="shared" ref="DI74" si="1792">($C74*Y74)/100</f>
        <v>2.5000000000000001E-2</v>
      </c>
      <c r="DJ74">
        <f t="shared" ref="DJ74" si="1793">($C74*Z74)/100</f>
        <v>5.0000000000000001E-4</v>
      </c>
      <c r="DK74">
        <f t="shared" ref="DK74" si="1794">($C74*AA74)/100</f>
        <v>2.5000000000000001E-3</v>
      </c>
      <c r="DL74">
        <f t="shared" ref="DL74" si="1795">($C74*AB74)/100</f>
        <v>2.5000000000000001E-2</v>
      </c>
      <c r="DM74">
        <f t="shared" ref="DM74" si="1796">($C74*AC74)/100</f>
        <v>2.5000000000000001E-2</v>
      </c>
      <c r="DN74">
        <f t="shared" ref="DN74" si="1797">($C74*AD74)/100</f>
        <v>2.5000000000000001E-4</v>
      </c>
      <c r="DO74">
        <f t="shared" ref="DO74" si="1798">($C74*AE74)/100</f>
        <v>2.5000000000000001E-2</v>
      </c>
      <c r="DP74">
        <f t="shared" ref="DP74" si="1799">($C74*AF74)/100</f>
        <v>0</v>
      </c>
      <c r="DQ74">
        <f t="shared" ref="DQ74" si="1800">($C74*AG74)/100</f>
        <v>0</v>
      </c>
      <c r="DR74">
        <f t="shared" ref="DR74" si="1801">($C74*AH74)/100</f>
        <v>0</v>
      </c>
      <c r="DS74">
        <f t="shared" ref="DS74" si="1802">($C74*AI74)/100</f>
        <v>0</v>
      </c>
      <c r="DT74">
        <f t="shared" ref="DT74" si="1803">($C74*AJ74)/100</f>
        <v>2.5000000000000001E-4</v>
      </c>
      <c r="DU74">
        <f t="shared" ref="DU74" si="1804">($C74*AK74)/100</f>
        <v>2.5000000000000001E-2</v>
      </c>
      <c r="DV74">
        <f t="shared" ref="DV74" si="1805">($C74*AL74)/100</f>
        <v>2.5000000000000001E-4</v>
      </c>
      <c r="DW74">
        <f t="shared" ref="DW74" si="1806">($C74*AM74)/100</f>
        <v>2.5000000000000001E-3</v>
      </c>
      <c r="DX74">
        <f t="shared" ref="DX74" si="1807">($C74*AN74)/100</f>
        <v>0</v>
      </c>
      <c r="DY74">
        <f t="shared" ref="DY74" si="1808">($C74*AO74)/100</f>
        <v>1.8</v>
      </c>
      <c r="DZ74">
        <f t="shared" ref="DZ74" si="1809">($C74*AP74)/100</f>
        <v>0</v>
      </c>
      <c r="EA74">
        <f t="shared" ref="EA74" si="1810">($C74*AQ74)/100</f>
        <v>10.8</v>
      </c>
      <c r="EB74">
        <f t="shared" ref="EB74" si="1811">($C74*AR74)/100</f>
        <v>1.0710000000000002</v>
      </c>
      <c r="EC74">
        <f t="shared" ref="EC74" si="1812">($C74*AS74)/100</f>
        <v>0</v>
      </c>
      <c r="ED74">
        <f t="shared" ref="ED74" si="1813">($C74*AT74)/100</f>
        <v>2.875</v>
      </c>
      <c r="EE74">
        <f t="shared" ref="EE74" si="1814">($C74*AU74)/100</f>
        <v>0.72300000000000009</v>
      </c>
      <c r="EF74">
        <f t="shared" ref="EF74" si="1815">($C74*AV74)/100</f>
        <v>0</v>
      </c>
      <c r="EG74">
        <f t="shared" ref="EG74" si="1816">($C74*AW74)/100</f>
        <v>0</v>
      </c>
      <c r="EH74">
        <f t="shared" ref="EH74" si="1817">($C74*AX74)/100</f>
        <v>0</v>
      </c>
      <c r="EI74">
        <f t="shared" ref="EI74" si="1818">($C74*AY74)/100</f>
        <v>0.53200000000000003</v>
      </c>
      <c r="EJ74">
        <f t="shared" ref="EJ74" si="1819">($C74*AZ74)/100</f>
        <v>0.153</v>
      </c>
      <c r="EK74">
        <f t="shared" ref="EK74" si="1820">($C74*BA74)/100</f>
        <v>3.7999999999999999E-2</v>
      </c>
      <c r="EL74">
        <f t="shared" ref="EL74" si="1821">($C74*BB74)/100</f>
        <v>0</v>
      </c>
      <c r="EM74">
        <f t="shared" ref="EM74" si="1822">($C74*BC74)/100</f>
        <v>3.6475</v>
      </c>
      <c r="EN74">
        <f t="shared" ref="EN74" si="1823">($C74*BD74)/100</f>
        <v>0</v>
      </c>
      <c r="EO74">
        <f t="shared" ref="EO74" si="1824">($C74*BE74)/100</f>
        <v>3.95E-2</v>
      </c>
      <c r="EP74">
        <f t="shared" ref="EP74" si="1825">($C74*BF74)/100</f>
        <v>3.5935000000000001</v>
      </c>
      <c r="EQ74">
        <f t="shared" ref="EQ74" si="1826">($C74*BG74)/100</f>
        <v>1.4499999999999999E-2</v>
      </c>
      <c r="ER74">
        <f t="shared" ref="ER74" si="1827">($C74*BH74)/100</f>
        <v>0</v>
      </c>
      <c r="ES74">
        <f t="shared" ref="ES74" si="1828">($C74*BI74)/100</f>
        <v>0.37599999999999995</v>
      </c>
      <c r="ET74">
        <f t="shared" ref="ET74" si="1829">($C74*BJ74)/100</f>
        <v>0.33950000000000002</v>
      </c>
      <c r="EU74">
        <f t="shared" ref="EU74" si="1830">($C74*BK74)/100</f>
        <v>3.6499999999999998E-2</v>
      </c>
      <c r="EV74">
        <f t="shared" ref="EV74" si="1831">($C74*BL74)/100</f>
        <v>0</v>
      </c>
      <c r="EW74">
        <f t="shared" ref="EW74" si="1832">($C74*BM74)/100</f>
        <v>0</v>
      </c>
      <c r="EX74">
        <f t="shared" ref="EX74" si="1833">($C74*BN74)/100</f>
        <v>0</v>
      </c>
      <c r="EY74">
        <f t="shared" ref="EY74" si="1834">($C74*BO74)/100</f>
        <v>0</v>
      </c>
      <c r="EZ74">
        <f t="shared" ref="EZ74" si="1835">($C74*BP74)/100</f>
        <v>0</v>
      </c>
      <c r="FA74">
        <f t="shared" ref="FA74" si="1836">($C74*BQ74)/100</f>
        <v>0</v>
      </c>
      <c r="FB74">
        <f t="shared" ref="FB74" si="1837">($C74*BR74)/100</f>
        <v>0</v>
      </c>
      <c r="FC74">
        <f t="shared" ref="FC74" si="1838">($C74*BS74)/100</f>
        <v>0</v>
      </c>
      <c r="FD74">
        <f t="shared" ref="FD74" si="1839">($C74*BT74)/100</f>
        <v>0</v>
      </c>
      <c r="FE74">
        <f t="shared" ref="FE74" si="1840">($C74*BU74)/100</f>
        <v>0</v>
      </c>
      <c r="FF74">
        <f t="shared" ref="FF74" si="1841">($C74*BV74)/100</f>
        <v>0</v>
      </c>
      <c r="FG74">
        <f t="shared" ref="FG74" si="1842">($C74*BW74)/100</f>
        <v>0</v>
      </c>
      <c r="FH74">
        <f t="shared" ref="FH74" si="1843">($C74*BX74)/100</f>
        <v>0</v>
      </c>
      <c r="FI74">
        <f t="shared" ref="FI74" si="1844">($C74*BY74)/100</f>
        <v>0</v>
      </c>
      <c r="FJ74">
        <f t="shared" ref="FJ74" si="1845">($C74*BZ74)/100</f>
        <v>0</v>
      </c>
      <c r="FK74">
        <f t="shared" ref="FK74" si="1846">($C74*CA74)/100</f>
        <v>0</v>
      </c>
      <c r="FL74">
        <f t="shared" ref="FL74" si="1847">($C74*CB74)/100</f>
        <v>0</v>
      </c>
      <c r="FM74">
        <f t="shared" ref="FM74" si="1848">($C74*CC74)/100</f>
        <v>0</v>
      </c>
      <c r="FN74">
        <f t="shared" ref="FN74" si="1849">($C74*CD74)/100</f>
        <v>0</v>
      </c>
      <c r="FO74">
        <f t="shared" ref="FO74" si="1850">($C74*CE74)/100</f>
        <v>0</v>
      </c>
      <c r="FP74">
        <f t="shared" ref="FP74" si="1851">($C74*CF74)/100</f>
        <v>0</v>
      </c>
      <c r="FQ74">
        <f t="shared" ref="FQ74" si="1852">($C74*CG74)/100</f>
        <v>0</v>
      </c>
      <c r="FR74">
        <f t="shared" ref="FR74" si="1853">($C74*CH74)/100</f>
        <v>0</v>
      </c>
      <c r="FS74">
        <f t="shared" ref="FS74" si="1854">($C74*CI74)/100</f>
        <v>0</v>
      </c>
      <c r="FT74">
        <f t="shared" ref="FT74" si="1855">($C74*CJ74)/100</f>
        <v>0</v>
      </c>
      <c r="FU74">
        <f t="shared" ref="FU74" si="1856">($C74*CK74)/100</f>
        <v>0</v>
      </c>
      <c r="FV74">
        <f t="shared" ref="FV74" si="1857">($C74*CL74)/100</f>
        <v>0</v>
      </c>
      <c r="FW74">
        <f t="shared" ref="FW74" si="1858">($C74*CM74)/100</f>
        <v>0</v>
      </c>
    </row>
    <row r="75" spans="1:179" x14ac:dyDescent="0.35">
      <c r="B75" s="72" t="s">
        <v>417</v>
      </c>
      <c r="C75" s="8">
        <v>2</v>
      </c>
      <c r="D75" s="6">
        <v>6</v>
      </c>
      <c r="E75" s="6">
        <v>26</v>
      </c>
      <c r="F75" s="6">
        <v>0.2</v>
      </c>
      <c r="G75" s="6">
        <v>0</v>
      </c>
      <c r="H75" s="6">
        <v>0.2</v>
      </c>
      <c r="I75" s="6">
        <v>0</v>
      </c>
      <c r="J75" s="6">
        <v>0</v>
      </c>
      <c r="K75" s="6">
        <v>0</v>
      </c>
      <c r="L75" s="6">
        <v>0</v>
      </c>
      <c r="M75" s="6">
        <v>1.4</v>
      </c>
      <c r="N75" s="6">
        <v>0</v>
      </c>
      <c r="O75" s="6">
        <v>1.4</v>
      </c>
      <c r="P75" s="6">
        <v>0</v>
      </c>
      <c r="Q75" s="6">
        <v>0</v>
      </c>
      <c r="R75" s="6">
        <v>92.1</v>
      </c>
      <c r="S75" s="6">
        <v>0.2</v>
      </c>
      <c r="T75" s="6">
        <v>14</v>
      </c>
      <c r="U75" s="6">
        <v>2</v>
      </c>
      <c r="V75" s="6">
        <v>140</v>
      </c>
      <c r="W75" s="6">
        <v>10</v>
      </c>
      <c r="X75" s="51">
        <v>5.0000000000000001E-3</v>
      </c>
      <c r="Y75" s="6">
        <v>7</v>
      </c>
      <c r="Z75" s="6">
        <v>0.13</v>
      </c>
      <c r="AA75" s="6">
        <v>1</v>
      </c>
      <c r="AB75" s="6">
        <v>3</v>
      </c>
      <c r="AC75" s="6">
        <v>0.6</v>
      </c>
      <c r="AD75" s="51">
        <v>5.0000000000000001E-3</v>
      </c>
      <c r="AE75" s="6">
        <v>2</v>
      </c>
      <c r="AF75" s="6">
        <v>0.02</v>
      </c>
      <c r="AG75" s="6">
        <v>0.02</v>
      </c>
      <c r="AH75" s="6">
        <v>43</v>
      </c>
      <c r="AI75" s="6">
        <v>0.2</v>
      </c>
      <c r="AJ75" s="6">
        <v>0.05</v>
      </c>
      <c r="AK75" s="6">
        <v>13</v>
      </c>
      <c r="AL75" s="6">
        <v>0.1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51">
        <v>5.0000000000000001E-3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7">
        <v>1</v>
      </c>
      <c r="BQ75" s="7">
        <v>3</v>
      </c>
      <c r="BR75" s="7">
        <v>6</v>
      </c>
      <c r="BS75" s="7">
        <v>5</v>
      </c>
      <c r="BT75" s="7">
        <v>10</v>
      </c>
      <c r="BU75" s="7">
        <v>3</v>
      </c>
      <c r="BV75" s="7">
        <v>3</v>
      </c>
      <c r="BW75" s="7">
        <v>7</v>
      </c>
      <c r="BX75" s="7">
        <v>4</v>
      </c>
      <c r="BY75" s="7">
        <v>7</v>
      </c>
      <c r="BZ75" s="7">
        <v>12</v>
      </c>
      <c r="CA75" s="7">
        <v>3</v>
      </c>
      <c r="CB75" s="7">
        <v>12</v>
      </c>
      <c r="CC75" s="7">
        <v>28</v>
      </c>
      <c r="CD75" s="7">
        <v>23</v>
      </c>
      <c r="CE75" s="7">
        <v>19</v>
      </c>
      <c r="CF75" s="7">
        <v>11</v>
      </c>
      <c r="CG75" s="7">
        <v>6</v>
      </c>
      <c r="CH75" s="6">
        <v>0.4</v>
      </c>
      <c r="CI75" s="6">
        <v>0.8</v>
      </c>
      <c r="CJ75" s="6">
        <v>0</v>
      </c>
      <c r="CK75" s="6">
        <v>0.2</v>
      </c>
      <c r="CL75" s="6">
        <v>0</v>
      </c>
      <c r="CM75" s="6">
        <v>0</v>
      </c>
      <c r="CN75">
        <f t="shared" ref="CN75:CN80" si="1859">($C75*D75)/100</f>
        <v>0.12</v>
      </c>
      <c r="CO75">
        <f t="shared" ref="CO75:CO80" si="1860">($C75*E75)/100</f>
        <v>0.52</v>
      </c>
      <c r="CP75">
        <f t="shared" ref="CP75:CP80" si="1861">($C75*F75)/100</f>
        <v>4.0000000000000001E-3</v>
      </c>
      <c r="CQ75">
        <f t="shared" ref="CQ75:CQ80" si="1862">($C75*G75)/100</f>
        <v>0</v>
      </c>
      <c r="CR75">
        <f t="shared" ref="CR75:CR80" si="1863">($C75*H75)/100</f>
        <v>4.0000000000000001E-3</v>
      </c>
      <c r="CS75">
        <f t="shared" ref="CS75:CS80" si="1864">($C75*I75)/100</f>
        <v>0</v>
      </c>
      <c r="CT75">
        <f t="shared" ref="CT75:CT80" si="1865">($C75*J75)/100</f>
        <v>0</v>
      </c>
      <c r="CU75">
        <f t="shared" ref="CU75:CU80" si="1866">($C75*K75)/100</f>
        <v>0</v>
      </c>
      <c r="CV75">
        <f t="shared" ref="CV75:CV80" si="1867">($C75*L75)/100</f>
        <v>0</v>
      </c>
      <c r="CW75">
        <f t="shared" ref="CW75:CW80" si="1868">($C75*M75)/100</f>
        <v>2.7999999999999997E-2</v>
      </c>
      <c r="CX75">
        <f t="shared" ref="CX75:CX80" si="1869">($C75*N75)/100</f>
        <v>0</v>
      </c>
      <c r="CY75">
        <f t="shared" ref="CY75:CY80" si="1870">($C75*O75)/100</f>
        <v>2.7999999999999997E-2</v>
      </c>
      <c r="CZ75">
        <f t="shared" ref="CZ75:CZ80" si="1871">($C75*P75)/100</f>
        <v>0</v>
      </c>
      <c r="DA75">
        <f t="shared" ref="DA75:DA80" si="1872">($C75*Q75)/100</f>
        <v>0</v>
      </c>
      <c r="DB75">
        <f t="shared" ref="DB75:DB80" si="1873">($C75*R75)/100</f>
        <v>1.8419999999999999</v>
      </c>
      <c r="DC75">
        <f t="shared" ref="DC75:DC80" si="1874">($C75*S75)/100</f>
        <v>4.0000000000000001E-3</v>
      </c>
      <c r="DD75">
        <f t="shared" ref="DD75:DD80" si="1875">($C75*T75)/100</f>
        <v>0.28000000000000003</v>
      </c>
      <c r="DE75">
        <f t="shared" ref="DE75:DE80" si="1876">($C75*U75)/100</f>
        <v>0.04</v>
      </c>
      <c r="DF75">
        <f t="shared" ref="DF75:DF80" si="1877">($C75*V75)/100</f>
        <v>2.8</v>
      </c>
      <c r="DG75">
        <f t="shared" ref="DG75:DG80" si="1878">($C75*W75)/100</f>
        <v>0.2</v>
      </c>
      <c r="DH75">
        <f t="shared" ref="DH75:DH80" si="1879">($C75*X75)/100</f>
        <v>1E-4</v>
      </c>
      <c r="DI75">
        <f t="shared" ref="DI75:DI80" si="1880">($C75*Y75)/100</f>
        <v>0.14000000000000001</v>
      </c>
      <c r="DJ75">
        <f t="shared" ref="DJ75:DJ80" si="1881">($C75*Z75)/100</f>
        <v>2.5999999999999999E-3</v>
      </c>
      <c r="DK75">
        <f t="shared" ref="DK75:DK80" si="1882">($C75*AA75)/100</f>
        <v>0.02</v>
      </c>
      <c r="DL75">
        <f t="shared" ref="DL75:DL80" si="1883">($C75*AB75)/100</f>
        <v>0.06</v>
      </c>
      <c r="DM75">
        <f t="shared" ref="DM75:DM80" si="1884">($C75*AC75)/100</f>
        <v>1.2E-2</v>
      </c>
      <c r="DN75">
        <f t="shared" ref="DN75:DN80" si="1885">($C75*AD75)/100</f>
        <v>1E-4</v>
      </c>
      <c r="DO75">
        <f t="shared" ref="DO75:DO80" si="1886">($C75*AE75)/100</f>
        <v>0.04</v>
      </c>
      <c r="DP75">
        <f t="shared" ref="DP75:DP80" si="1887">($C75*AF75)/100</f>
        <v>4.0000000000000002E-4</v>
      </c>
      <c r="DQ75">
        <f t="shared" ref="DQ75:DQ80" si="1888">($C75*AG75)/100</f>
        <v>4.0000000000000002E-4</v>
      </c>
      <c r="DR75">
        <f t="shared" ref="DR75:DR80" si="1889">($C75*AH75)/100</f>
        <v>0.86</v>
      </c>
      <c r="DS75">
        <f t="shared" ref="DS75:DS80" si="1890">($C75*AI75)/100</f>
        <v>4.0000000000000001E-3</v>
      </c>
      <c r="DT75">
        <f t="shared" ref="DT75:DT80" si="1891">($C75*AJ75)/100</f>
        <v>1E-3</v>
      </c>
      <c r="DU75">
        <f t="shared" ref="DU75:DU80" si="1892">($C75*AK75)/100</f>
        <v>0.26</v>
      </c>
      <c r="DV75">
        <f t="shared" ref="DV75:DV80" si="1893">($C75*AL75)/100</f>
        <v>2E-3</v>
      </c>
      <c r="DW75">
        <f t="shared" ref="DW75:DW80" si="1894">($C75*AM75)/100</f>
        <v>0</v>
      </c>
      <c r="DX75">
        <f t="shared" ref="DX75:DX80" si="1895">($C75*AN75)/100</f>
        <v>0</v>
      </c>
      <c r="DY75">
        <f t="shared" ref="DY75:DY80" si="1896">($C75*AO75)/100</f>
        <v>0</v>
      </c>
      <c r="DZ75">
        <f t="shared" ref="DZ75:DZ80" si="1897">($C75*AP75)/100</f>
        <v>0</v>
      </c>
      <c r="EA75">
        <f t="shared" ref="EA75:EA80" si="1898">($C75*AQ75)/100</f>
        <v>0</v>
      </c>
      <c r="EB75">
        <f t="shared" ref="EB75:EB80" si="1899">($C75*AR75)/100</f>
        <v>1E-4</v>
      </c>
      <c r="EC75">
        <f t="shared" ref="EC75:EC80" si="1900">($C75*AS75)/100</f>
        <v>0</v>
      </c>
      <c r="ED75">
        <f t="shared" ref="ED75:ED80" si="1901">($C75*AT75)/100</f>
        <v>0</v>
      </c>
      <c r="EE75">
        <f t="shared" ref="EE75:EE80" si="1902">($C75*AU75)/100</f>
        <v>0</v>
      </c>
      <c r="EF75">
        <f t="shared" ref="EF75:EF80" si="1903">($C75*AV75)/100</f>
        <v>0</v>
      </c>
      <c r="EG75">
        <f t="shared" ref="EG75:EG80" si="1904">($C75*AW75)/100</f>
        <v>0</v>
      </c>
      <c r="EH75">
        <f t="shared" ref="EH75:EH80" si="1905">($C75*AX75)/100</f>
        <v>0</v>
      </c>
      <c r="EI75">
        <f t="shared" ref="EI75:EI80" si="1906">($C75*AY75)/100</f>
        <v>0</v>
      </c>
      <c r="EJ75">
        <f t="shared" ref="EJ75:EJ80" si="1907">($C75*AZ75)/100</f>
        <v>0</v>
      </c>
      <c r="EK75">
        <f t="shared" ref="EK75:EK80" si="1908">($C75*BA75)/100</f>
        <v>0</v>
      </c>
      <c r="EL75">
        <f t="shared" ref="EL75:EL80" si="1909">($C75*BB75)/100</f>
        <v>0</v>
      </c>
      <c r="EM75">
        <f t="shared" ref="EM75:EM80" si="1910">($C75*BC75)/100</f>
        <v>0</v>
      </c>
      <c r="EN75">
        <f t="shared" ref="EN75:EN80" si="1911">($C75*BD75)/100</f>
        <v>0</v>
      </c>
      <c r="EO75">
        <f t="shared" ref="EO75:EO80" si="1912">($C75*BE75)/100</f>
        <v>0</v>
      </c>
      <c r="EP75">
        <f t="shared" ref="EP75:EP80" si="1913">($C75*BF75)/100</f>
        <v>0</v>
      </c>
      <c r="EQ75">
        <f t="shared" ref="EQ75:EQ80" si="1914">($C75*BG75)/100</f>
        <v>0</v>
      </c>
      <c r="ER75">
        <f t="shared" ref="ER75:ER80" si="1915">($C75*BH75)/100</f>
        <v>0</v>
      </c>
      <c r="ES75">
        <f t="shared" ref="ES75:ES80" si="1916">($C75*BI75)/100</f>
        <v>0</v>
      </c>
      <c r="ET75">
        <f t="shared" ref="ET75:ET80" si="1917">($C75*BJ75)/100</f>
        <v>0</v>
      </c>
      <c r="EU75">
        <f t="shared" ref="EU75:EU80" si="1918">($C75*BK75)/100</f>
        <v>0</v>
      </c>
      <c r="EV75">
        <f t="shared" ref="EV75:EV80" si="1919">($C75*BL75)/100</f>
        <v>0</v>
      </c>
      <c r="EW75">
        <f t="shared" ref="EW75:EW80" si="1920">($C75*BM75)/100</f>
        <v>0</v>
      </c>
      <c r="EX75">
        <f t="shared" ref="EX75:EX80" si="1921">($C75*BN75)/100</f>
        <v>0</v>
      </c>
      <c r="EY75">
        <f t="shared" ref="EY75:EY80" si="1922">($C75*BO75)/100</f>
        <v>0</v>
      </c>
      <c r="EZ75">
        <f t="shared" ref="EZ75:EZ80" si="1923">($C75*BP75)/100</f>
        <v>0.02</v>
      </c>
      <c r="FA75">
        <f t="shared" ref="FA75:FA80" si="1924">($C75*BQ75)/100</f>
        <v>0.06</v>
      </c>
      <c r="FB75">
        <f t="shared" ref="FB75:FB80" si="1925">($C75*BR75)/100</f>
        <v>0.12</v>
      </c>
      <c r="FC75">
        <f t="shared" ref="FC75:FC80" si="1926">($C75*BS75)/100</f>
        <v>0.1</v>
      </c>
      <c r="FD75">
        <f t="shared" ref="FD75:FD80" si="1927">($C75*BT75)/100</f>
        <v>0.2</v>
      </c>
      <c r="FE75">
        <f t="shared" ref="FE75:FE80" si="1928">($C75*BU75)/100</f>
        <v>0.06</v>
      </c>
      <c r="FF75">
        <f t="shared" ref="FF75:FF80" si="1929">($C75*BV75)/100</f>
        <v>0.06</v>
      </c>
      <c r="FG75">
        <f t="shared" ref="FG75:FG80" si="1930">($C75*BW75)/100</f>
        <v>0.14000000000000001</v>
      </c>
      <c r="FH75">
        <f t="shared" ref="FH75:FH80" si="1931">($C75*BX75)/100</f>
        <v>0.08</v>
      </c>
      <c r="FI75">
        <f t="shared" ref="FI75:FI80" si="1932">($C75*BY75)/100</f>
        <v>0.14000000000000001</v>
      </c>
      <c r="FJ75">
        <f t="shared" ref="FJ75:FJ80" si="1933">($C75*BZ75)/100</f>
        <v>0.24</v>
      </c>
      <c r="FK75">
        <f t="shared" ref="FK75:FK80" si="1934">($C75*CA75)/100</f>
        <v>0.06</v>
      </c>
      <c r="FL75">
        <f t="shared" ref="FL75:FL80" si="1935">($C75*CB75)/100</f>
        <v>0.24</v>
      </c>
      <c r="FM75">
        <f t="shared" ref="FM75:FM80" si="1936">($C75*CC75)/100</f>
        <v>0.56000000000000005</v>
      </c>
      <c r="FN75">
        <f t="shared" ref="FN75:FN80" si="1937">($C75*CD75)/100</f>
        <v>0.46</v>
      </c>
      <c r="FO75">
        <f t="shared" ref="FO75:FO80" si="1938">($C75*CE75)/100</f>
        <v>0.38</v>
      </c>
      <c r="FP75">
        <f t="shared" ref="FP75:FP80" si="1939">($C75*CF75)/100</f>
        <v>0.22</v>
      </c>
      <c r="FQ75">
        <f t="shared" ref="FQ75:FQ80" si="1940">($C75*CG75)/100</f>
        <v>0.12</v>
      </c>
      <c r="FR75">
        <f t="shared" ref="FR75:FR80" si="1941">($C75*CH75)/100</f>
        <v>8.0000000000000002E-3</v>
      </c>
      <c r="FS75">
        <f t="shared" ref="FS75:FS80" si="1942">($C75*CI75)/100</f>
        <v>1.6E-2</v>
      </c>
      <c r="FT75">
        <f t="shared" ref="FT75:FT80" si="1943">($C75*CJ75)/100</f>
        <v>0</v>
      </c>
      <c r="FU75">
        <f t="shared" ref="FU75:FU80" si="1944">($C75*CK75)/100</f>
        <v>4.0000000000000001E-3</v>
      </c>
      <c r="FV75">
        <f t="shared" ref="FV75:FV80" si="1945">($C75*CL75)/100</f>
        <v>0</v>
      </c>
      <c r="FW75">
        <f t="shared" ref="FW75:FW80" si="1946">($C75*CM75)/100</f>
        <v>0</v>
      </c>
    </row>
    <row r="76" spans="1:179" x14ac:dyDescent="0.35">
      <c r="B76" s="72" t="s">
        <v>441</v>
      </c>
      <c r="C76" s="8">
        <v>2</v>
      </c>
      <c r="D76" s="6">
        <v>50</v>
      </c>
      <c r="E76" s="6">
        <v>208</v>
      </c>
      <c r="F76" s="6">
        <v>1.5</v>
      </c>
      <c r="G76" s="6">
        <v>0</v>
      </c>
      <c r="H76" s="6">
        <v>1.5</v>
      </c>
      <c r="I76" s="6">
        <v>0.3</v>
      </c>
      <c r="J76" s="6">
        <v>0</v>
      </c>
      <c r="K76" s="6">
        <v>0.3</v>
      </c>
      <c r="L76" s="6">
        <v>0</v>
      </c>
      <c r="M76" s="6">
        <v>5.4</v>
      </c>
      <c r="N76" s="6">
        <v>0</v>
      </c>
      <c r="O76" s="6">
        <v>4.2</v>
      </c>
      <c r="P76" s="6">
        <v>10.6</v>
      </c>
      <c r="Q76" s="6">
        <v>0</v>
      </c>
      <c r="R76" s="6">
        <v>81.599999999999994</v>
      </c>
      <c r="S76" s="6">
        <v>0.8</v>
      </c>
      <c r="T76" s="6">
        <v>134</v>
      </c>
      <c r="U76" s="6">
        <v>6</v>
      </c>
      <c r="V76" s="6">
        <v>160</v>
      </c>
      <c r="W76" s="6">
        <v>12</v>
      </c>
      <c r="X76" s="6">
        <v>0.25</v>
      </c>
      <c r="Y76" s="6">
        <v>15</v>
      </c>
      <c r="Z76" s="6">
        <v>9.1999999999999998E-2</v>
      </c>
      <c r="AA76" s="6">
        <v>0.7</v>
      </c>
      <c r="AB76" s="6">
        <v>5</v>
      </c>
      <c r="AC76" s="6">
        <v>0.3</v>
      </c>
      <c r="AD76" s="6">
        <v>0.03</v>
      </c>
      <c r="AE76" s="6">
        <v>12</v>
      </c>
      <c r="AF76" s="6">
        <v>0.06</v>
      </c>
      <c r="AG76" s="6">
        <v>0.08</v>
      </c>
      <c r="AH76" s="6">
        <v>129</v>
      </c>
      <c r="AI76" s="6">
        <v>0.4</v>
      </c>
      <c r="AJ76" s="6">
        <v>0.17199999999999999</v>
      </c>
      <c r="AK76" s="6">
        <v>13</v>
      </c>
      <c r="AL76" s="6">
        <v>0.31900000000000001</v>
      </c>
      <c r="AM76" s="6">
        <v>0.5</v>
      </c>
      <c r="AN76" s="6">
        <v>0</v>
      </c>
      <c r="AO76" s="6">
        <v>5</v>
      </c>
      <c r="AP76" s="6">
        <v>0</v>
      </c>
      <c r="AQ76" s="6">
        <v>30</v>
      </c>
      <c r="AR76" s="6">
        <v>0.25</v>
      </c>
      <c r="AS76" s="6">
        <v>0</v>
      </c>
      <c r="AT76" s="6">
        <v>0</v>
      </c>
      <c r="AU76" s="6">
        <v>3.9E-2</v>
      </c>
      <c r="AV76" s="6">
        <v>0</v>
      </c>
      <c r="AW76" s="6">
        <v>0</v>
      </c>
      <c r="AX76" s="6">
        <v>1E-3</v>
      </c>
      <c r="AY76" s="6">
        <v>3.5000000000000003E-2</v>
      </c>
      <c r="AZ76" s="6">
        <v>2E-3</v>
      </c>
      <c r="BA76" s="52">
        <v>0</v>
      </c>
      <c r="BB76" s="52">
        <v>0</v>
      </c>
      <c r="BC76" s="6">
        <v>1.0999999999999999E-2</v>
      </c>
      <c r="BD76" s="6">
        <v>0</v>
      </c>
      <c r="BE76" s="6">
        <v>1E-3</v>
      </c>
      <c r="BF76" s="6">
        <v>0.01</v>
      </c>
      <c r="BG76" s="6">
        <v>0</v>
      </c>
      <c r="BH76" s="6">
        <v>0</v>
      </c>
      <c r="BI76" s="6">
        <v>8.8999999999999996E-2</v>
      </c>
      <c r="BJ76" s="6">
        <v>6.3E-2</v>
      </c>
      <c r="BK76" s="6">
        <v>2.5999999999999999E-2</v>
      </c>
      <c r="BL76" s="6">
        <v>0</v>
      </c>
      <c r="BM76" s="6">
        <v>0</v>
      </c>
      <c r="BN76" s="6">
        <v>0</v>
      </c>
      <c r="BO76" s="6">
        <v>0</v>
      </c>
      <c r="BP76" s="7">
        <v>9</v>
      </c>
      <c r="BQ76" s="7">
        <v>21</v>
      </c>
      <c r="BR76" s="7">
        <v>41</v>
      </c>
      <c r="BS76" s="7">
        <v>38</v>
      </c>
      <c r="BT76" s="7">
        <v>75</v>
      </c>
      <c r="BU76" s="7">
        <v>21</v>
      </c>
      <c r="BV76" s="7">
        <v>19</v>
      </c>
      <c r="BW76" s="7">
        <v>53</v>
      </c>
      <c r="BX76" s="7">
        <v>30</v>
      </c>
      <c r="BY76" s="7">
        <v>54</v>
      </c>
      <c r="BZ76" s="7">
        <v>90</v>
      </c>
      <c r="CA76" s="7">
        <v>21</v>
      </c>
      <c r="CB76" s="7">
        <v>88</v>
      </c>
      <c r="CC76" s="7">
        <v>206</v>
      </c>
      <c r="CD76" s="7">
        <v>171</v>
      </c>
      <c r="CE76" s="7">
        <v>144</v>
      </c>
      <c r="CF76" s="7">
        <v>79</v>
      </c>
      <c r="CG76" s="7">
        <v>41</v>
      </c>
      <c r="CH76" s="6">
        <v>1.8</v>
      </c>
      <c r="CI76" s="6">
        <v>1.8</v>
      </c>
      <c r="CJ76" s="6">
        <v>0</v>
      </c>
      <c r="CK76" s="6">
        <v>0.5</v>
      </c>
      <c r="CL76" s="6">
        <v>0</v>
      </c>
      <c r="CM76" s="6">
        <v>0</v>
      </c>
      <c r="CN76">
        <f t="shared" si="1859"/>
        <v>1</v>
      </c>
      <c r="CO76">
        <f t="shared" si="1860"/>
        <v>4.16</v>
      </c>
      <c r="CP76">
        <f t="shared" si="1861"/>
        <v>0.03</v>
      </c>
      <c r="CQ76">
        <f t="shared" si="1862"/>
        <v>0</v>
      </c>
      <c r="CR76">
        <f t="shared" si="1863"/>
        <v>0.03</v>
      </c>
      <c r="CS76">
        <f t="shared" si="1864"/>
        <v>6.0000000000000001E-3</v>
      </c>
      <c r="CT76">
        <f t="shared" si="1865"/>
        <v>0</v>
      </c>
      <c r="CU76">
        <f t="shared" si="1866"/>
        <v>6.0000000000000001E-3</v>
      </c>
      <c r="CV76">
        <f t="shared" si="1867"/>
        <v>0</v>
      </c>
      <c r="CW76">
        <f t="shared" si="1868"/>
        <v>0.10800000000000001</v>
      </c>
      <c r="CX76">
        <f t="shared" si="1869"/>
        <v>0</v>
      </c>
      <c r="CY76">
        <f t="shared" si="1870"/>
        <v>8.4000000000000005E-2</v>
      </c>
      <c r="CZ76">
        <f t="shared" si="1871"/>
        <v>0.21199999999999999</v>
      </c>
      <c r="DA76">
        <f t="shared" si="1872"/>
        <v>0</v>
      </c>
      <c r="DB76">
        <f t="shared" si="1873"/>
        <v>1.6319999999999999</v>
      </c>
      <c r="DC76">
        <f t="shared" si="1874"/>
        <v>1.6E-2</v>
      </c>
      <c r="DD76">
        <f t="shared" si="1875"/>
        <v>2.68</v>
      </c>
      <c r="DE76">
        <f t="shared" si="1876"/>
        <v>0.12</v>
      </c>
      <c r="DF76">
        <f t="shared" si="1877"/>
        <v>3.2</v>
      </c>
      <c r="DG76">
        <f t="shared" si="1878"/>
        <v>0.24</v>
      </c>
      <c r="DH76">
        <f t="shared" si="1879"/>
        <v>5.0000000000000001E-3</v>
      </c>
      <c r="DI76">
        <f t="shared" si="1880"/>
        <v>0.3</v>
      </c>
      <c r="DJ76">
        <f t="shared" si="1881"/>
        <v>1.8400000000000001E-3</v>
      </c>
      <c r="DK76">
        <f t="shared" si="1882"/>
        <v>1.3999999999999999E-2</v>
      </c>
      <c r="DL76">
        <f t="shared" si="1883"/>
        <v>0.1</v>
      </c>
      <c r="DM76">
        <f t="shared" si="1884"/>
        <v>6.0000000000000001E-3</v>
      </c>
      <c r="DN76">
        <f t="shared" si="1885"/>
        <v>5.9999999999999995E-4</v>
      </c>
      <c r="DO76">
        <f t="shared" si="1886"/>
        <v>0.24</v>
      </c>
      <c r="DP76">
        <f t="shared" si="1887"/>
        <v>1.1999999999999999E-3</v>
      </c>
      <c r="DQ76">
        <f t="shared" si="1888"/>
        <v>1.6000000000000001E-3</v>
      </c>
      <c r="DR76">
        <f t="shared" si="1889"/>
        <v>2.58</v>
      </c>
      <c r="DS76">
        <f t="shared" si="1890"/>
        <v>8.0000000000000002E-3</v>
      </c>
      <c r="DT76">
        <f t="shared" si="1891"/>
        <v>3.4399999999999999E-3</v>
      </c>
      <c r="DU76">
        <f t="shared" si="1892"/>
        <v>0.26</v>
      </c>
      <c r="DV76">
        <f t="shared" si="1893"/>
        <v>6.3800000000000003E-3</v>
      </c>
      <c r="DW76">
        <f t="shared" si="1894"/>
        <v>0.01</v>
      </c>
      <c r="DX76">
        <f t="shared" si="1895"/>
        <v>0</v>
      </c>
      <c r="DY76">
        <f t="shared" si="1896"/>
        <v>0.1</v>
      </c>
      <c r="DZ76">
        <f t="shared" si="1897"/>
        <v>0</v>
      </c>
      <c r="EA76">
        <f t="shared" si="1898"/>
        <v>0.6</v>
      </c>
      <c r="EB76">
        <f t="shared" si="1899"/>
        <v>5.0000000000000001E-3</v>
      </c>
      <c r="EC76">
        <f t="shared" si="1900"/>
        <v>0</v>
      </c>
      <c r="ED76">
        <f t="shared" si="1901"/>
        <v>0</v>
      </c>
      <c r="EE76">
        <f t="shared" si="1902"/>
        <v>7.7999999999999999E-4</v>
      </c>
      <c r="EF76">
        <f t="shared" si="1903"/>
        <v>0</v>
      </c>
      <c r="EG76">
        <f t="shared" si="1904"/>
        <v>0</v>
      </c>
      <c r="EH76">
        <f t="shared" si="1905"/>
        <v>2.0000000000000002E-5</v>
      </c>
      <c r="EI76">
        <f t="shared" si="1906"/>
        <v>7.000000000000001E-4</v>
      </c>
      <c r="EJ76">
        <f t="shared" si="1907"/>
        <v>4.0000000000000003E-5</v>
      </c>
      <c r="EK76">
        <f t="shared" si="1908"/>
        <v>0</v>
      </c>
      <c r="EL76">
        <f t="shared" si="1909"/>
        <v>0</v>
      </c>
      <c r="EM76">
        <f t="shared" si="1910"/>
        <v>2.1999999999999998E-4</v>
      </c>
      <c r="EN76">
        <f t="shared" si="1911"/>
        <v>0</v>
      </c>
      <c r="EO76">
        <f t="shared" si="1912"/>
        <v>2.0000000000000002E-5</v>
      </c>
      <c r="EP76">
        <f t="shared" si="1913"/>
        <v>2.0000000000000001E-4</v>
      </c>
      <c r="EQ76">
        <f t="shared" si="1914"/>
        <v>0</v>
      </c>
      <c r="ER76">
        <f t="shared" si="1915"/>
        <v>0</v>
      </c>
      <c r="ES76">
        <f t="shared" si="1916"/>
        <v>1.7799999999999999E-3</v>
      </c>
      <c r="ET76">
        <f t="shared" si="1917"/>
        <v>1.2600000000000001E-3</v>
      </c>
      <c r="EU76">
        <f t="shared" si="1918"/>
        <v>5.1999999999999995E-4</v>
      </c>
      <c r="EV76">
        <f t="shared" si="1919"/>
        <v>0</v>
      </c>
      <c r="EW76">
        <f t="shared" si="1920"/>
        <v>0</v>
      </c>
      <c r="EX76">
        <f t="shared" si="1921"/>
        <v>0</v>
      </c>
      <c r="EY76">
        <f t="shared" si="1922"/>
        <v>0</v>
      </c>
      <c r="EZ76">
        <f t="shared" si="1923"/>
        <v>0.18</v>
      </c>
      <c r="FA76">
        <f t="shared" si="1924"/>
        <v>0.42</v>
      </c>
      <c r="FB76">
        <f t="shared" si="1925"/>
        <v>0.82</v>
      </c>
      <c r="FC76">
        <f t="shared" si="1926"/>
        <v>0.76</v>
      </c>
      <c r="FD76">
        <f t="shared" si="1927"/>
        <v>1.5</v>
      </c>
      <c r="FE76">
        <f t="shared" si="1928"/>
        <v>0.42</v>
      </c>
      <c r="FF76">
        <f t="shared" si="1929"/>
        <v>0.38</v>
      </c>
      <c r="FG76">
        <f t="shared" si="1930"/>
        <v>1.06</v>
      </c>
      <c r="FH76">
        <f t="shared" si="1931"/>
        <v>0.6</v>
      </c>
      <c r="FI76">
        <f t="shared" si="1932"/>
        <v>1.08</v>
      </c>
      <c r="FJ76">
        <f t="shared" si="1933"/>
        <v>1.8</v>
      </c>
      <c r="FK76">
        <f t="shared" si="1934"/>
        <v>0.42</v>
      </c>
      <c r="FL76">
        <f t="shared" si="1935"/>
        <v>1.76</v>
      </c>
      <c r="FM76">
        <f t="shared" si="1936"/>
        <v>4.12</v>
      </c>
      <c r="FN76">
        <f t="shared" si="1937"/>
        <v>3.42</v>
      </c>
      <c r="FO76">
        <f t="shared" si="1938"/>
        <v>2.88</v>
      </c>
      <c r="FP76">
        <f t="shared" si="1939"/>
        <v>1.58</v>
      </c>
      <c r="FQ76">
        <f t="shared" si="1940"/>
        <v>0.82</v>
      </c>
      <c r="FR76">
        <f t="shared" si="1941"/>
        <v>3.6000000000000004E-2</v>
      </c>
      <c r="FS76">
        <f t="shared" si="1942"/>
        <v>3.6000000000000004E-2</v>
      </c>
      <c r="FT76">
        <f t="shared" si="1943"/>
        <v>0</v>
      </c>
      <c r="FU76">
        <f t="shared" si="1944"/>
        <v>0.01</v>
      </c>
      <c r="FV76">
        <f t="shared" si="1945"/>
        <v>0</v>
      </c>
      <c r="FW76">
        <f t="shared" si="1946"/>
        <v>0</v>
      </c>
    </row>
    <row r="77" spans="1:179" x14ac:dyDescent="0.35">
      <c r="B77" s="72" t="s">
        <v>437</v>
      </c>
      <c r="C77" s="8">
        <v>2</v>
      </c>
      <c r="D77" s="6">
        <v>325</v>
      </c>
      <c r="E77" s="6">
        <v>1345</v>
      </c>
      <c r="F77" s="6">
        <v>15.8</v>
      </c>
      <c r="G77" s="6">
        <v>15.8</v>
      </c>
      <c r="H77" s="6">
        <v>0</v>
      </c>
      <c r="I77" s="6">
        <v>29.1</v>
      </c>
      <c r="J77" s="6">
        <v>29.1</v>
      </c>
      <c r="K77" s="6">
        <v>0</v>
      </c>
      <c r="L77" s="6">
        <v>1337</v>
      </c>
      <c r="M77" s="51">
        <v>0.05</v>
      </c>
      <c r="N77" s="6">
        <v>0</v>
      </c>
      <c r="O77" s="51">
        <v>0.05</v>
      </c>
      <c r="P77" s="6">
        <v>0</v>
      </c>
      <c r="Q77" s="6">
        <v>0</v>
      </c>
      <c r="R77" s="6">
        <v>53.2</v>
      </c>
      <c r="S77" s="6">
        <v>4.9000000000000004</v>
      </c>
      <c r="T77" s="6">
        <v>116</v>
      </c>
      <c r="U77" s="6">
        <v>43</v>
      </c>
      <c r="V77" s="6">
        <v>90</v>
      </c>
      <c r="W77" s="6">
        <v>586</v>
      </c>
      <c r="X77" s="6">
        <v>2.1</v>
      </c>
      <c r="Y77" s="6">
        <v>14</v>
      </c>
      <c r="Z77" s="6">
        <v>0.2</v>
      </c>
      <c r="AA77" s="6">
        <v>10</v>
      </c>
      <c r="AB77" s="6">
        <v>140</v>
      </c>
      <c r="AC77" s="6">
        <v>140</v>
      </c>
      <c r="AD77" s="6">
        <v>0.1</v>
      </c>
      <c r="AE77" s="6">
        <v>170</v>
      </c>
      <c r="AF77" s="6">
        <v>0.27</v>
      </c>
      <c r="AG77" s="6">
        <v>0.35</v>
      </c>
      <c r="AH77" s="6">
        <v>0</v>
      </c>
      <c r="AI77" s="6">
        <v>0.1</v>
      </c>
      <c r="AJ77" s="6">
        <v>0.3</v>
      </c>
      <c r="AK77" s="6">
        <v>130</v>
      </c>
      <c r="AL77" s="6">
        <v>4.5999999999999996</v>
      </c>
      <c r="AM77" s="6">
        <v>50</v>
      </c>
      <c r="AN77" s="6">
        <v>6.9</v>
      </c>
      <c r="AO77" s="6">
        <v>640</v>
      </c>
      <c r="AP77" s="6">
        <v>607</v>
      </c>
      <c r="AQ77" s="6">
        <v>198</v>
      </c>
      <c r="AR77" s="6">
        <v>3.11</v>
      </c>
      <c r="AS77" s="6">
        <v>4.9400000000000004</v>
      </c>
      <c r="AT77" s="51">
        <v>5.0000000000000001E-3</v>
      </c>
      <c r="AU77" s="6">
        <v>9.82</v>
      </c>
      <c r="AV77" s="6">
        <v>0</v>
      </c>
      <c r="AW77" s="6">
        <v>0</v>
      </c>
      <c r="AX77" s="6">
        <v>0.08</v>
      </c>
      <c r="AY77" s="6">
        <v>5.98</v>
      </c>
      <c r="AZ77" s="6">
        <v>3.73</v>
      </c>
      <c r="BA77" s="6">
        <v>0</v>
      </c>
      <c r="BB77" s="6">
        <v>0</v>
      </c>
      <c r="BC77" s="6">
        <v>8.2899999999999991</v>
      </c>
      <c r="BD77" s="6">
        <v>0</v>
      </c>
      <c r="BE77" s="6">
        <v>0.66</v>
      </c>
      <c r="BF77" s="6">
        <v>7.63</v>
      </c>
      <c r="BG77" s="6">
        <v>0</v>
      </c>
      <c r="BH77" s="6">
        <v>0</v>
      </c>
      <c r="BI77" s="6">
        <v>4.63</v>
      </c>
      <c r="BJ77" s="6">
        <v>3.83</v>
      </c>
      <c r="BK77" s="6">
        <v>0.11</v>
      </c>
      <c r="BL77" s="6">
        <v>0.68</v>
      </c>
      <c r="BM77" s="6">
        <v>0</v>
      </c>
      <c r="BN77" s="6">
        <v>0</v>
      </c>
      <c r="BO77" s="6">
        <v>0.01</v>
      </c>
      <c r="BP77" s="7">
        <v>237</v>
      </c>
      <c r="BQ77" s="7">
        <v>826</v>
      </c>
      <c r="BR77" s="7">
        <v>842</v>
      </c>
      <c r="BS77" s="7">
        <v>1347</v>
      </c>
      <c r="BT77" s="7">
        <v>1250</v>
      </c>
      <c r="BU77" s="7">
        <v>422</v>
      </c>
      <c r="BV77" s="7">
        <v>328</v>
      </c>
      <c r="BW77" s="7">
        <v>707</v>
      </c>
      <c r="BX77" s="7">
        <v>663</v>
      </c>
      <c r="BY77" s="7">
        <v>993</v>
      </c>
      <c r="BZ77" s="7">
        <v>1103</v>
      </c>
      <c r="CA77" s="7">
        <v>394</v>
      </c>
      <c r="CB77" s="7">
        <v>878</v>
      </c>
      <c r="CC77" s="7">
        <v>1524</v>
      </c>
      <c r="CD77" s="7">
        <v>1885</v>
      </c>
      <c r="CE77" s="7">
        <v>490</v>
      </c>
      <c r="CF77" s="7">
        <v>685</v>
      </c>
      <c r="CG77" s="7">
        <v>1170</v>
      </c>
      <c r="CH77" s="51">
        <v>0.05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>
        <f t="shared" si="1859"/>
        <v>6.5</v>
      </c>
      <c r="CO77">
        <f t="shared" si="1860"/>
        <v>26.9</v>
      </c>
      <c r="CP77">
        <f t="shared" si="1861"/>
        <v>0.316</v>
      </c>
      <c r="CQ77">
        <f t="shared" si="1862"/>
        <v>0.316</v>
      </c>
      <c r="CR77">
        <f t="shared" si="1863"/>
        <v>0</v>
      </c>
      <c r="CS77">
        <f t="shared" si="1864"/>
        <v>0.58200000000000007</v>
      </c>
      <c r="CT77">
        <f t="shared" si="1865"/>
        <v>0.58200000000000007</v>
      </c>
      <c r="CU77">
        <f t="shared" si="1866"/>
        <v>0</v>
      </c>
      <c r="CV77">
        <f t="shared" si="1867"/>
        <v>26.74</v>
      </c>
      <c r="CW77">
        <f t="shared" si="1868"/>
        <v>1E-3</v>
      </c>
      <c r="CX77">
        <f t="shared" si="1869"/>
        <v>0</v>
      </c>
      <c r="CY77">
        <f t="shared" si="1870"/>
        <v>1E-3</v>
      </c>
      <c r="CZ77">
        <f t="shared" si="1871"/>
        <v>0</v>
      </c>
      <c r="DA77">
        <f t="shared" si="1872"/>
        <v>0</v>
      </c>
      <c r="DB77">
        <f t="shared" si="1873"/>
        <v>1.0640000000000001</v>
      </c>
      <c r="DC77">
        <f t="shared" si="1874"/>
        <v>9.8000000000000004E-2</v>
      </c>
      <c r="DD77">
        <f t="shared" si="1875"/>
        <v>2.3199999999999998</v>
      </c>
      <c r="DE77">
        <f t="shared" si="1876"/>
        <v>0.86</v>
      </c>
      <c r="DF77">
        <f t="shared" si="1877"/>
        <v>1.8</v>
      </c>
      <c r="DG77">
        <f t="shared" si="1878"/>
        <v>11.72</v>
      </c>
      <c r="DH77">
        <f t="shared" si="1879"/>
        <v>4.2000000000000003E-2</v>
      </c>
      <c r="DI77">
        <f t="shared" si="1880"/>
        <v>0.28000000000000003</v>
      </c>
      <c r="DJ77">
        <f t="shared" si="1881"/>
        <v>4.0000000000000001E-3</v>
      </c>
      <c r="DK77">
        <f t="shared" si="1882"/>
        <v>0.2</v>
      </c>
      <c r="DL77">
        <f t="shared" si="1883"/>
        <v>2.8</v>
      </c>
      <c r="DM77">
        <f t="shared" si="1884"/>
        <v>2.8</v>
      </c>
      <c r="DN77">
        <f t="shared" si="1885"/>
        <v>2E-3</v>
      </c>
      <c r="DO77">
        <f t="shared" si="1886"/>
        <v>3.4</v>
      </c>
      <c r="DP77">
        <f t="shared" si="1887"/>
        <v>5.4000000000000003E-3</v>
      </c>
      <c r="DQ77">
        <f t="shared" si="1888"/>
        <v>6.9999999999999993E-3</v>
      </c>
      <c r="DR77">
        <f t="shared" si="1889"/>
        <v>0</v>
      </c>
      <c r="DS77">
        <f t="shared" si="1890"/>
        <v>2E-3</v>
      </c>
      <c r="DT77">
        <f t="shared" si="1891"/>
        <v>6.0000000000000001E-3</v>
      </c>
      <c r="DU77">
        <f t="shared" si="1892"/>
        <v>2.6</v>
      </c>
      <c r="DV77">
        <f t="shared" si="1893"/>
        <v>9.1999999999999998E-2</v>
      </c>
      <c r="DW77">
        <f t="shared" si="1894"/>
        <v>1</v>
      </c>
      <c r="DX77">
        <f t="shared" si="1895"/>
        <v>0.13800000000000001</v>
      </c>
      <c r="DY77">
        <f t="shared" si="1896"/>
        <v>12.8</v>
      </c>
      <c r="DZ77">
        <f t="shared" si="1897"/>
        <v>12.14</v>
      </c>
      <c r="EA77">
        <f t="shared" si="1898"/>
        <v>3.96</v>
      </c>
      <c r="EB77">
        <f t="shared" si="1899"/>
        <v>6.2199999999999998E-2</v>
      </c>
      <c r="EC77">
        <f t="shared" si="1900"/>
        <v>9.8800000000000013E-2</v>
      </c>
      <c r="ED77">
        <f t="shared" si="1901"/>
        <v>1E-4</v>
      </c>
      <c r="EE77">
        <f t="shared" si="1902"/>
        <v>0.19640000000000002</v>
      </c>
      <c r="EF77">
        <f t="shared" si="1903"/>
        <v>0</v>
      </c>
      <c r="EG77">
        <f t="shared" si="1904"/>
        <v>0</v>
      </c>
      <c r="EH77">
        <f t="shared" si="1905"/>
        <v>1.6000000000000001E-3</v>
      </c>
      <c r="EI77">
        <f t="shared" si="1906"/>
        <v>0.11960000000000001</v>
      </c>
      <c r="EJ77">
        <f t="shared" si="1907"/>
        <v>7.46E-2</v>
      </c>
      <c r="EK77">
        <f t="shared" si="1908"/>
        <v>0</v>
      </c>
      <c r="EL77">
        <f t="shared" si="1909"/>
        <v>0</v>
      </c>
      <c r="EM77">
        <f t="shared" si="1910"/>
        <v>0.16579999999999998</v>
      </c>
      <c r="EN77">
        <f t="shared" si="1911"/>
        <v>0</v>
      </c>
      <c r="EO77">
        <f t="shared" si="1912"/>
        <v>1.32E-2</v>
      </c>
      <c r="EP77">
        <f t="shared" si="1913"/>
        <v>0.15259999999999999</v>
      </c>
      <c r="EQ77">
        <f t="shared" si="1914"/>
        <v>0</v>
      </c>
      <c r="ER77">
        <f t="shared" si="1915"/>
        <v>0</v>
      </c>
      <c r="ES77">
        <f t="shared" si="1916"/>
        <v>9.2600000000000002E-2</v>
      </c>
      <c r="ET77">
        <f t="shared" si="1917"/>
        <v>7.6600000000000001E-2</v>
      </c>
      <c r="EU77">
        <f t="shared" si="1918"/>
        <v>2.2000000000000001E-3</v>
      </c>
      <c r="EV77">
        <f t="shared" si="1919"/>
        <v>1.3600000000000001E-2</v>
      </c>
      <c r="EW77">
        <f t="shared" si="1920"/>
        <v>0</v>
      </c>
      <c r="EX77">
        <f t="shared" si="1921"/>
        <v>0</v>
      </c>
      <c r="EY77">
        <f t="shared" si="1922"/>
        <v>2.0000000000000001E-4</v>
      </c>
      <c r="EZ77">
        <f t="shared" si="1923"/>
        <v>4.74</v>
      </c>
      <c r="FA77">
        <f t="shared" si="1924"/>
        <v>16.52</v>
      </c>
      <c r="FB77">
        <f t="shared" si="1925"/>
        <v>16.84</v>
      </c>
      <c r="FC77">
        <f t="shared" si="1926"/>
        <v>26.94</v>
      </c>
      <c r="FD77">
        <f t="shared" si="1927"/>
        <v>25</v>
      </c>
      <c r="FE77">
        <f t="shared" si="1928"/>
        <v>8.44</v>
      </c>
      <c r="FF77">
        <f t="shared" si="1929"/>
        <v>6.56</v>
      </c>
      <c r="FG77">
        <f t="shared" si="1930"/>
        <v>14.14</v>
      </c>
      <c r="FH77">
        <f t="shared" si="1931"/>
        <v>13.26</v>
      </c>
      <c r="FI77">
        <f t="shared" si="1932"/>
        <v>19.86</v>
      </c>
      <c r="FJ77">
        <f t="shared" si="1933"/>
        <v>22.06</v>
      </c>
      <c r="FK77">
        <f t="shared" si="1934"/>
        <v>7.88</v>
      </c>
      <c r="FL77">
        <f t="shared" si="1935"/>
        <v>17.559999999999999</v>
      </c>
      <c r="FM77">
        <f t="shared" si="1936"/>
        <v>30.48</v>
      </c>
      <c r="FN77">
        <f t="shared" si="1937"/>
        <v>37.700000000000003</v>
      </c>
      <c r="FO77">
        <f t="shared" si="1938"/>
        <v>9.8000000000000007</v>
      </c>
      <c r="FP77">
        <f t="shared" si="1939"/>
        <v>13.7</v>
      </c>
      <c r="FQ77">
        <f t="shared" si="1940"/>
        <v>23.4</v>
      </c>
      <c r="FR77">
        <f t="shared" si="1941"/>
        <v>1E-3</v>
      </c>
      <c r="FS77">
        <f t="shared" si="1942"/>
        <v>0</v>
      </c>
      <c r="FT77">
        <f t="shared" si="1943"/>
        <v>0</v>
      </c>
      <c r="FU77">
        <f t="shared" si="1944"/>
        <v>0</v>
      </c>
      <c r="FV77">
        <f t="shared" si="1945"/>
        <v>0</v>
      </c>
      <c r="FW77">
        <f t="shared" si="1946"/>
        <v>0</v>
      </c>
    </row>
    <row r="78" spans="1:179" x14ac:dyDescent="0.35">
      <c r="B78" s="73" t="s">
        <v>436</v>
      </c>
      <c r="C78" s="8">
        <v>2</v>
      </c>
      <c r="D78" s="48">
        <v>60</v>
      </c>
      <c r="E78" s="48">
        <v>253</v>
      </c>
      <c r="F78" s="48">
        <v>3.74</v>
      </c>
      <c r="G78" s="49">
        <v>0</v>
      </c>
      <c r="H78" s="49">
        <v>3.74</v>
      </c>
      <c r="I78" s="48">
        <v>3.34</v>
      </c>
      <c r="J78" s="49">
        <v>0</v>
      </c>
      <c r="K78" s="49">
        <v>3.34</v>
      </c>
      <c r="L78" s="48">
        <v>0</v>
      </c>
      <c r="M78" s="48">
        <v>5.83</v>
      </c>
      <c r="N78" s="48">
        <v>0.64</v>
      </c>
      <c r="O78" s="48">
        <v>0.92</v>
      </c>
      <c r="P78" s="48">
        <v>4</v>
      </c>
      <c r="Q78" s="48">
        <v>0</v>
      </c>
      <c r="R78" s="48">
        <v>83.7</v>
      </c>
      <c r="S78" s="48">
        <v>1.61</v>
      </c>
      <c r="T78" s="48">
        <v>63</v>
      </c>
      <c r="U78" s="48">
        <v>1100</v>
      </c>
      <c r="V78" s="48">
        <v>152</v>
      </c>
      <c r="W78" s="48">
        <v>108</v>
      </c>
      <c r="X78" s="48">
        <v>0.64</v>
      </c>
      <c r="Y78" s="48">
        <v>48</v>
      </c>
      <c r="Z78" s="48">
        <v>7.3999999999999996E-2</v>
      </c>
      <c r="AA78" s="48">
        <v>33.5</v>
      </c>
      <c r="AB78" s="42">
        <v>3550</v>
      </c>
      <c r="AC78" s="42">
        <v>1</v>
      </c>
      <c r="AD78" s="48">
        <v>0.42199999999999999</v>
      </c>
      <c r="AE78" s="43">
        <v>22.5</v>
      </c>
      <c r="AF78" s="48">
        <v>0.17699999999999999</v>
      </c>
      <c r="AG78" s="48">
        <v>7.0000000000000007E-2</v>
      </c>
      <c r="AH78" s="48">
        <v>0.3</v>
      </c>
      <c r="AI78" s="48">
        <v>0.56499999999999995</v>
      </c>
      <c r="AJ78" s="48">
        <v>7.0000000000000007E-2</v>
      </c>
      <c r="AK78" s="48">
        <v>7</v>
      </c>
      <c r="AL78" s="48">
        <v>0.254</v>
      </c>
      <c r="AM78" s="42">
        <v>0</v>
      </c>
      <c r="AN78" s="48">
        <v>0</v>
      </c>
      <c r="AO78" s="48">
        <v>10.833333333333334</v>
      </c>
      <c r="AP78" s="48">
        <v>0</v>
      </c>
      <c r="AQ78" s="48">
        <v>65</v>
      </c>
      <c r="AR78" s="48">
        <v>0.58179999999999998</v>
      </c>
      <c r="AS78" s="48">
        <v>0</v>
      </c>
      <c r="AT78" s="48">
        <v>1.4</v>
      </c>
      <c r="AU78" s="48">
        <v>0.214</v>
      </c>
      <c r="AV78" s="44">
        <v>5.0000000000000001E-3</v>
      </c>
      <c r="AW78" s="48">
        <v>2E-3</v>
      </c>
      <c r="AX78" s="48">
        <v>4.0000000000000001E-3</v>
      </c>
      <c r="AY78" s="48">
        <v>0.11700000000000001</v>
      </c>
      <c r="AZ78" s="48">
        <v>3.7999999999999999E-2</v>
      </c>
      <c r="BA78" s="48">
        <v>0.02</v>
      </c>
      <c r="BB78" s="48">
        <v>1.6E-2</v>
      </c>
      <c r="BC78" s="48">
        <v>2.1800000000000002</v>
      </c>
      <c r="BD78" s="48">
        <v>0</v>
      </c>
      <c r="BE78" s="48">
        <v>8.0000000000000002E-3</v>
      </c>
      <c r="BF78" s="48">
        <v>0.77800000000000002</v>
      </c>
      <c r="BG78" s="48">
        <v>0.28899999999999998</v>
      </c>
      <c r="BH78" s="48">
        <v>1.06</v>
      </c>
      <c r="BI78" s="48">
        <v>0.77400000000000002</v>
      </c>
      <c r="BJ78" s="48">
        <v>0.35799999999999998</v>
      </c>
      <c r="BK78" s="48">
        <v>0.373</v>
      </c>
      <c r="BL78" s="48">
        <v>0</v>
      </c>
      <c r="BM78" s="48">
        <v>0</v>
      </c>
      <c r="BN78" s="48">
        <v>0</v>
      </c>
      <c r="BO78" s="44">
        <v>0.78300000000000003</v>
      </c>
      <c r="BP78" s="48">
        <v>8.9999999999999993E-3</v>
      </c>
      <c r="BQ78" s="48">
        <v>0.16700000000000001</v>
      </c>
      <c r="BR78" s="48">
        <v>0.14599999999999999</v>
      </c>
      <c r="BS78" s="48">
        <v>0.29199999999999998</v>
      </c>
      <c r="BT78" s="48">
        <v>0.26400000000000001</v>
      </c>
      <c r="BU78" s="48">
        <v>7.5999999999999998E-2</v>
      </c>
      <c r="BV78" s="48">
        <v>7.1999999999999995E-2</v>
      </c>
      <c r="BW78" s="48">
        <v>0.161</v>
      </c>
      <c r="BX78" s="48">
        <v>0.13400000000000001</v>
      </c>
      <c r="BY78" s="48">
        <v>0.189</v>
      </c>
      <c r="BZ78" s="48">
        <v>0.252</v>
      </c>
      <c r="CA78" s="48">
        <v>0.11899999999999999</v>
      </c>
      <c r="CB78" s="48">
        <v>0.16400000000000001</v>
      </c>
      <c r="CC78" s="48">
        <v>0.39</v>
      </c>
      <c r="CD78" s="48">
        <v>0.72399999999999998</v>
      </c>
      <c r="CE78" s="48">
        <v>0.22800000000000001</v>
      </c>
      <c r="CF78" s="48">
        <v>0.35499999999999998</v>
      </c>
      <c r="CG78" s="48">
        <v>0.20399999999999999</v>
      </c>
      <c r="CH78" s="48">
        <v>0.47</v>
      </c>
      <c r="CI78" s="48">
        <v>0.23</v>
      </c>
      <c r="CJ78" s="48">
        <v>0</v>
      </c>
      <c r="CK78" s="48">
        <v>0.21</v>
      </c>
      <c r="CL78" s="48">
        <v>0</v>
      </c>
      <c r="CM78" s="48">
        <v>0</v>
      </c>
      <c r="CN78">
        <f t="shared" si="1859"/>
        <v>1.2</v>
      </c>
      <c r="CO78">
        <f t="shared" si="1860"/>
        <v>5.0599999999999996</v>
      </c>
      <c r="CP78">
        <f t="shared" si="1861"/>
        <v>7.4800000000000005E-2</v>
      </c>
      <c r="CQ78">
        <f t="shared" si="1862"/>
        <v>0</v>
      </c>
      <c r="CR78">
        <f t="shared" si="1863"/>
        <v>7.4800000000000005E-2</v>
      </c>
      <c r="CS78">
        <f t="shared" si="1864"/>
        <v>6.6799999999999998E-2</v>
      </c>
      <c r="CT78">
        <f t="shared" si="1865"/>
        <v>0</v>
      </c>
      <c r="CU78">
        <f t="shared" si="1866"/>
        <v>6.6799999999999998E-2</v>
      </c>
      <c r="CV78">
        <f t="shared" si="1867"/>
        <v>0</v>
      </c>
      <c r="CW78">
        <f t="shared" si="1868"/>
        <v>0.1166</v>
      </c>
      <c r="CX78">
        <f t="shared" si="1869"/>
        <v>1.2800000000000001E-2</v>
      </c>
      <c r="CY78">
        <f t="shared" si="1870"/>
        <v>1.84E-2</v>
      </c>
      <c r="CZ78">
        <f t="shared" si="1871"/>
        <v>0.08</v>
      </c>
      <c r="DA78">
        <f t="shared" si="1872"/>
        <v>0</v>
      </c>
      <c r="DB78">
        <f t="shared" si="1873"/>
        <v>1.6740000000000002</v>
      </c>
      <c r="DC78">
        <f t="shared" si="1874"/>
        <v>3.2199999999999999E-2</v>
      </c>
      <c r="DD78">
        <f t="shared" si="1875"/>
        <v>1.26</v>
      </c>
      <c r="DE78">
        <f t="shared" si="1876"/>
        <v>22</v>
      </c>
      <c r="DF78">
        <f t="shared" si="1877"/>
        <v>3.04</v>
      </c>
      <c r="DG78">
        <f t="shared" si="1878"/>
        <v>2.16</v>
      </c>
      <c r="DH78">
        <f t="shared" si="1879"/>
        <v>1.2800000000000001E-2</v>
      </c>
      <c r="DI78">
        <f t="shared" si="1880"/>
        <v>0.96</v>
      </c>
      <c r="DJ78">
        <f t="shared" si="1881"/>
        <v>1.48E-3</v>
      </c>
      <c r="DK78">
        <f t="shared" si="1882"/>
        <v>0.67</v>
      </c>
      <c r="DL78">
        <f t="shared" si="1883"/>
        <v>71</v>
      </c>
      <c r="DM78">
        <f t="shared" si="1884"/>
        <v>0.02</v>
      </c>
      <c r="DN78">
        <f t="shared" si="1885"/>
        <v>8.4399999999999996E-3</v>
      </c>
      <c r="DO78">
        <f t="shared" si="1886"/>
        <v>0.45</v>
      </c>
      <c r="DP78">
        <f t="shared" si="1887"/>
        <v>3.5399999999999997E-3</v>
      </c>
      <c r="DQ78">
        <f t="shared" si="1888"/>
        <v>1.4000000000000002E-3</v>
      </c>
      <c r="DR78">
        <f t="shared" si="1889"/>
        <v>6.0000000000000001E-3</v>
      </c>
      <c r="DS78">
        <f t="shared" si="1890"/>
        <v>1.1299999999999999E-2</v>
      </c>
      <c r="DT78">
        <f t="shared" si="1891"/>
        <v>1.4000000000000002E-3</v>
      </c>
      <c r="DU78">
        <f t="shared" si="1892"/>
        <v>0.14000000000000001</v>
      </c>
      <c r="DV78">
        <f t="shared" si="1893"/>
        <v>5.0800000000000003E-3</v>
      </c>
      <c r="DW78">
        <f t="shared" si="1894"/>
        <v>0</v>
      </c>
      <c r="DX78">
        <f t="shared" si="1895"/>
        <v>0</v>
      </c>
      <c r="DY78">
        <f t="shared" si="1896"/>
        <v>0.21666666666666667</v>
      </c>
      <c r="DZ78">
        <f t="shared" si="1897"/>
        <v>0</v>
      </c>
      <c r="EA78">
        <f t="shared" si="1898"/>
        <v>1.3</v>
      </c>
      <c r="EB78">
        <f t="shared" si="1899"/>
        <v>1.1636000000000001E-2</v>
      </c>
      <c r="EC78">
        <f t="shared" si="1900"/>
        <v>0</v>
      </c>
      <c r="ED78">
        <f t="shared" si="1901"/>
        <v>2.7999999999999997E-2</v>
      </c>
      <c r="EE78">
        <f t="shared" si="1902"/>
        <v>4.28E-3</v>
      </c>
      <c r="EF78">
        <f t="shared" si="1903"/>
        <v>1E-4</v>
      </c>
      <c r="EG78">
        <f t="shared" si="1904"/>
        <v>4.0000000000000003E-5</v>
      </c>
      <c r="EH78">
        <f t="shared" si="1905"/>
        <v>8.0000000000000007E-5</v>
      </c>
      <c r="EI78">
        <f t="shared" si="1906"/>
        <v>2.3400000000000001E-3</v>
      </c>
      <c r="EJ78">
        <f t="shared" si="1907"/>
        <v>7.5999999999999993E-4</v>
      </c>
      <c r="EK78">
        <f t="shared" si="1908"/>
        <v>4.0000000000000002E-4</v>
      </c>
      <c r="EL78">
        <f t="shared" si="1909"/>
        <v>3.2000000000000003E-4</v>
      </c>
      <c r="EM78">
        <f t="shared" si="1910"/>
        <v>4.36E-2</v>
      </c>
      <c r="EN78">
        <f t="shared" si="1911"/>
        <v>0</v>
      </c>
      <c r="EO78">
        <f t="shared" si="1912"/>
        <v>1.6000000000000001E-4</v>
      </c>
      <c r="EP78">
        <f t="shared" si="1913"/>
        <v>1.5560000000000001E-2</v>
      </c>
      <c r="EQ78">
        <f t="shared" si="1914"/>
        <v>5.7799999999999995E-3</v>
      </c>
      <c r="ER78">
        <f t="shared" si="1915"/>
        <v>2.12E-2</v>
      </c>
      <c r="ES78">
        <f t="shared" si="1916"/>
        <v>1.5480000000000001E-2</v>
      </c>
      <c r="ET78">
        <f t="shared" si="1917"/>
        <v>7.1599999999999997E-3</v>
      </c>
      <c r="EU78">
        <f t="shared" si="1918"/>
        <v>7.4599999999999996E-3</v>
      </c>
      <c r="EV78">
        <f t="shared" si="1919"/>
        <v>0</v>
      </c>
      <c r="EW78">
        <f t="shared" si="1920"/>
        <v>0</v>
      </c>
      <c r="EX78">
        <f t="shared" si="1921"/>
        <v>0</v>
      </c>
      <c r="EY78">
        <f t="shared" si="1922"/>
        <v>1.566E-2</v>
      </c>
      <c r="EZ78">
        <f t="shared" si="1923"/>
        <v>1.7999999999999998E-4</v>
      </c>
      <c r="FA78">
        <f t="shared" si="1924"/>
        <v>3.3400000000000001E-3</v>
      </c>
      <c r="FB78">
        <f t="shared" si="1925"/>
        <v>2.9199999999999999E-3</v>
      </c>
      <c r="FC78">
        <f t="shared" si="1926"/>
        <v>5.8399999999999997E-3</v>
      </c>
      <c r="FD78">
        <f t="shared" si="1927"/>
        <v>5.28E-3</v>
      </c>
      <c r="FE78">
        <f t="shared" si="1928"/>
        <v>1.5199999999999999E-3</v>
      </c>
      <c r="FF78">
        <f t="shared" si="1929"/>
        <v>1.4399999999999999E-3</v>
      </c>
      <c r="FG78">
        <f t="shared" si="1930"/>
        <v>3.2200000000000002E-3</v>
      </c>
      <c r="FH78">
        <f t="shared" si="1931"/>
        <v>2.6800000000000001E-3</v>
      </c>
      <c r="FI78">
        <f t="shared" si="1932"/>
        <v>3.7799999999999999E-3</v>
      </c>
      <c r="FJ78">
        <f t="shared" si="1933"/>
        <v>5.0400000000000002E-3</v>
      </c>
      <c r="FK78">
        <f t="shared" si="1934"/>
        <v>2.3799999999999997E-3</v>
      </c>
      <c r="FL78">
        <f t="shared" si="1935"/>
        <v>3.2799999999999999E-3</v>
      </c>
      <c r="FM78">
        <f t="shared" si="1936"/>
        <v>7.8000000000000005E-3</v>
      </c>
      <c r="FN78">
        <f t="shared" si="1937"/>
        <v>1.448E-2</v>
      </c>
      <c r="FO78">
        <f t="shared" si="1938"/>
        <v>4.5599999999999998E-3</v>
      </c>
      <c r="FP78">
        <f t="shared" si="1939"/>
        <v>7.0999999999999995E-3</v>
      </c>
      <c r="FQ78">
        <f t="shared" si="1940"/>
        <v>4.0799999999999994E-3</v>
      </c>
      <c r="FR78">
        <f t="shared" si="1941"/>
        <v>9.3999999999999986E-3</v>
      </c>
      <c r="FS78">
        <f t="shared" si="1942"/>
        <v>4.5999999999999999E-3</v>
      </c>
      <c r="FT78">
        <f t="shared" si="1943"/>
        <v>0</v>
      </c>
      <c r="FU78">
        <f t="shared" si="1944"/>
        <v>4.1999999999999997E-3</v>
      </c>
      <c r="FV78">
        <f t="shared" si="1945"/>
        <v>0</v>
      </c>
      <c r="FW78">
        <f t="shared" si="1946"/>
        <v>0</v>
      </c>
    </row>
    <row r="79" spans="1:179" x14ac:dyDescent="0.35">
      <c r="B79" s="73" t="s">
        <v>408</v>
      </c>
      <c r="C79" s="8">
        <v>2</v>
      </c>
      <c r="D79" s="48">
        <v>77</v>
      </c>
      <c r="E79" s="48">
        <v>321</v>
      </c>
      <c r="F79" s="48">
        <v>0</v>
      </c>
      <c r="G79" s="49">
        <v>0</v>
      </c>
      <c r="H79" s="49">
        <v>0</v>
      </c>
      <c r="I79" s="48">
        <v>0</v>
      </c>
      <c r="J79" s="49">
        <v>0</v>
      </c>
      <c r="K79" s="49">
        <v>0</v>
      </c>
      <c r="L79" s="48">
        <v>0</v>
      </c>
      <c r="M79" s="48">
        <v>19.2</v>
      </c>
      <c r="N79" s="50">
        <v>0.75</v>
      </c>
      <c r="O79" s="48">
        <v>10</v>
      </c>
      <c r="P79" s="48">
        <v>0</v>
      </c>
      <c r="Q79" s="48">
        <v>0</v>
      </c>
      <c r="R79" s="48">
        <v>78.5</v>
      </c>
      <c r="S79" s="48">
        <v>5.3</v>
      </c>
      <c r="T79" s="48">
        <v>107</v>
      </c>
      <c r="U79" s="48">
        <v>1300</v>
      </c>
      <c r="V79" s="48">
        <v>800</v>
      </c>
      <c r="W79" s="48">
        <v>60</v>
      </c>
      <c r="X79" s="48">
        <v>0.19</v>
      </c>
      <c r="Y79" s="48">
        <v>13</v>
      </c>
      <c r="Z79" s="48">
        <v>0.2</v>
      </c>
      <c r="AA79" s="48">
        <v>0.5</v>
      </c>
      <c r="AB79" s="50">
        <v>1640</v>
      </c>
      <c r="AC79" s="50">
        <v>1.6</v>
      </c>
      <c r="AD79" s="50">
        <v>680</v>
      </c>
      <c r="AE79" s="50">
        <v>31</v>
      </c>
      <c r="AF79" s="48">
        <v>7.0000000000000007E-2</v>
      </c>
      <c r="AG79" s="48">
        <v>0.13</v>
      </c>
      <c r="AH79" s="48">
        <v>13</v>
      </c>
      <c r="AI79" s="48">
        <v>0.7</v>
      </c>
      <c r="AJ79" s="48">
        <v>0</v>
      </c>
      <c r="AK79" s="48">
        <v>8</v>
      </c>
      <c r="AL79" s="50">
        <v>0</v>
      </c>
      <c r="AM79" s="50">
        <v>1</v>
      </c>
      <c r="AN79" s="48">
        <v>0</v>
      </c>
      <c r="AO79" s="48">
        <v>8.5</v>
      </c>
      <c r="AP79" s="48">
        <v>1</v>
      </c>
      <c r="AQ79" s="48">
        <v>45</v>
      </c>
      <c r="AR79" s="48">
        <v>0.08</v>
      </c>
      <c r="AS79" s="48">
        <v>0</v>
      </c>
      <c r="AT79" s="48">
        <v>1</v>
      </c>
      <c r="AU79" s="48">
        <v>0</v>
      </c>
      <c r="AV79" s="44">
        <v>0</v>
      </c>
      <c r="AW79" s="48">
        <v>0</v>
      </c>
      <c r="AX79" s="48">
        <v>0</v>
      </c>
      <c r="AY79" s="48">
        <v>0</v>
      </c>
      <c r="AZ79" s="48">
        <v>0</v>
      </c>
      <c r="BA79" s="43">
        <v>0</v>
      </c>
      <c r="BB79" s="43">
        <v>0</v>
      </c>
      <c r="BC79" s="48">
        <v>0</v>
      </c>
      <c r="BD79" s="43">
        <v>0</v>
      </c>
      <c r="BE79" s="48">
        <v>0</v>
      </c>
      <c r="BF79" s="48">
        <v>0</v>
      </c>
      <c r="BG79" s="48">
        <v>0</v>
      </c>
      <c r="BH79" s="48">
        <v>0</v>
      </c>
      <c r="BI79" s="48">
        <v>0</v>
      </c>
      <c r="BJ79" s="43">
        <v>0</v>
      </c>
      <c r="BK79" s="43">
        <v>0</v>
      </c>
      <c r="BL79" s="48">
        <v>0</v>
      </c>
      <c r="BM79" s="48">
        <v>0</v>
      </c>
      <c r="BN79" s="48">
        <v>0</v>
      </c>
      <c r="BO79" s="44">
        <v>0</v>
      </c>
      <c r="BP79" s="43">
        <v>7.0000000000000001E-3</v>
      </c>
      <c r="BQ79" s="43">
        <v>9.2999999999999999E-2</v>
      </c>
      <c r="BR79" s="43">
        <v>0.08</v>
      </c>
      <c r="BS79" s="43">
        <v>0.1565</v>
      </c>
      <c r="BT79" s="43">
        <v>0.14349999999999999</v>
      </c>
      <c r="BU79" s="43">
        <v>4.0500000000000001E-2</v>
      </c>
      <c r="BV79" s="43">
        <v>3.85E-2</v>
      </c>
      <c r="BW79" s="43">
        <v>9.0999999999999998E-2</v>
      </c>
      <c r="BX79" s="43">
        <v>7.1499999999999994E-2</v>
      </c>
      <c r="BY79" s="43">
        <v>0.10150000000000001</v>
      </c>
      <c r="BZ79" s="43">
        <v>0.13400000000000001</v>
      </c>
      <c r="CA79" s="43">
        <v>6.6000000000000003E-2</v>
      </c>
      <c r="CB79" s="43">
        <v>9.8500000000000004E-2</v>
      </c>
      <c r="CC79" s="43">
        <v>0.26150000000000001</v>
      </c>
      <c r="CD79" s="43">
        <v>0.53649999999999998</v>
      </c>
      <c r="CE79" s="43">
        <v>0.122</v>
      </c>
      <c r="CF79" s="43">
        <v>0.1835</v>
      </c>
      <c r="CG79" s="43">
        <v>0.11249999999999999</v>
      </c>
      <c r="CH79" s="50">
        <v>3.68</v>
      </c>
      <c r="CI79" s="50">
        <v>3.976</v>
      </c>
      <c r="CJ79" s="47">
        <v>0</v>
      </c>
      <c r="CK79" s="50">
        <v>2.34</v>
      </c>
      <c r="CL79" s="50">
        <v>0</v>
      </c>
      <c r="CM79" s="47">
        <v>0</v>
      </c>
      <c r="CN79">
        <f t="shared" si="1859"/>
        <v>1.54</v>
      </c>
      <c r="CO79">
        <f t="shared" si="1860"/>
        <v>6.42</v>
      </c>
      <c r="CP79">
        <f t="shared" si="1861"/>
        <v>0</v>
      </c>
      <c r="CQ79">
        <f t="shared" si="1862"/>
        <v>0</v>
      </c>
      <c r="CR79">
        <f t="shared" si="1863"/>
        <v>0</v>
      </c>
      <c r="CS79">
        <f t="shared" si="1864"/>
        <v>0</v>
      </c>
      <c r="CT79">
        <f t="shared" si="1865"/>
        <v>0</v>
      </c>
      <c r="CU79">
        <f t="shared" si="1866"/>
        <v>0</v>
      </c>
      <c r="CV79">
        <f t="shared" si="1867"/>
        <v>0</v>
      </c>
      <c r="CW79">
        <f t="shared" si="1868"/>
        <v>0.38400000000000001</v>
      </c>
      <c r="CX79">
        <f t="shared" si="1869"/>
        <v>1.4999999999999999E-2</v>
      </c>
      <c r="CY79">
        <f t="shared" si="1870"/>
        <v>0.2</v>
      </c>
      <c r="CZ79">
        <f t="shared" si="1871"/>
        <v>0</v>
      </c>
      <c r="DA79">
        <f t="shared" si="1872"/>
        <v>0</v>
      </c>
      <c r="DB79">
        <f t="shared" si="1873"/>
        <v>1.57</v>
      </c>
      <c r="DC79">
        <f t="shared" si="1874"/>
        <v>0.106</v>
      </c>
      <c r="DD79">
        <f t="shared" si="1875"/>
        <v>2.14</v>
      </c>
      <c r="DE79">
        <f t="shared" si="1876"/>
        <v>26</v>
      </c>
      <c r="DF79">
        <f t="shared" si="1877"/>
        <v>16</v>
      </c>
      <c r="DG79">
        <f t="shared" si="1878"/>
        <v>1.2</v>
      </c>
      <c r="DH79">
        <f t="shared" si="1879"/>
        <v>3.8E-3</v>
      </c>
      <c r="DI79">
        <f t="shared" si="1880"/>
        <v>0.26</v>
      </c>
      <c r="DJ79">
        <f t="shared" si="1881"/>
        <v>4.0000000000000001E-3</v>
      </c>
      <c r="DK79">
        <f t="shared" si="1882"/>
        <v>0.01</v>
      </c>
      <c r="DL79">
        <f t="shared" si="1883"/>
        <v>32.799999999999997</v>
      </c>
      <c r="DM79">
        <f t="shared" si="1884"/>
        <v>3.2000000000000001E-2</v>
      </c>
      <c r="DN79">
        <f t="shared" si="1885"/>
        <v>13.6</v>
      </c>
      <c r="DO79">
        <f t="shared" si="1886"/>
        <v>0.62</v>
      </c>
      <c r="DP79">
        <f t="shared" si="1887"/>
        <v>1.4000000000000002E-3</v>
      </c>
      <c r="DQ79">
        <f t="shared" si="1888"/>
        <v>2.5999999999999999E-3</v>
      </c>
      <c r="DR79">
        <f t="shared" si="1889"/>
        <v>0.26</v>
      </c>
      <c r="DS79">
        <f t="shared" si="1890"/>
        <v>1.3999999999999999E-2</v>
      </c>
      <c r="DT79">
        <f t="shared" si="1891"/>
        <v>0</v>
      </c>
      <c r="DU79">
        <f t="shared" si="1892"/>
        <v>0.16</v>
      </c>
      <c r="DV79">
        <f t="shared" si="1893"/>
        <v>0</v>
      </c>
      <c r="DW79">
        <f t="shared" si="1894"/>
        <v>0.02</v>
      </c>
      <c r="DX79">
        <f t="shared" si="1895"/>
        <v>0</v>
      </c>
      <c r="DY79">
        <f t="shared" si="1896"/>
        <v>0.17</v>
      </c>
      <c r="DZ79">
        <f t="shared" si="1897"/>
        <v>0.02</v>
      </c>
      <c r="EA79">
        <f t="shared" si="1898"/>
        <v>0.9</v>
      </c>
      <c r="EB79">
        <f t="shared" si="1899"/>
        <v>1.6000000000000001E-3</v>
      </c>
      <c r="EC79">
        <f t="shared" si="1900"/>
        <v>0</v>
      </c>
      <c r="ED79">
        <f t="shared" si="1901"/>
        <v>0.02</v>
      </c>
      <c r="EE79">
        <f t="shared" si="1902"/>
        <v>0</v>
      </c>
      <c r="EF79">
        <f t="shared" si="1903"/>
        <v>0</v>
      </c>
      <c r="EG79">
        <f t="shared" si="1904"/>
        <v>0</v>
      </c>
      <c r="EH79">
        <f t="shared" si="1905"/>
        <v>0</v>
      </c>
      <c r="EI79">
        <f t="shared" si="1906"/>
        <v>0</v>
      </c>
      <c r="EJ79">
        <f t="shared" si="1907"/>
        <v>0</v>
      </c>
      <c r="EK79">
        <f t="shared" si="1908"/>
        <v>0</v>
      </c>
      <c r="EL79">
        <f t="shared" si="1909"/>
        <v>0</v>
      </c>
      <c r="EM79">
        <f t="shared" si="1910"/>
        <v>0</v>
      </c>
      <c r="EN79">
        <f t="shared" si="1911"/>
        <v>0</v>
      </c>
      <c r="EO79">
        <f t="shared" si="1912"/>
        <v>0</v>
      </c>
      <c r="EP79">
        <f t="shared" si="1913"/>
        <v>0</v>
      </c>
      <c r="EQ79">
        <f t="shared" si="1914"/>
        <v>0</v>
      </c>
      <c r="ER79">
        <f t="shared" si="1915"/>
        <v>0</v>
      </c>
      <c r="ES79">
        <f t="shared" si="1916"/>
        <v>0</v>
      </c>
      <c r="ET79">
        <f t="shared" si="1917"/>
        <v>0</v>
      </c>
      <c r="EU79">
        <f t="shared" si="1918"/>
        <v>0</v>
      </c>
      <c r="EV79">
        <f t="shared" si="1919"/>
        <v>0</v>
      </c>
      <c r="EW79">
        <f t="shared" si="1920"/>
        <v>0</v>
      </c>
      <c r="EX79">
        <f t="shared" si="1921"/>
        <v>0</v>
      </c>
      <c r="EY79">
        <f t="shared" si="1922"/>
        <v>0</v>
      </c>
      <c r="EZ79">
        <f t="shared" si="1923"/>
        <v>1.4000000000000001E-4</v>
      </c>
      <c r="FA79">
        <f t="shared" si="1924"/>
        <v>1.8599999999999999E-3</v>
      </c>
      <c r="FB79">
        <f t="shared" si="1925"/>
        <v>1.6000000000000001E-3</v>
      </c>
      <c r="FC79">
        <f t="shared" si="1926"/>
        <v>3.13E-3</v>
      </c>
      <c r="FD79">
        <f t="shared" si="1927"/>
        <v>2.8699999999999997E-3</v>
      </c>
      <c r="FE79">
        <f t="shared" si="1928"/>
        <v>8.1000000000000006E-4</v>
      </c>
      <c r="FF79">
        <f t="shared" si="1929"/>
        <v>7.6999999999999996E-4</v>
      </c>
      <c r="FG79">
        <f t="shared" si="1930"/>
        <v>1.82E-3</v>
      </c>
      <c r="FH79">
        <f t="shared" si="1931"/>
        <v>1.4299999999999998E-3</v>
      </c>
      <c r="FI79">
        <f t="shared" si="1932"/>
        <v>2.0300000000000001E-3</v>
      </c>
      <c r="FJ79">
        <f t="shared" si="1933"/>
        <v>2.6800000000000001E-3</v>
      </c>
      <c r="FK79">
        <f t="shared" si="1934"/>
        <v>1.32E-3</v>
      </c>
      <c r="FL79">
        <f t="shared" si="1935"/>
        <v>1.97E-3</v>
      </c>
      <c r="FM79">
        <f t="shared" si="1936"/>
        <v>5.2300000000000003E-3</v>
      </c>
      <c r="FN79">
        <f t="shared" si="1937"/>
        <v>1.073E-2</v>
      </c>
      <c r="FO79">
        <f t="shared" si="1938"/>
        <v>2.4399999999999999E-3</v>
      </c>
      <c r="FP79">
        <f t="shared" si="1939"/>
        <v>3.6700000000000001E-3</v>
      </c>
      <c r="FQ79">
        <f t="shared" si="1940"/>
        <v>2.2499999999999998E-3</v>
      </c>
      <c r="FR79">
        <f t="shared" si="1941"/>
        <v>7.3599999999999999E-2</v>
      </c>
      <c r="FS79">
        <f t="shared" si="1942"/>
        <v>7.9519999999999993E-2</v>
      </c>
      <c r="FT79">
        <f t="shared" si="1943"/>
        <v>0</v>
      </c>
      <c r="FU79">
        <f t="shared" si="1944"/>
        <v>4.6799999999999994E-2</v>
      </c>
      <c r="FV79">
        <f t="shared" si="1945"/>
        <v>0</v>
      </c>
      <c r="FW79">
        <f t="shared" si="1946"/>
        <v>0</v>
      </c>
    </row>
    <row r="80" spans="1:179" x14ac:dyDescent="0.35">
      <c r="B80" s="72" t="s">
        <v>442</v>
      </c>
      <c r="C80" s="8">
        <v>80</v>
      </c>
      <c r="D80" s="6">
        <v>129</v>
      </c>
      <c r="E80" s="6">
        <v>547</v>
      </c>
      <c r="F80" s="6">
        <v>30.2</v>
      </c>
      <c r="G80" s="6">
        <v>30.2</v>
      </c>
      <c r="H80" s="6">
        <v>0</v>
      </c>
      <c r="I80" s="6">
        <v>0.9</v>
      </c>
      <c r="J80" s="6">
        <v>0.9</v>
      </c>
      <c r="K80" s="6">
        <v>0</v>
      </c>
      <c r="L80" s="6">
        <v>75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67.2</v>
      </c>
      <c r="S80" s="6">
        <v>0.6</v>
      </c>
      <c r="T80" s="6">
        <v>5</v>
      </c>
      <c r="U80" s="6">
        <v>46</v>
      </c>
      <c r="V80" s="6">
        <v>497</v>
      </c>
      <c r="W80" s="6">
        <v>220</v>
      </c>
      <c r="X80" s="6">
        <v>0.98</v>
      </c>
      <c r="Y80" s="6">
        <v>40</v>
      </c>
      <c r="Z80" s="6">
        <v>0.06</v>
      </c>
      <c r="AA80" s="6">
        <v>13</v>
      </c>
      <c r="AB80" s="6">
        <v>60</v>
      </c>
      <c r="AC80" s="6">
        <v>8</v>
      </c>
      <c r="AD80" s="6">
        <v>0.01</v>
      </c>
      <c r="AE80" s="6">
        <v>140</v>
      </c>
      <c r="AF80" s="6">
        <v>0.2</v>
      </c>
      <c r="AG80" s="6">
        <v>0.2</v>
      </c>
      <c r="AH80" s="6">
        <v>0</v>
      </c>
      <c r="AI80" s="6">
        <v>11.6</v>
      </c>
      <c r="AJ80" s="6">
        <v>0.36</v>
      </c>
      <c r="AK80" s="6">
        <v>6</v>
      </c>
      <c r="AL80" s="6">
        <v>1.34</v>
      </c>
      <c r="AM80" s="6">
        <v>2</v>
      </c>
      <c r="AN80" s="51">
        <v>0.05</v>
      </c>
      <c r="AO80" s="6">
        <v>0</v>
      </c>
      <c r="AP80" s="6">
        <v>0</v>
      </c>
      <c r="AQ80" s="6">
        <v>0</v>
      </c>
      <c r="AR80" s="6">
        <v>7.0000000000000007E-2</v>
      </c>
      <c r="AS80" s="6">
        <v>0.1</v>
      </c>
      <c r="AT80" s="84">
        <v>2.4</v>
      </c>
      <c r="AU80" s="6">
        <v>0.28999999999999998</v>
      </c>
      <c r="AV80" s="6">
        <v>0</v>
      </c>
      <c r="AW80" s="6">
        <v>0</v>
      </c>
      <c r="AX80" s="6">
        <v>0.02</v>
      </c>
      <c r="AY80" s="6">
        <v>0.15</v>
      </c>
      <c r="AZ80" s="6">
        <v>0.1</v>
      </c>
      <c r="BA80" s="6">
        <v>0</v>
      </c>
      <c r="BB80" s="6">
        <v>0</v>
      </c>
      <c r="BC80" s="6">
        <v>0.23</v>
      </c>
      <c r="BD80" s="6">
        <v>0.01</v>
      </c>
      <c r="BE80" s="6">
        <v>0.03</v>
      </c>
      <c r="BF80" s="6">
        <v>0.18</v>
      </c>
      <c r="BG80" s="6">
        <v>0</v>
      </c>
      <c r="BH80" s="6">
        <v>0</v>
      </c>
      <c r="BI80" s="6">
        <v>0.25</v>
      </c>
      <c r="BJ80" s="6">
        <v>0.11</v>
      </c>
      <c r="BK80" s="6">
        <v>0</v>
      </c>
      <c r="BL80" s="6">
        <v>7.0000000000000007E-2</v>
      </c>
      <c r="BM80" s="6">
        <v>0</v>
      </c>
      <c r="BN80" s="6">
        <v>0.02</v>
      </c>
      <c r="BO80" s="6">
        <v>0.05</v>
      </c>
      <c r="BP80" s="7">
        <v>359</v>
      </c>
      <c r="BQ80" s="7">
        <v>1356</v>
      </c>
      <c r="BR80" s="7">
        <v>1540</v>
      </c>
      <c r="BS80" s="7">
        <v>2537</v>
      </c>
      <c r="BT80" s="7">
        <v>2694</v>
      </c>
      <c r="BU80" s="7">
        <v>891</v>
      </c>
      <c r="BV80" s="7">
        <v>365</v>
      </c>
      <c r="BW80" s="7">
        <v>1193</v>
      </c>
      <c r="BX80" s="7">
        <v>1042</v>
      </c>
      <c r="BY80" s="7">
        <v>1770</v>
      </c>
      <c r="BZ80" s="7">
        <v>1957</v>
      </c>
      <c r="CA80" s="7">
        <v>1099</v>
      </c>
      <c r="CB80" s="7">
        <v>1809</v>
      </c>
      <c r="CC80" s="7">
        <v>3138</v>
      </c>
      <c r="CD80" s="7">
        <v>4572</v>
      </c>
      <c r="CE80" s="7">
        <v>1265</v>
      </c>
      <c r="CF80" s="7">
        <v>1081</v>
      </c>
      <c r="CG80" s="7">
        <v>1323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>
        <f t="shared" si="1859"/>
        <v>103.2</v>
      </c>
      <c r="CO80">
        <f t="shared" si="1860"/>
        <v>437.6</v>
      </c>
      <c r="CP80">
        <f t="shared" si="1861"/>
        <v>24.16</v>
      </c>
      <c r="CQ80">
        <f t="shared" si="1862"/>
        <v>24.16</v>
      </c>
      <c r="CR80">
        <f t="shared" si="1863"/>
        <v>0</v>
      </c>
      <c r="CS80">
        <f t="shared" si="1864"/>
        <v>0.72</v>
      </c>
      <c r="CT80">
        <f t="shared" si="1865"/>
        <v>0.72</v>
      </c>
      <c r="CU80">
        <f t="shared" si="1866"/>
        <v>0</v>
      </c>
      <c r="CV80">
        <f t="shared" si="1867"/>
        <v>60</v>
      </c>
      <c r="CW80">
        <f t="shared" si="1868"/>
        <v>0</v>
      </c>
      <c r="CX80">
        <f t="shared" si="1869"/>
        <v>0</v>
      </c>
      <c r="CY80">
        <f t="shared" si="1870"/>
        <v>0</v>
      </c>
      <c r="CZ80">
        <f t="shared" si="1871"/>
        <v>0</v>
      </c>
      <c r="DA80">
        <f t="shared" si="1872"/>
        <v>0</v>
      </c>
      <c r="DB80">
        <f t="shared" si="1873"/>
        <v>53.76</v>
      </c>
      <c r="DC80">
        <f t="shared" si="1874"/>
        <v>0.48</v>
      </c>
      <c r="DD80">
        <f t="shared" si="1875"/>
        <v>4</v>
      </c>
      <c r="DE80">
        <f t="shared" si="1876"/>
        <v>36.799999999999997</v>
      </c>
      <c r="DF80">
        <f t="shared" si="1877"/>
        <v>397.6</v>
      </c>
      <c r="DG80">
        <f t="shared" si="1878"/>
        <v>176</v>
      </c>
      <c r="DH80">
        <f t="shared" si="1879"/>
        <v>0.78400000000000003</v>
      </c>
      <c r="DI80">
        <f t="shared" si="1880"/>
        <v>32</v>
      </c>
      <c r="DJ80">
        <f t="shared" si="1881"/>
        <v>4.8000000000000001E-2</v>
      </c>
      <c r="DK80">
        <f t="shared" si="1882"/>
        <v>10.4</v>
      </c>
      <c r="DL80">
        <f t="shared" si="1883"/>
        <v>48</v>
      </c>
      <c r="DM80">
        <f t="shared" si="1884"/>
        <v>6.4</v>
      </c>
      <c r="DN80">
        <f t="shared" si="1885"/>
        <v>8.0000000000000002E-3</v>
      </c>
      <c r="DO80">
        <f t="shared" si="1886"/>
        <v>112</v>
      </c>
      <c r="DP80">
        <f t="shared" si="1887"/>
        <v>0.16</v>
      </c>
      <c r="DQ80">
        <f t="shared" si="1888"/>
        <v>0.16</v>
      </c>
      <c r="DR80">
        <f t="shared" si="1889"/>
        <v>0</v>
      </c>
      <c r="DS80">
        <f t="shared" si="1890"/>
        <v>9.2799999999999994</v>
      </c>
      <c r="DT80">
        <f t="shared" si="1891"/>
        <v>0.28799999999999998</v>
      </c>
      <c r="DU80">
        <f t="shared" si="1892"/>
        <v>4.8</v>
      </c>
      <c r="DV80">
        <f t="shared" si="1893"/>
        <v>1.0720000000000001</v>
      </c>
      <c r="DW80">
        <f t="shared" si="1894"/>
        <v>1.6</v>
      </c>
      <c r="DX80">
        <f t="shared" si="1895"/>
        <v>0.04</v>
      </c>
      <c r="DY80">
        <f t="shared" si="1896"/>
        <v>0</v>
      </c>
      <c r="DZ80">
        <f t="shared" si="1897"/>
        <v>0</v>
      </c>
      <c r="EA80">
        <f t="shared" si="1898"/>
        <v>0</v>
      </c>
      <c r="EB80">
        <f t="shared" si="1899"/>
        <v>5.6000000000000008E-2</v>
      </c>
      <c r="EC80">
        <f t="shared" si="1900"/>
        <v>0.08</v>
      </c>
      <c r="ED80">
        <f t="shared" si="1901"/>
        <v>1.92</v>
      </c>
      <c r="EE80">
        <f t="shared" si="1902"/>
        <v>0.23199999999999998</v>
      </c>
      <c r="EF80">
        <f t="shared" si="1903"/>
        <v>0</v>
      </c>
      <c r="EG80">
        <f t="shared" si="1904"/>
        <v>0</v>
      </c>
      <c r="EH80">
        <f t="shared" si="1905"/>
        <v>1.6E-2</v>
      </c>
      <c r="EI80">
        <f t="shared" si="1906"/>
        <v>0.12</v>
      </c>
      <c r="EJ80">
        <f t="shared" si="1907"/>
        <v>0.08</v>
      </c>
      <c r="EK80">
        <f t="shared" si="1908"/>
        <v>0</v>
      </c>
      <c r="EL80">
        <f t="shared" si="1909"/>
        <v>0</v>
      </c>
      <c r="EM80">
        <f t="shared" si="1910"/>
        <v>0.18400000000000002</v>
      </c>
      <c r="EN80">
        <f t="shared" si="1911"/>
        <v>8.0000000000000002E-3</v>
      </c>
      <c r="EO80">
        <f t="shared" si="1912"/>
        <v>2.4E-2</v>
      </c>
      <c r="EP80">
        <f t="shared" si="1913"/>
        <v>0.14399999999999999</v>
      </c>
      <c r="EQ80">
        <f t="shared" si="1914"/>
        <v>0</v>
      </c>
      <c r="ER80">
        <f t="shared" si="1915"/>
        <v>0</v>
      </c>
      <c r="ES80">
        <f t="shared" si="1916"/>
        <v>0.2</v>
      </c>
      <c r="ET80">
        <f t="shared" si="1917"/>
        <v>8.8000000000000009E-2</v>
      </c>
      <c r="EU80">
        <f t="shared" si="1918"/>
        <v>0</v>
      </c>
      <c r="EV80">
        <f t="shared" si="1919"/>
        <v>5.6000000000000008E-2</v>
      </c>
      <c r="EW80">
        <f t="shared" si="1920"/>
        <v>0</v>
      </c>
      <c r="EX80">
        <f t="shared" si="1921"/>
        <v>1.6E-2</v>
      </c>
      <c r="EY80">
        <f t="shared" si="1922"/>
        <v>0.04</v>
      </c>
      <c r="EZ80">
        <f t="shared" si="1923"/>
        <v>287.2</v>
      </c>
      <c r="FA80">
        <f t="shared" si="1924"/>
        <v>1084.8</v>
      </c>
      <c r="FB80">
        <f t="shared" si="1925"/>
        <v>1232</v>
      </c>
      <c r="FC80">
        <f t="shared" si="1926"/>
        <v>2029.6</v>
      </c>
      <c r="FD80">
        <f t="shared" si="1927"/>
        <v>2155.1999999999998</v>
      </c>
      <c r="FE80">
        <f t="shared" si="1928"/>
        <v>712.8</v>
      </c>
      <c r="FF80">
        <f t="shared" si="1929"/>
        <v>292</v>
      </c>
      <c r="FG80">
        <f t="shared" si="1930"/>
        <v>954.4</v>
      </c>
      <c r="FH80">
        <f t="shared" si="1931"/>
        <v>833.6</v>
      </c>
      <c r="FI80">
        <f t="shared" si="1932"/>
        <v>1416</v>
      </c>
      <c r="FJ80">
        <f t="shared" si="1933"/>
        <v>1565.6</v>
      </c>
      <c r="FK80">
        <f t="shared" si="1934"/>
        <v>879.2</v>
      </c>
      <c r="FL80">
        <f t="shared" si="1935"/>
        <v>1447.2</v>
      </c>
      <c r="FM80">
        <f t="shared" si="1936"/>
        <v>2510.4</v>
      </c>
      <c r="FN80">
        <f t="shared" si="1937"/>
        <v>3657.6</v>
      </c>
      <c r="FO80">
        <f t="shared" si="1938"/>
        <v>1012</v>
      </c>
      <c r="FP80">
        <f t="shared" si="1939"/>
        <v>864.8</v>
      </c>
      <c r="FQ80">
        <f t="shared" si="1940"/>
        <v>1058.4000000000001</v>
      </c>
      <c r="FR80">
        <f t="shared" si="1941"/>
        <v>0</v>
      </c>
      <c r="FS80">
        <f t="shared" si="1942"/>
        <v>0</v>
      </c>
      <c r="FT80">
        <f t="shared" si="1943"/>
        <v>0</v>
      </c>
      <c r="FU80">
        <f t="shared" si="1944"/>
        <v>0</v>
      </c>
      <c r="FV80">
        <f t="shared" si="1945"/>
        <v>0</v>
      </c>
      <c r="FW80">
        <f t="shared" si="1946"/>
        <v>0</v>
      </c>
    </row>
    <row r="81" spans="1:179" x14ac:dyDescent="0.35">
      <c r="B81" s="10"/>
      <c r="C81">
        <f>SUM(C72:C80)</f>
        <v>100</v>
      </c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3"/>
      <c r="CI81" s="33"/>
      <c r="CJ81" s="33"/>
      <c r="CK81" s="33"/>
      <c r="CL81" s="33"/>
      <c r="CM81" s="33"/>
      <c r="CN81">
        <f>SUM(CN72:CN80)</f>
        <v>166.91</v>
      </c>
      <c r="CO81">
        <f t="shared" ref="CO81:EZ81" si="1947">SUM(CO72:CO80)</f>
        <v>700.43000000000006</v>
      </c>
      <c r="CP81">
        <f t="shared" si="1947"/>
        <v>25.308800000000002</v>
      </c>
      <c r="CQ81">
        <f t="shared" si="1947"/>
        <v>25.146000000000001</v>
      </c>
      <c r="CR81">
        <f t="shared" si="1947"/>
        <v>0.1628</v>
      </c>
      <c r="CS81">
        <f t="shared" si="1947"/>
        <v>6.9437999999999995</v>
      </c>
      <c r="CT81">
        <f t="shared" si="1947"/>
        <v>1.8640000000000001</v>
      </c>
      <c r="CU81">
        <f t="shared" si="1947"/>
        <v>5.0797999999999996</v>
      </c>
      <c r="CV81">
        <f t="shared" si="1947"/>
        <v>88.56</v>
      </c>
      <c r="CW81">
        <f t="shared" si="1947"/>
        <v>0.7046</v>
      </c>
      <c r="CX81">
        <f t="shared" si="1947"/>
        <v>2.7799999999999998E-2</v>
      </c>
      <c r="CY81">
        <f t="shared" si="1947"/>
        <v>0.39839999999999998</v>
      </c>
      <c r="CZ81">
        <f t="shared" si="1947"/>
        <v>0.33700000000000002</v>
      </c>
      <c r="DA81">
        <f t="shared" si="1947"/>
        <v>0</v>
      </c>
      <c r="DB81">
        <f t="shared" si="1947"/>
        <v>64.978999999999999</v>
      </c>
      <c r="DC81">
        <f t="shared" si="1947"/>
        <v>0.78420000000000001</v>
      </c>
      <c r="DD81">
        <f t="shared" si="1947"/>
        <v>37.21</v>
      </c>
      <c r="DE81">
        <f t="shared" si="1947"/>
        <v>97.234999999999985</v>
      </c>
      <c r="DF81">
        <f t="shared" si="1947"/>
        <v>433.70500000000004</v>
      </c>
      <c r="DG81">
        <f t="shared" si="1947"/>
        <v>206.01</v>
      </c>
      <c r="DH81">
        <f t="shared" si="1947"/>
        <v>0.93395000000000006</v>
      </c>
      <c r="DI81">
        <f t="shared" si="1947"/>
        <v>34.825000000000003</v>
      </c>
      <c r="DJ81">
        <f t="shared" si="1947"/>
        <v>7.9020000000000007E-2</v>
      </c>
      <c r="DK81">
        <f t="shared" si="1947"/>
        <v>11.5565</v>
      </c>
      <c r="DL81">
        <f t="shared" si="1947"/>
        <v>171.46499999999997</v>
      </c>
      <c r="DM81">
        <f t="shared" si="1947"/>
        <v>10.015000000000001</v>
      </c>
      <c r="DN81">
        <f t="shared" si="1947"/>
        <v>13.619789999999998</v>
      </c>
      <c r="DO81">
        <f t="shared" si="1947"/>
        <v>121.77500000000001</v>
      </c>
      <c r="DP81">
        <f t="shared" si="1947"/>
        <v>0.17404</v>
      </c>
      <c r="DQ81">
        <f t="shared" si="1947"/>
        <v>0.18579999999999999</v>
      </c>
      <c r="DR81">
        <f t="shared" si="1947"/>
        <v>3.8860000000000001</v>
      </c>
      <c r="DS81">
        <f t="shared" si="1947"/>
        <v>9.3412999999999986</v>
      </c>
      <c r="DT81">
        <f t="shared" si="1947"/>
        <v>0.30379</v>
      </c>
      <c r="DU81">
        <f t="shared" si="1947"/>
        <v>10.264999999999999</v>
      </c>
      <c r="DV81">
        <f t="shared" si="1947"/>
        <v>1.18411</v>
      </c>
      <c r="DW81">
        <f t="shared" si="1947"/>
        <v>3.0925000000000002</v>
      </c>
      <c r="DX81">
        <f t="shared" si="1947"/>
        <v>0.26200000000000001</v>
      </c>
      <c r="DY81">
        <f t="shared" si="1947"/>
        <v>27.916666666666668</v>
      </c>
      <c r="DZ81">
        <f t="shared" si="1947"/>
        <v>17.72</v>
      </c>
      <c r="EA81">
        <f t="shared" si="1947"/>
        <v>61.139999999999993</v>
      </c>
      <c r="EB81">
        <f t="shared" si="1947"/>
        <v>1.2409360000000003</v>
      </c>
      <c r="EC81">
        <f t="shared" si="1947"/>
        <v>0.18880000000000002</v>
      </c>
      <c r="ED81">
        <f t="shared" si="1947"/>
        <v>4.8771000000000004</v>
      </c>
      <c r="EE81">
        <f t="shared" si="1947"/>
        <v>1.5287599999999999</v>
      </c>
      <c r="EF81">
        <f t="shared" si="1947"/>
        <v>5.9700000000000003E-2</v>
      </c>
      <c r="EG81">
        <f t="shared" si="1947"/>
        <v>2.0839999999999997E-2</v>
      </c>
      <c r="EH81">
        <f t="shared" si="1947"/>
        <v>7.8499999999999986E-2</v>
      </c>
      <c r="EI81">
        <f t="shared" si="1947"/>
        <v>0.93544000000000005</v>
      </c>
      <c r="EJ81">
        <f t="shared" si="1947"/>
        <v>0.36979999999999996</v>
      </c>
      <c r="EK81">
        <f t="shared" si="1947"/>
        <v>3.8399999999999997E-2</v>
      </c>
      <c r="EL81">
        <f t="shared" si="1947"/>
        <v>3.2000000000000003E-4</v>
      </c>
      <c r="EM81">
        <f t="shared" si="1947"/>
        <v>4.2176200000000001</v>
      </c>
      <c r="EN81">
        <f t="shared" si="1947"/>
        <v>8.0000000000000002E-3</v>
      </c>
      <c r="EO81">
        <f t="shared" si="1947"/>
        <v>8.9679999999999982E-2</v>
      </c>
      <c r="EP81">
        <f t="shared" si="1947"/>
        <v>4.0693599999999996</v>
      </c>
      <c r="EQ81">
        <f t="shared" si="1947"/>
        <v>2.0279999999999999E-2</v>
      </c>
      <c r="ER81">
        <f t="shared" si="1947"/>
        <v>2.12E-2</v>
      </c>
      <c r="ES81">
        <f t="shared" si="1947"/>
        <v>0.70795999999999992</v>
      </c>
      <c r="ET81">
        <f t="shared" si="1947"/>
        <v>0.52192000000000005</v>
      </c>
      <c r="EU81">
        <f t="shared" si="1947"/>
        <v>5.9580000000000001E-2</v>
      </c>
      <c r="EV81">
        <f t="shared" si="1947"/>
        <v>6.9600000000000009E-2</v>
      </c>
      <c r="EW81">
        <f t="shared" si="1947"/>
        <v>0</v>
      </c>
      <c r="EX81">
        <f t="shared" si="1947"/>
        <v>1.6E-2</v>
      </c>
      <c r="EY81">
        <f t="shared" si="1947"/>
        <v>5.586E-2</v>
      </c>
      <c r="EZ81">
        <f t="shared" si="1947"/>
        <v>299.02031999999997</v>
      </c>
      <c r="FA81">
        <f t="shared" ref="FA81:FW81" si="1948">SUM(FA72:FA80)</f>
        <v>1126.0552</v>
      </c>
      <c r="FB81">
        <f t="shared" si="1948"/>
        <v>1277.45452</v>
      </c>
      <c r="FC81">
        <f t="shared" si="1948"/>
        <v>2118.4589700000001</v>
      </c>
      <c r="FD81">
        <f t="shared" si="1948"/>
        <v>2233.1781499999997</v>
      </c>
      <c r="FE81">
        <f t="shared" si="1948"/>
        <v>743.31232999999997</v>
      </c>
      <c r="FF81">
        <f t="shared" si="1948"/>
        <v>303.00220999999999</v>
      </c>
      <c r="FG81">
        <f t="shared" si="1948"/>
        <v>998.59503999999993</v>
      </c>
      <c r="FH81">
        <f t="shared" si="1948"/>
        <v>883.98410999999999</v>
      </c>
      <c r="FI81">
        <f t="shared" si="1948"/>
        <v>1467.2258099999999</v>
      </c>
      <c r="FJ81">
        <f t="shared" si="1948"/>
        <v>1608.36772</v>
      </c>
      <c r="FK81">
        <f t="shared" si="1948"/>
        <v>906.83370000000002</v>
      </c>
      <c r="FL81">
        <f t="shared" si="1948"/>
        <v>1487.90525</v>
      </c>
      <c r="FM81">
        <f t="shared" si="1948"/>
        <v>2597.0430300000003</v>
      </c>
      <c r="FN81">
        <f t="shared" si="1948"/>
        <v>3825.3852099999999</v>
      </c>
      <c r="FO81">
        <f t="shared" si="1948"/>
        <v>1041.317</v>
      </c>
      <c r="FP81">
        <f t="shared" si="1948"/>
        <v>954.33076999999992</v>
      </c>
      <c r="FQ81">
        <f t="shared" si="1948"/>
        <v>1121.7463300000002</v>
      </c>
      <c r="FR81">
        <f t="shared" si="1948"/>
        <v>0.128</v>
      </c>
      <c r="FS81">
        <f t="shared" si="1948"/>
        <v>0.13611999999999999</v>
      </c>
      <c r="FT81">
        <f t="shared" si="1948"/>
        <v>0</v>
      </c>
      <c r="FU81">
        <f t="shared" si="1948"/>
        <v>6.5000000000000002E-2</v>
      </c>
      <c r="FV81">
        <f t="shared" si="1948"/>
        <v>0</v>
      </c>
      <c r="FW81">
        <f t="shared" si="1948"/>
        <v>1E-3</v>
      </c>
    </row>
    <row r="83" spans="1:179" x14ac:dyDescent="0.35">
      <c r="A83" s="80" t="s">
        <v>244</v>
      </c>
      <c r="B83" s="72" t="s">
        <v>245</v>
      </c>
      <c r="C83" s="8">
        <v>40</v>
      </c>
      <c r="D83" s="6">
        <v>341</v>
      </c>
      <c r="E83" s="6">
        <v>1449</v>
      </c>
      <c r="F83" s="6">
        <v>8.6999999999999993</v>
      </c>
      <c r="G83" s="6">
        <v>0</v>
      </c>
      <c r="H83" s="6">
        <v>8.6999999999999993</v>
      </c>
      <c r="I83" s="6">
        <v>2.7</v>
      </c>
      <c r="J83" s="6">
        <v>0</v>
      </c>
      <c r="K83" s="6">
        <v>2.7</v>
      </c>
      <c r="L83" s="6">
        <v>0</v>
      </c>
      <c r="M83" s="6">
        <v>73.5</v>
      </c>
      <c r="N83" s="6">
        <v>71.900000000000006</v>
      </c>
      <c r="O83" s="6">
        <v>1.5</v>
      </c>
      <c r="P83" s="6">
        <v>3.1</v>
      </c>
      <c r="Q83" s="6">
        <v>0</v>
      </c>
      <c r="R83" s="6">
        <v>12.5</v>
      </c>
      <c r="S83" s="6">
        <v>1.8</v>
      </c>
      <c r="T83" s="6">
        <v>6</v>
      </c>
      <c r="U83" s="6">
        <v>1</v>
      </c>
      <c r="V83" s="6">
        <v>130</v>
      </c>
      <c r="W83" s="6">
        <v>99</v>
      </c>
      <c r="X83" s="6">
        <v>1.73</v>
      </c>
      <c r="Y83" s="6">
        <v>93</v>
      </c>
      <c r="Z83" s="6">
        <v>0.23</v>
      </c>
      <c r="AA83" s="6">
        <v>15.4</v>
      </c>
      <c r="AB83" s="6">
        <v>30</v>
      </c>
      <c r="AC83" s="51">
        <v>0.5</v>
      </c>
      <c r="AD83" s="6">
        <v>0.46</v>
      </c>
      <c r="AE83" s="6">
        <v>53</v>
      </c>
      <c r="AF83" s="6">
        <v>0.35</v>
      </c>
      <c r="AG83" s="6">
        <v>0.1</v>
      </c>
      <c r="AH83" s="6">
        <v>0</v>
      </c>
      <c r="AI83" s="6">
        <v>1.9</v>
      </c>
      <c r="AJ83" s="6">
        <v>0.37</v>
      </c>
      <c r="AK83" s="6">
        <v>25</v>
      </c>
      <c r="AL83" s="6">
        <v>0.66</v>
      </c>
      <c r="AM83" s="6">
        <v>2.2999999999999998</v>
      </c>
      <c r="AN83" s="6">
        <v>0</v>
      </c>
      <c r="AO83" s="6">
        <v>67</v>
      </c>
      <c r="AP83" s="6">
        <v>0</v>
      </c>
      <c r="AQ83" s="6">
        <v>402</v>
      </c>
      <c r="AR83" s="51">
        <v>5.0000000000000001E-3</v>
      </c>
      <c r="AS83" s="6">
        <v>0</v>
      </c>
      <c r="AT83" s="6">
        <v>0.3</v>
      </c>
      <c r="AU83" s="6">
        <v>0.31</v>
      </c>
      <c r="AV83" s="6">
        <v>0</v>
      </c>
      <c r="AW83" s="6">
        <v>0</v>
      </c>
      <c r="AX83" s="6">
        <v>0</v>
      </c>
      <c r="AY83" s="6">
        <v>0.26</v>
      </c>
      <c r="AZ83" s="6">
        <v>0.04</v>
      </c>
      <c r="BA83" s="6">
        <v>0.01</v>
      </c>
      <c r="BB83" s="6">
        <v>0</v>
      </c>
      <c r="BC83" s="6">
        <v>0.66</v>
      </c>
      <c r="BD83" s="6">
        <v>0</v>
      </c>
      <c r="BE83" s="6">
        <v>0</v>
      </c>
      <c r="BF83" s="6">
        <v>0.66</v>
      </c>
      <c r="BG83" s="6">
        <v>0</v>
      </c>
      <c r="BH83" s="6">
        <v>0</v>
      </c>
      <c r="BI83" s="6">
        <v>1.41</v>
      </c>
      <c r="BJ83" s="6">
        <v>1.39</v>
      </c>
      <c r="BK83" s="6">
        <v>0.02</v>
      </c>
      <c r="BL83" s="6">
        <v>0</v>
      </c>
      <c r="BM83" s="6">
        <v>0</v>
      </c>
      <c r="BN83" s="6">
        <v>0</v>
      </c>
      <c r="BO83" s="6">
        <v>0</v>
      </c>
      <c r="BP83" s="7">
        <v>61</v>
      </c>
      <c r="BQ83" s="7">
        <v>334</v>
      </c>
      <c r="BR83" s="7">
        <v>350</v>
      </c>
      <c r="BS83" s="7">
        <v>1028</v>
      </c>
      <c r="BT83" s="7">
        <v>258</v>
      </c>
      <c r="BU83" s="7">
        <v>155</v>
      </c>
      <c r="BV83" s="7">
        <v>152</v>
      </c>
      <c r="BW83" s="7">
        <v>441</v>
      </c>
      <c r="BX83" s="7">
        <v>320</v>
      </c>
      <c r="BY83" s="7">
        <v>472</v>
      </c>
      <c r="BZ83" s="7">
        <v>405</v>
      </c>
      <c r="CA83" s="7">
        <v>251</v>
      </c>
      <c r="CB83" s="7">
        <v>650</v>
      </c>
      <c r="CC83" s="7">
        <v>554</v>
      </c>
      <c r="CD83" s="7">
        <v>1642</v>
      </c>
      <c r="CE83" s="7">
        <v>330</v>
      </c>
      <c r="CF83" s="7">
        <v>793</v>
      </c>
      <c r="CG83" s="7">
        <v>432</v>
      </c>
      <c r="CH83" s="51">
        <v>0.05</v>
      </c>
      <c r="CI83" s="6">
        <v>0.3</v>
      </c>
      <c r="CJ83" s="6">
        <v>0</v>
      </c>
      <c r="CK83" s="6">
        <v>1.2</v>
      </c>
      <c r="CL83" s="6">
        <v>0</v>
      </c>
      <c r="CM83" s="6">
        <v>0</v>
      </c>
      <c r="CN83">
        <f t="shared" ref="CN83:CN84" si="1949">($C83*D83)/100</f>
        <v>136.4</v>
      </c>
      <c r="CO83">
        <f t="shared" ref="CO83:CO85" si="1950">($C83*E83)/100</f>
        <v>579.6</v>
      </c>
      <c r="CP83">
        <f t="shared" ref="CP83:CP85" si="1951">($C83*F83)/100</f>
        <v>3.48</v>
      </c>
      <c r="CQ83">
        <f t="shared" ref="CQ83:CQ85" si="1952">($C83*G83)/100</f>
        <v>0</v>
      </c>
      <c r="CR83">
        <f t="shared" ref="CR83:CR85" si="1953">($C83*H83)/100</f>
        <v>3.48</v>
      </c>
      <c r="CS83">
        <f t="shared" ref="CS83:CS85" si="1954">($C83*I83)/100</f>
        <v>1.08</v>
      </c>
      <c r="CT83">
        <f t="shared" ref="CT83:CT85" si="1955">($C83*J83)/100</f>
        <v>0</v>
      </c>
      <c r="CU83">
        <f t="shared" ref="CU83:CU85" si="1956">($C83*K83)/100</f>
        <v>1.08</v>
      </c>
      <c r="CV83">
        <f t="shared" ref="CV83:CV85" si="1957">($C83*L83)/100</f>
        <v>0</v>
      </c>
      <c r="CW83">
        <f t="shared" ref="CW83:CW85" si="1958">($C83*M83)/100</f>
        <v>29.4</v>
      </c>
      <c r="CX83">
        <f t="shared" ref="CX83:CX85" si="1959">($C83*N83)/100</f>
        <v>28.76</v>
      </c>
      <c r="CY83">
        <f t="shared" ref="CY83:CY85" si="1960">($C83*O83)/100</f>
        <v>0.6</v>
      </c>
      <c r="CZ83">
        <f t="shared" ref="CZ83:CZ85" si="1961">($C83*P83)/100</f>
        <v>1.24</v>
      </c>
      <c r="DA83">
        <f t="shared" ref="DA83:DA85" si="1962">($C83*Q83)/100</f>
        <v>0</v>
      </c>
      <c r="DB83">
        <f t="shared" ref="DB83:DB85" si="1963">($C83*R83)/100</f>
        <v>5</v>
      </c>
      <c r="DC83">
        <f t="shared" ref="DC83:DC85" si="1964">($C83*S83)/100</f>
        <v>0.72</v>
      </c>
      <c r="DD83">
        <f t="shared" ref="DD83:DD85" si="1965">($C83*T83)/100</f>
        <v>2.4</v>
      </c>
      <c r="DE83">
        <f t="shared" ref="DE83:DE85" si="1966">($C83*U83)/100</f>
        <v>0.4</v>
      </c>
      <c r="DF83">
        <f t="shared" ref="DF83:DF85" si="1967">($C83*V83)/100</f>
        <v>52</v>
      </c>
      <c r="DG83">
        <f t="shared" ref="DG83:DG85" si="1968">($C83*W83)/100</f>
        <v>39.6</v>
      </c>
      <c r="DH83">
        <f t="shared" ref="DH83:DH85" si="1969">($C83*X83)/100</f>
        <v>0.69200000000000006</v>
      </c>
      <c r="DI83">
        <f t="shared" ref="DI83:DI85" si="1970">($C83*Y83)/100</f>
        <v>37.200000000000003</v>
      </c>
      <c r="DJ83">
        <f t="shared" ref="DJ83:DJ85" si="1971">($C83*Z83)/100</f>
        <v>9.2000000000000012E-2</v>
      </c>
      <c r="DK83">
        <f t="shared" ref="DK83:DK85" si="1972">($C83*AA83)/100</f>
        <v>6.16</v>
      </c>
      <c r="DL83">
        <f t="shared" ref="DL83:DL85" si="1973">($C83*AB83)/100</f>
        <v>12</v>
      </c>
      <c r="DM83">
        <f t="shared" ref="DM83:DM85" si="1974">($C83*AC83)/100</f>
        <v>0.2</v>
      </c>
      <c r="DN83">
        <f t="shared" ref="DN83:DN85" si="1975">($C83*AD83)/100</f>
        <v>0.18400000000000002</v>
      </c>
      <c r="DO83">
        <f t="shared" ref="DO83:DO85" si="1976">($C83*AE83)/100</f>
        <v>21.2</v>
      </c>
      <c r="DP83">
        <f t="shared" ref="DP83:DP85" si="1977">($C83*AF83)/100</f>
        <v>0.14000000000000001</v>
      </c>
      <c r="DQ83">
        <f t="shared" ref="DQ83:DQ85" si="1978">($C83*AG83)/100</f>
        <v>0.04</v>
      </c>
      <c r="DR83">
        <f t="shared" ref="DR83:DR85" si="1979">($C83*AH83)/100</f>
        <v>0</v>
      </c>
      <c r="DS83">
        <f t="shared" ref="DS83:DS85" si="1980">($C83*AI83)/100</f>
        <v>0.76</v>
      </c>
      <c r="DT83">
        <f t="shared" ref="DT83:DT85" si="1981">($C83*AJ83)/100</f>
        <v>0.14800000000000002</v>
      </c>
      <c r="DU83">
        <f t="shared" ref="DU83:DU85" si="1982">($C83*AK83)/100</f>
        <v>10</v>
      </c>
      <c r="DV83">
        <f t="shared" ref="DV83:DV85" si="1983">($C83*AL83)/100</f>
        <v>0.26400000000000001</v>
      </c>
      <c r="DW83">
        <f t="shared" ref="DW83:DW85" si="1984">($C83*AM83)/100</f>
        <v>0.92</v>
      </c>
      <c r="DX83">
        <f t="shared" ref="DX83:DX85" si="1985">($C83*AN83)/100</f>
        <v>0</v>
      </c>
      <c r="DY83">
        <f t="shared" ref="DY83:DY85" si="1986">($C83*AO83)/100</f>
        <v>26.8</v>
      </c>
      <c r="DZ83">
        <f t="shared" ref="DZ83:DZ85" si="1987">($C83*AP83)/100</f>
        <v>0</v>
      </c>
      <c r="EA83">
        <f t="shared" ref="EA83:EA85" si="1988">($C83*AQ83)/100</f>
        <v>160.80000000000001</v>
      </c>
      <c r="EB83">
        <f t="shared" ref="EB83:EB85" si="1989">($C83*AR83)/100</f>
        <v>2E-3</v>
      </c>
      <c r="EC83">
        <f t="shared" ref="EC83:EC85" si="1990">($C83*AS83)/100</f>
        <v>0</v>
      </c>
      <c r="ED83">
        <f t="shared" ref="ED83:ED85" si="1991">($C83*AT83)/100</f>
        <v>0.12</v>
      </c>
      <c r="EE83">
        <f t="shared" ref="EE83:EE85" si="1992">($C83*AU83)/100</f>
        <v>0.124</v>
      </c>
      <c r="EF83">
        <f t="shared" ref="EF83:EF85" si="1993">($C83*AV83)/100</f>
        <v>0</v>
      </c>
      <c r="EG83">
        <f t="shared" ref="EG83:EG85" si="1994">($C83*AW83)/100</f>
        <v>0</v>
      </c>
      <c r="EH83">
        <f t="shared" ref="EH83:EH85" si="1995">($C83*AX83)/100</f>
        <v>0</v>
      </c>
      <c r="EI83">
        <f t="shared" ref="EI83:EI85" si="1996">($C83*AY83)/100</f>
        <v>0.10400000000000001</v>
      </c>
      <c r="EJ83">
        <f t="shared" ref="EJ83:EJ85" si="1997">($C83*AZ83)/100</f>
        <v>1.6E-2</v>
      </c>
      <c r="EK83">
        <f t="shared" ref="EK83:EK85" si="1998">($C83*BA83)/100</f>
        <v>4.0000000000000001E-3</v>
      </c>
      <c r="EL83">
        <f t="shared" ref="EL83:EL85" si="1999">($C83*BB83)/100</f>
        <v>0</v>
      </c>
      <c r="EM83">
        <f t="shared" ref="EM83:EM85" si="2000">($C83*BC83)/100</f>
        <v>0.26400000000000001</v>
      </c>
      <c r="EN83">
        <f t="shared" ref="EN83:EN85" si="2001">($C83*BD83)/100</f>
        <v>0</v>
      </c>
      <c r="EO83">
        <f t="shared" ref="EO83:EO85" si="2002">($C83*BE83)/100</f>
        <v>0</v>
      </c>
      <c r="EP83">
        <f t="shared" ref="EP83:EP85" si="2003">($C83*BF83)/100</f>
        <v>0.26400000000000001</v>
      </c>
      <c r="EQ83">
        <f t="shared" ref="EQ83:EQ85" si="2004">($C83*BG83)/100</f>
        <v>0</v>
      </c>
      <c r="ER83">
        <f t="shared" ref="ER83:ER85" si="2005">($C83*BH83)/100</f>
        <v>0</v>
      </c>
      <c r="ES83">
        <f t="shared" ref="ES83:ES85" si="2006">($C83*BI83)/100</f>
        <v>0.56399999999999995</v>
      </c>
      <c r="ET83">
        <f t="shared" ref="ET83:ET85" si="2007">($C83*BJ83)/100</f>
        <v>0.55599999999999994</v>
      </c>
      <c r="EU83">
        <f t="shared" ref="EU83:EU85" si="2008">($C83*BK83)/100</f>
        <v>8.0000000000000002E-3</v>
      </c>
      <c r="EV83">
        <f t="shared" ref="EV83:EV85" si="2009">($C83*BL83)/100</f>
        <v>0</v>
      </c>
      <c r="EW83">
        <f t="shared" ref="EW83:EW85" si="2010">($C83*BM83)/100</f>
        <v>0</v>
      </c>
      <c r="EX83">
        <f t="shared" ref="EX83:EX85" si="2011">($C83*BN83)/100</f>
        <v>0</v>
      </c>
      <c r="EY83">
        <f t="shared" ref="EY83:EY85" si="2012">($C83*BO83)/100</f>
        <v>0</v>
      </c>
      <c r="EZ83">
        <f t="shared" ref="EZ83:EZ85" si="2013">($C83*BP83)/100</f>
        <v>24.4</v>
      </c>
      <c r="FA83">
        <f t="shared" ref="FA83:FA85" si="2014">($C83*BQ83)/100</f>
        <v>133.6</v>
      </c>
      <c r="FB83">
        <f t="shared" ref="FB83:FB85" si="2015">($C83*BR83)/100</f>
        <v>140</v>
      </c>
      <c r="FC83">
        <f t="shared" ref="FC83:FC85" si="2016">($C83*BS83)/100</f>
        <v>411.2</v>
      </c>
      <c r="FD83">
        <f t="shared" ref="FD83:FD85" si="2017">($C83*BT83)/100</f>
        <v>103.2</v>
      </c>
      <c r="FE83">
        <f t="shared" ref="FE83:FE85" si="2018">($C83*BU83)/100</f>
        <v>62</v>
      </c>
      <c r="FF83">
        <f t="shared" ref="FF83:FF85" si="2019">($C83*BV83)/100</f>
        <v>60.8</v>
      </c>
      <c r="FG83">
        <f t="shared" ref="FG83:FG85" si="2020">($C83*BW83)/100</f>
        <v>176.4</v>
      </c>
      <c r="FH83">
        <f t="shared" ref="FH83:FH85" si="2021">($C83*BX83)/100</f>
        <v>128</v>
      </c>
      <c r="FI83">
        <f t="shared" ref="FI83:FI85" si="2022">($C83*BY83)/100</f>
        <v>188.8</v>
      </c>
      <c r="FJ83">
        <f t="shared" ref="FJ83:FJ85" si="2023">($C83*BZ83)/100</f>
        <v>162</v>
      </c>
      <c r="FK83">
        <f t="shared" ref="FK83:FK85" si="2024">($C83*CA83)/100</f>
        <v>100.4</v>
      </c>
      <c r="FL83">
        <f t="shared" ref="FL83:FL85" si="2025">($C83*CB83)/100</f>
        <v>260</v>
      </c>
      <c r="FM83">
        <f t="shared" ref="FM83:FM85" si="2026">($C83*CC83)/100</f>
        <v>221.6</v>
      </c>
      <c r="FN83">
        <f t="shared" ref="FN83:FN85" si="2027">($C83*CD83)/100</f>
        <v>656.8</v>
      </c>
      <c r="FO83">
        <f t="shared" ref="FO83:FO85" si="2028">($C83*CE83)/100</f>
        <v>132</v>
      </c>
      <c r="FP83">
        <f t="shared" ref="FP83:FP85" si="2029">($C83*CF83)/100</f>
        <v>317.2</v>
      </c>
      <c r="FQ83">
        <f t="shared" ref="FQ83:FQ85" si="2030">($C83*CG83)/100</f>
        <v>172.8</v>
      </c>
      <c r="FR83">
        <f t="shared" ref="FR83:FR85" si="2031">($C83*CH83)/100</f>
        <v>0.02</v>
      </c>
      <c r="FS83">
        <f t="shared" ref="FS83:FS85" si="2032">($C83*CI83)/100</f>
        <v>0.12</v>
      </c>
      <c r="FT83">
        <f t="shared" ref="FT83:FT85" si="2033">($C83*CJ83)/100</f>
        <v>0</v>
      </c>
      <c r="FU83">
        <f t="shared" ref="FU83:FU85" si="2034">($C83*CK83)/100</f>
        <v>0.48</v>
      </c>
      <c r="FV83">
        <f t="shared" ref="FV83:FV85" si="2035">($C83*CL83)/100</f>
        <v>0</v>
      </c>
      <c r="FW83">
        <f t="shared" ref="FW83:FW85" si="2036">($C83*CM83)/100</f>
        <v>0</v>
      </c>
    </row>
    <row r="84" spans="1:179" x14ac:dyDescent="0.35">
      <c r="B84" s="72" t="s">
        <v>246</v>
      </c>
      <c r="C84" s="11">
        <v>5</v>
      </c>
      <c r="D84" s="6">
        <v>899</v>
      </c>
      <c r="E84" s="6">
        <v>3696</v>
      </c>
      <c r="F84" s="6">
        <v>0</v>
      </c>
      <c r="G84" s="6">
        <v>0</v>
      </c>
      <c r="H84" s="6">
        <v>0</v>
      </c>
      <c r="I84" s="6">
        <v>99.9</v>
      </c>
      <c r="J84" s="6">
        <v>0</v>
      </c>
      <c r="K84" s="6">
        <v>99.9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0.13389999999999999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8.8000000000000005E-3</v>
      </c>
      <c r="AA84" s="6">
        <v>0</v>
      </c>
      <c r="AB84" s="6">
        <v>0</v>
      </c>
      <c r="AC84" s="6">
        <v>0.88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21.036000000000001</v>
      </c>
      <c r="AP84" s="6">
        <v>0</v>
      </c>
      <c r="AQ84" s="6">
        <v>126.2</v>
      </c>
      <c r="AR84" s="6">
        <v>24.9</v>
      </c>
      <c r="AS84" s="6">
        <v>0</v>
      </c>
      <c r="AT84" s="6">
        <v>47.01</v>
      </c>
      <c r="AU84" s="6">
        <v>14.28</v>
      </c>
      <c r="AV84" s="6">
        <v>0</v>
      </c>
      <c r="AW84" s="6">
        <v>4.0000000000000001E-3</v>
      </c>
      <c r="AX84" s="6">
        <v>5.6000000000000001E-2</v>
      </c>
      <c r="AY84" s="6">
        <v>10.19</v>
      </c>
      <c r="AZ84" s="6">
        <v>3.12</v>
      </c>
      <c r="BA84" s="6">
        <v>0.69</v>
      </c>
      <c r="BB84" s="6">
        <v>0.16</v>
      </c>
      <c r="BC84" s="6">
        <v>61.65</v>
      </c>
      <c r="BD84" s="6">
        <v>0</v>
      </c>
      <c r="BE84" s="6">
        <v>0.63</v>
      </c>
      <c r="BF84" s="6">
        <v>60.72</v>
      </c>
      <c r="BG84" s="6">
        <v>0.25</v>
      </c>
      <c r="BH84" s="6">
        <v>7.0000000000000007E-2</v>
      </c>
      <c r="BI84" s="6">
        <v>19.920000000000002</v>
      </c>
      <c r="BJ84" s="6">
        <v>18.7</v>
      </c>
      <c r="BK84" s="6">
        <v>1.22</v>
      </c>
      <c r="BL84" s="6">
        <v>0</v>
      </c>
      <c r="BM84" s="6">
        <v>0</v>
      </c>
      <c r="BN84" s="6">
        <v>0</v>
      </c>
      <c r="BO84" s="6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6">
        <v>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>
        <f t="shared" si="1949"/>
        <v>44.95</v>
      </c>
      <c r="CO84">
        <f t="shared" si="1950"/>
        <v>184.8</v>
      </c>
      <c r="CP84">
        <f t="shared" si="1951"/>
        <v>0</v>
      </c>
      <c r="CQ84">
        <f t="shared" si="1952"/>
        <v>0</v>
      </c>
      <c r="CR84">
        <f t="shared" si="1953"/>
        <v>0</v>
      </c>
      <c r="CS84">
        <f t="shared" si="1954"/>
        <v>4.9950000000000001</v>
      </c>
      <c r="CT84">
        <f t="shared" si="1955"/>
        <v>0</v>
      </c>
      <c r="CU84">
        <f t="shared" si="1956"/>
        <v>4.9950000000000001</v>
      </c>
      <c r="CV84">
        <f t="shared" si="1957"/>
        <v>0</v>
      </c>
      <c r="CW84">
        <f t="shared" si="1958"/>
        <v>0</v>
      </c>
      <c r="CX84">
        <f t="shared" si="1959"/>
        <v>0</v>
      </c>
      <c r="CY84">
        <f t="shared" si="1960"/>
        <v>0</v>
      </c>
      <c r="CZ84">
        <f t="shared" si="1961"/>
        <v>0</v>
      </c>
      <c r="DA84">
        <f t="shared" si="1962"/>
        <v>0</v>
      </c>
      <c r="DB84">
        <f t="shared" si="1963"/>
        <v>0</v>
      </c>
      <c r="DC84">
        <f t="shared" si="1964"/>
        <v>6.6949999999999996E-3</v>
      </c>
      <c r="DD84">
        <f t="shared" si="1965"/>
        <v>0</v>
      </c>
      <c r="DE84">
        <f t="shared" si="1966"/>
        <v>0</v>
      </c>
      <c r="DF84">
        <f t="shared" si="1967"/>
        <v>0</v>
      </c>
      <c r="DG84">
        <f t="shared" si="1968"/>
        <v>0</v>
      </c>
      <c r="DH84">
        <f t="shared" si="1969"/>
        <v>0</v>
      </c>
      <c r="DI84">
        <f t="shared" si="1970"/>
        <v>0</v>
      </c>
      <c r="DJ84">
        <f t="shared" si="1971"/>
        <v>4.4000000000000007E-4</v>
      </c>
      <c r="DK84">
        <f t="shared" si="1972"/>
        <v>0</v>
      </c>
      <c r="DL84">
        <f t="shared" si="1973"/>
        <v>0</v>
      </c>
      <c r="DM84">
        <f t="shared" si="1974"/>
        <v>4.4000000000000004E-2</v>
      </c>
      <c r="DN84">
        <f t="shared" si="1975"/>
        <v>0</v>
      </c>
      <c r="DO84">
        <f t="shared" si="1976"/>
        <v>0</v>
      </c>
      <c r="DP84">
        <f t="shared" si="1977"/>
        <v>0</v>
      </c>
      <c r="DQ84">
        <f t="shared" si="1978"/>
        <v>0</v>
      </c>
      <c r="DR84">
        <f t="shared" si="1979"/>
        <v>0</v>
      </c>
      <c r="DS84">
        <f t="shared" si="1980"/>
        <v>0</v>
      </c>
      <c r="DT84">
        <f t="shared" si="1981"/>
        <v>0</v>
      </c>
      <c r="DU84">
        <f t="shared" si="1982"/>
        <v>0</v>
      </c>
      <c r="DV84">
        <f t="shared" si="1983"/>
        <v>0</v>
      </c>
      <c r="DW84">
        <f t="shared" si="1984"/>
        <v>0</v>
      </c>
      <c r="DX84">
        <f t="shared" si="1985"/>
        <v>0</v>
      </c>
      <c r="DY84">
        <f t="shared" si="1986"/>
        <v>1.0518000000000001</v>
      </c>
      <c r="DZ84">
        <f t="shared" si="1987"/>
        <v>0</v>
      </c>
      <c r="EA84">
        <f t="shared" si="1988"/>
        <v>6.31</v>
      </c>
      <c r="EB84">
        <f t="shared" si="1989"/>
        <v>1.2450000000000001</v>
      </c>
      <c r="EC84">
        <f t="shared" si="1990"/>
        <v>0</v>
      </c>
      <c r="ED84">
        <f t="shared" si="1991"/>
        <v>2.3504999999999998</v>
      </c>
      <c r="EE84">
        <f t="shared" si="1992"/>
        <v>0.71399999999999997</v>
      </c>
      <c r="EF84">
        <f t="shared" si="1993"/>
        <v>0</v>
      </c>
      <c r="EG84">
        <f t="shared" si="1994"/>
        <v>2.0000000000000001E-4</v>
      </c>
      <c r="EH84">
        <f t="shared" si="1995"/>
        <v>2.8000000000000004E-3</v>
      </c>
      <c r="EI84">
        <f t="shared" si="1996"/>
        <v>0.50949999999999995</v>
      </c>
      <c r="EJ84">
        <f t="shared" si="1997"/>
        <v>0.15600000000000003</v>
      </c>
      <c r="EK84">
        <f t="shared" si="1998"/>
        <v>3.4499999999999996E-2</v>
      </c>
      <c r="EL84">
        <f t="shared" si="1999"/>
        <v>8.0000000000000002E-3</v>
      </c>
      <c r="EM84">
        <f t="shared" si="2000"/>
        <v>3.0825</v>
      </c>
      <c r="EN84">
        <f t="shared" si="2001"/>
        <v>0</v>
      </c>
      <c r="EO84">
        <f t="shared" si="2002"/>
        <v>3.15E-2</v>
      </c>
      <c r="EP84">
        <f t="shared" si="2003"/>
        <v>3.036</v>
      </c>
      <c r="EQ84">
        <f t="shared" si="2004"/>
        <v>1.2500000000000001E-2</v>
      </c>
      <c r="ER84">
        <f t="shared" si="2005"/>
        <v>3.5000000000000005E-3</v>
      </c>
      <c r="ES84">
        <f t="shared" si="2006"/>
        <v>0.99600000000000011</v>
      </c>
      <c r="ET84">
        <f t="shared" si="2007"/>
        <v>0.93500000000000005</v>
      </c>
      <c r="EU84">
        <f t="shared" si="2008"/>
        <v>6.0999999999999999E-2</v>
      </c>
      <c r="EV84">
        <f t="shared" si="2009"/>
        <v>0</v>
      </c>
      <c r="EW84">
        <f t="shared" si="2010"/>
        <v>0</v>
      </c>
      <c r="EX84">
        <f t="shared" si="2011"/>
        <v>0</v>
      </c>
      <c r="EY84">
        <f t="shared" si="2012"/>
        <v>0</v>
      </c>
      <c r="EZ84">
        <f t="shared" si="2013"/>
        <v>0</v>
      </c>
      <c r="FA84">
        <f t="shared" si="2014"/>
        <v>0</v>
      </c>
      <c r="FB84">
        <f t="shared" si="2015"/>
        <v>0</v>
      </c>
      <c r="FC84">
        <f t="shared" si="2016"/>
        <v>0</v>
      </c>
      <c r="FD84">
        <f t="shared" si="2017"/>
        <v>0</v>
      </c>
      <c r="FE84">
        <f t="shared" si="2018"/>
        <v>0</v>
      </c>
      <c r="FF84">
        <f t="shared" si="2019"/>
        <v>0</v>
      </c>
      <c r="FG84">
        <f t="shared" si="2020"/>
        <v>0</v>
      </c>
      <c r="FH84">
        <f t="shared" si="2021"/>
        <v>0</v>
      </c>
      <c r="FI84">
        <f t="shared" si="2022"/>
        <v>0</v>
      </c>
      <c r="FJ84">
        <f t="shared" si="2023"/>
        <v>0</v>
      </c>
      <c r="FK84">
        <f t="shared" si="2024"/>
        <v>0</v>
      </c>
      <c r="FL84">
        <f t="shared" si="2025"/>
        <v>0</v>
      </c>
      <c r="FM84">
        <f t="shared" si="2026"/>
        <v>0</v>
      </c>
      <c r="FN84">
        <f t="shared" si="2027"/>
        <v>0</v>
      </c>
      <c r="FO84">
        <f t="shared" si="2028"/>
        <v>0</v>
      </c>
      <c r="FP84">
        <f t="shared" si="2029"/>
        <v>0</v>
      </c>
      <c r="FQ84">
        <f t="shared" si="2030"/>
        <v>0</v>
      </c>
      <c r="FR84">
        <f t="shared" si="2031"/>
        <v>0</v>
      </c>
      <c r="FS84">
        <f t="shared" si="2032"/>
        <v>0</v>
      </c>
      <c r="FT84">
        <f t="shared" si="2033"/>
        <v>0</v>
      </c>
      <c r="FU84">
        <f t="shared" si="2034"/>
        <v>0</v>
      </c>
      <c r="FV84">
        <f t="shared" si="2035"/>
        <v>0</v>
      </c>
      <c r="FW84">
        <f t="shared" si="2036"/>
        <v>0</v>
      </c>
    </row>
    <row r="85" spans="1:179" x14ac:dyDescent="0.35">
      <c r="B85" s="71" t="s">
        <v>247</v>
      </c>
      <c r="C85" s="11">
        <v>55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99.9</v>
      </c>
      <c r="S85" s="51">
        <v>0.05</v>
      </c>
      <c r="T85" s="6">
        <v>10</v>
      </c>
      <c r="U85" s="6">
        <v>2</v>
      </c>
      <c r="V85" s="51">
        <v>0.5</v>
      </c>
      <c r="W85" s="51">
        <v>0.5</v>
      </c>
      <c r="X85" s="51">
        <v>5.0000000000000001E-3</v>
      </c>
      <c r="Y85" s="6">
        <v>3</v>
      </c>
      <c r="Z85" s="51">
        <v>5.0000000000000001E-3</v>
      </c>
      <c r="AA85" s="6">
        <v>1</v>
      </c>
      <c r="AB85" s="51">
        <v>0.5</v>
      </c>
      <c r="AC85" s="51">
        <v>0.5</v>
      </c>
      <c r="AD85" s="51">
        <v>5.0000000000000001E-3</v>
      </c>
      <c r="AE85" s="51">
        <v>0.5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6">
        <v>0</v>
      </c>
      <c r="CI85" s="6">
        <v>0</v>
      </c>
      <c r="CJ85" s="6">
        <v>0</v>
      </c>
      <c r="CK85" s="6">
        <v>0</v>
      </c>
      <c r="CL85" s="6">
        <v>0</v>
      </c>
      <c r="CM85" s="6">
        <v>0</v>
      </c>
      <c r="CN85">
        <f>($C85*D85)/100</f>
        <v>0</v>
      </c>
      <c r="CO85">
        <f t="shared" si="1950"/>
        <v>0</v>
      </c>
      <c r="CP85">
        <f t="shared" si="1951"/>
        <v>0</v>
      </c>
      <c r="CQ85">
        <f t="shared" si="1952"/>
        <v>0</v>
      </c>
      <c r="CR85">
        <f t="shared" si="1953"/>
        <v>0</v>
      </c>
      <c r="CS85">
        <f t="shared" si="1954"/>
        <v>0</v>
      </c>
      <c r="CT85">
        <f t="shared" si="1955"/>
        <v>0</v>
      </c>
      <c r="CU85">
        <f t="shared" si="1956"/>
        <v>0</v>
      </c>
      <c r="CV85">
        <f t="shared" si="1957"/>
        <v>0</v>
      </c>
      <c r="CW85">
        <f t="shared" si="1958"/>
        <v>0</v>
      </c>
      <c r="CX85">
        <f t="shared" si="1959"/>
        <v>0</v>
      </c>
      <c r="CY85">
        <f t="shared" si="1960"/>
        <v>0</v>
      </c>
      <c r="CZ85">
        <f t="shared" si="1961"/>
        <v>0</v>
      </c>
      <c r="DA85">
        <f t="shared" si="1962"/>
        <v>0</v>
      </c>
      <c r="DB85">
        <f t="shared" si="1963"/>
        <v>54.945</v>
      </c>
      <c r="DC85">
        <f t="shared" si="1964"/>
        <v>2.75E-2</v>
      </c>
      <c r="DD85">
        <f t="shared" si="1965"/>
        <v>5.5</v>
      </c>
      <c r="DE85">
        <f t="shared" si="1966"/>
        <v>1.1000000000000001</v>
      </c>
      <c r="DF85">
        <f t="shared" si="1967"/>
        <v>0.27500000000000002</v>
      </c>
      <c r="DG85">
        <f t="shared" si="1968"/>
        <v>0.27500000000000002</v>
      </c>
      <c r="DH85">
        <f t="shared" si="1969"/>
        <v>2.7500000000000003E-3</v>
      </c>
      <c r="DI85">
        <f t="shared" si="1970"/>
        <v>1.65</v>
      </c>
      <c r="DJ85">
        <f t="shared" si="1971"/>
        <v>2.7500000000000003E-3</v>
      </c>
      <c r="DK85">
        <f t="shared" si="1972"/>
        <v>0.55000000000000004</v>
      </c>
      <c r="DL85">
        <f t="shared" si="1973"/>
        <v>0.27500000000000002</v>
      </c>
      <c r="DM85">
        <f t="shared" si="1974"/>
        <v>0.27500000000000002</v>
      </c>
      <c r="DN85">
        <f t="shared" si="1975"/>
        <v>2.7500000000000003E-3</v>
      </c>
      <c r="DO85">
        <f t="shared" si="1976"/>
        <v>0.27500000000000002</v>
      </c>
      <c r="DP85">
        <f t="shared" si="1977"/>
        <v>0</v>
      </c>
      <c r="DQ85">
        <f t="shared" si="1978"/>
        <v>0</v>
      </c>
      <c r="DR85">
        <f t="shared" si="1979"/>
        <v>0</v>
      </c>
      <c r="DS85">
        <f t="shared" si="1980"/>
        <v>0</v>
      </c>
      <c r="DT85">
        <f t="shared" si="1981"/>
        <v>0</v>
      </c>
      <c r="DU85">
        <f t="shared" si="1982"/>
        <v>0</v>
      </c>
      <c r="DV85">
        <f t="shared" si="1983"/>
        <v>0</v>
      </c>
      <c r="DW85">
        <f t="shared" si="1984"/>
        <v>0</v>
      </c>
      <c r="DX85">
        <f t="shared" si="1985"/>
        <v>0</v>
      </c>
      <c r="DY85">
        <f t="shared" si="1986"/>
        <v>0</v>
      </c>
      <c r="DZ85">
        <f t="shared" si="1987"/>
        <v>0</v>
      </c>
      <c r="EA85">
        <f t="shared" si="1988"/>
        <v>0</v>
      </c>
      <c r="EB85">
        <f t="shared" si="1989"/>
        <v>0</v>
      </c>
      <c r="EC85">
        <f t="shared" si="1990"/>
        <v>0</v>
      </c>
      <c r="ED85">
        <f t="shared" si="1991"/>
        <v>0</v>
      </c>
      <c r="EE85">
        <f t="shared" si="1992"/>
        <v>0</v>
      </c>
      <c r="EF85">
        <f t="shared" si="1993"/>
        <v>0</v>
      </c>
      <c r="EG85">
        <f t="shared" si="1994"/>
        <v>0</v>
      </c>
      <c r="EH85">
        <f t="shared" si="1995"/>
        <v>0</v>
      </c>
      <c r="EI85">
        <f t="shared" si="1996"/>
        <v>0</v>
      </c>
      <c r="EJ85">
        <f t="shared" si="1997"/>
        <v>0</v>
      </c>
      <c r="EK85">
        <f t="shared" si="1998"/>
        <v>0</v>
      </c>
      <c r="EL85">
        <f t="shared" si="1999"/>
        <v>0</v>
      </c>
      <c r="EM85">
        <f t="shared" si="2000"/>
        <v>0</v>
      </c>
      <c r="EN85">
        <f t="shared" si="2001"/>
        <v>0</v>
      </c>
      <c r="EO85">
        <f t="shared" si="2002"/>
        <v>0</v>
      </c>
      <c r="EP85">
        <f t="shared" si="2003"/>
        <v>0</v>
      </c>
      <c r="EQ85">
        <f t="shared" si="2004"/>
        <v>0</v>
      </c>
      <c r="ER85">
        <f t="shared" si="2005"/>
        <v>0</v>
      </c>
      <c r="ES85">
        <f t="shared" si="2006"/>
        <v>0</v>
      </c>
      <c r="ET85">
        <f t="shared" si="2007"/>
        <v>0</v>
      </c>
      <c r="EU85">
        <f t="shared" si="2008"/>
        <v>0</v>
      </c>
      <c r="EV85">
        <f t="shared" si="2009"/>
        <v>0</v>
      </c>
      <c r="EW85">
        <f t="shared" si="2010"/>
        <v>0</v>
      </c>
      <c r="EX85">
        <f t="shared" si="2011"/>
        <v>0</v>
      </c>
      <c r="EY85">
        <f t="shared" si="2012"/>
        <v>0</v>
      </c>
      <c r="EZ85">
        <f t="shared" si="2013"/>
        <v>0</v>
      </c>
      <c r="FA85">
        <f t="shared" si="2014"/>
        <v>0</v>
      </c>
      <c r="FB85">
        <f t="shared" si="2015"/>
        <v>0</v>
      </c>
      <c r="FC85">
        <f t="shared" si="2016"/>
        <v>0</v>
      </c>
      <c r="FD85">
        <f t="shared" si="2017"/>
        <v>0</v>
      </c>
      <c r="FE85">
        <f t="shared" si="2018"/>
        <v>0</v>
      </c>
      <c r="FF85">
        <f t="shared" si="2019"/>
        <v>0</v>
      </c>
      <c r="FG85">
        <f t="shared" si="2020"/>
        <v>0</v>
      </c>
      <c r="FH85">
        <f t="shared" si="2021"/>
        <v>0</v>
      </c>
      <c r="FI85">
        <f t="shared" si="2022"/>
        <v>0</v>
      </c>
      <c r="FJ85">
        <f t="shared" si="2023"/>
        <v>0</v>
      </c>
      <c r="FK85">
        <f t="shared" si="2024"/>
        <v>0</v>
      </c>
      <c r="FL85">
        <f t="shared" si="2025"/>
        <v>0</v>
      </c>
      <c r="FM85">
        <f t="shared" si="2026"/>
        <v>0</v>
      </c>
      <c r="FN85">
        <f t="shared" si="2027"/>
        <v>0</v>
      </c>
      <c r="FO85">
        <f t="shared" si="2028"/>
        <v>0</v>
      </c>
      <c r="FP85">
        <f t="shared" si="2029"/>
        <v>0</v>
      </c>
      <c r="FQ85">
        <f t="shared" si="2030"/>
        <v>0</v>
      </c>
      <c r="FR85">
        <f t="shared" si="2031"/>
        <v>0</v>
      </c>
      <c r="FS85">
        <f t="shared" si="2032"/>
        <v>0</v>
      </c>
      <c r="FT85">
        <f t="shared" si="2033"/>
        <v>0</v>
      </c>
      <c r="FU85">
        <f t="shared" si="2034"/>
        <v>0</v>
      </c>
      <c r="FV85">
        <f t="shared" si="2035"/>
        <v>0</v>
      </c>
      <c r="FW85">
        <f t="shared" si="2036"/>
        <v>0</v>
      </c>
    </row>
    <row r="86" spans="1:179" x14ac:dyDescent="0.35">
      <c r="C86">
        <f>SUM(C83:C85)</f>
        <v>100</v>
      </c>
      <c r="CN86">
        <f>SUM(CN83:CN85)</f>
        <v>181.35000000000002</v>
      </c>
      <c r="CO86">
        <f t="shared" ref="CO86:DM86" si="2037">SUM(CO83:CO85)</f>
        <v>764.40000000000009</v>
      </c>
      <c r="CP86">
        <f t="shared" si="2037"/>
        <v>3.48</v>
      </c>
      <c r="CQ86">
        <f t="shared" si="2037"/>
        <v>0</v>
      </c>
      <c r="CR86">
        <f t="shared" si="2037"/>
        <v>3.48</v>
      </c>
      <c r="CS86">
        <f t="shared" si="2037"/>
        <v>6.0750000000000002</v>
      </c>
      <c r="CT86">
        <f t="shared" si="2037"/>
        <v>0</v>
      </c>
      <c r="CU86">
        <f t="shared" si="2037"/>
        <v>6.0750000000000002</v>
      </c>
      <c r="CV86">
        <f t="shared" si="2037"/>
        <v>0</v>
      </c>
      <c r="CW86">
        <f t="shared" si="2037"/>
        <v>29.4</v>
      </c>
      <c r="CX86">
        <f t="shared" si="2037"/>
        <v>28.76</v>
      </c>
      <c r="CY86">
        <f t="shared" si="2037"/>
        <v>0.6</v>
      </c>
      <c r="CZ86">
        <f t="shared" si="2037"/>
        <v>1.24</v>
      </c>
      <c r="DA86">
        <f t="shared" si="2037"/>
        <v>0</v>
      </c>
      <c r="DB86">
        <f t="shared" si="2037"/>
        <v>59.945</v>
      </c>
      <c r="DC86">
        <f t="shared" si="2037"/>
        <v>0.75419499999999995</v>
      </c>
      <c r="DD86">
        <f t="shared" si="2037"/>
        <v>7.9</v>
      </c>
      <c r="DE86">
        <f t="shared" si="2037"/>
        <v>1.5</v>
      </c>
      <c r="DF86">
        <f t="shared" si="2037"/>
        <v>52.274999999999999</v>
      </c>
      <c r="DG86">
        <f t="shared" si="2037"/>
        <v>39.875</v>
      </c>
      <c r="DH86">
        <f t="shared" si="2037"/>
        <v>0.69475000000000009</v>
      </c>
      <c r="DI86">
        <f t="shared" si="2037"/>
        <v>38.85</v>
      </c>
      <c r="DJ86">
        <f t="shared" si="2037"/>
        <v>9.5190000000000011E-2</v>
      </c>
      <c r="DK86">
        <f t="shared" si="2037"/>
        <v>6.71</v>
      </c>
      <c r="DL86">
        <f t="shared" si="2037"/>
        <v>12.275</v>
      </c>
      <c r="DM86">
        <f t="shared" si="2037"/>
        <v>0.51900000000000002</v>
      </c>
      <c r="DN86">
        <f>SUM(DN83:DN85)</f>
        <v>0.18675000000000003</v>
      </c>
      <c r="DO86">
        <f t="shared" ref="DO86" si="2038">SUM(DO83:DO85)</f>
        <v>21.474999999999998</v>
      </c>
      <c r="DP86">
        <f t="shared" ref="DP86" si="2039">SUM(DP83:DP85)</f>
        <v>0.14000000000000001</v>
      </c>
      <c r="DQ86">
        <f t="shared" ref="DQ86" si="2040">SUM(DQ83:DQ85)</f>
        <v>0.04</v>
      </c>
      <c r="DR86">
        <f t="shared" ref="DR86" si="2041">SUM(DR83:DR85)</f>
        <v>0</v>
      </c>
      <c r="DS86">
        <f t="shared" ref="DS86" si="2042">SUM(DS83:DS85)</f>
        <v>0.76</v>
      </c>
      <c r="DT86">
        <f t="shared" ref="DT86" si="2043">SUM(DT83:DT85)</f>
        <v>0.14800000000000002</v>
      </c>
      <c r="DU86">
        <f t="shared" ref="DU86" si="2044">SUM(DU83:DU85)</f>
        <v>10</v>
      </c>
      <c r="DV86">
        <f t="shared" ref="DV86" si="2045">SUM(DV83:DV85)</f>
        <v>0.26400000000000001</v>
      </c>
      <c r="DW86">
        <f t="shared" ref="DW86" si="2046">SUM(DW83:DW85)</f>
        <v>0.92</v>
      </c>
      <c r="DX86">
        <f t="shared" ref="DX86" si="2047">SUM(DX83:DX85)</f>
        <v>0</v>
      </c>
      <c r="DY86">
        <f t="shared" ref="DY86" si="2048">SUM(DY83:DY85)</f>
        <v>27.851800000000001</v>
      </c>
      <c r="DZ86">
        <f t="shared" ref="DZ86:EA86" si="2049">SUM(DZ83:DZ85)</f>
        <v>0</v>
      </c>
      <c r="EA86">
        <f t="shared" si="2049"/>
        <v>167.11</v>
      </c>
      <c r="EB86">
        <f t="shared" ref="EB86" si="2050">SUM(EB83:EB85)</f>
        <v>1.2470000000000001</v>
      </c>
      <c r="EC86">
        <f t="shared" ref="EC86" si="2051">SUM(EC83:EC85)</f>
        <v>0</v>
      </c>
      <c r="ED86">
        <f t="shared" ref="ED86" si="2052">SUM(ED83:ED85)</f>
        <v>2.4704999999999999</v>
      </c>
      <c r="EE86">
        <f t="shared" ref="EE86" si="2053">SUM(EE83:EE85)</f>
        <v>0.83799999999999997</v>
      </c>
      <c r="EF86">
        <f t="shared" ref="EF86" si="2054">SUM(EF83:EF85)</f>
        <v>0</v>
      </c>
      <c r="EG86">
        <f t="shared" ref="EG86" si="2055">SUM(EG83:EG85)</f>
        <v>2.0000000000000001E-4</v>
      </c>
      <c r="EH86">
        <f t="shared" ref="EH86" si="2056">SUM(EH83:EH85)</f>
        <v>2.8000000000000004E-3</v>
      </c>
      <c r="EI86">
        <f t="shared" ref="EI86" si="2057">SUM(EI83:EI85)</f>
        <v>0.61349999999999993</v>
      </c>
      <c r="EJ86">
        <f t="shared" ref="EJ86" si="2058">SUM(EJ83:EJ85)</f>
        <v>0.17200000000000004</v>
      </c>
      <c r="EK86">
        <f t="shared" ref="EK86" si="2059">SUM(EK83:EK85)</f>
        <v>3.8499999999999993E-2</v>
      </c>
      <c r="EL86">
        <f t="shared" ref="EL86" si="2060">SUM(EL83:EL85)</f>
        <v>8.0000000000000002E-3</v>
      </c>
      <c r="EM86">
        <f t="shared" ref="EM86" si="2061">SUM(EM83:EM85)</f>
        <v>3.3464999999999998</v>
      </c>
      <c r="EN86">
        <f t="shared" ref="EN86" si="2062">SUM(EN83:EN85)</f>
        <v>0</v>
      </c>
      <c r="EO86">
        <f t="shared" ref="EO86" si="2063">SUM(EO83:EO85)</f>
        <v>3.15E-2</v>
      </c>
      <c r="EP86">
        <f t="shared" ref="EP86" si="2064">SUM(EP83:EP85)</f>
        <v>3.3</v>
      </c>
      <c r="EQ86">
        <f t="shared" ref="EQ86" si="2065">SUM(EQ83:EQ85)</f>
        <v>1.2500000000000001E-2</v>
      </c>
      <c r="ER86">
        <f t="shared" ref="ER86" si="2066">SUM(ER83:ER85)</f>
        <v>3.5000000000000005E-3</v>
      </c>
      <c r="ES86">
        <f t="shared" ref="ES86" si="2067">SUM(ES83:ES85)</f>
        <v>1.56</v>
      </c>
      <c r="ET86">
        <f t="shared" ref="ET86" si="2068">SUM(ET83:ET85)</f>
        <v>1.4910000000000001</v>
      </c>
      <c r="EU86">
        <f t="shared" ref="EU86" si="2069">SUM(EU83:EU85)</f>
        <v>6.9000000000000006E-2</v>
      </c>
      <c r="EV86">
        <f t="shared" ref="EV86" si="2070">SUM(EV83:EV85)</f>
        <v>0</v>
      </c>
      <c r="EW86">
        <f t="shared" ref="EW86" si="2071">SUM(EW83:EW85)</f>
        <v>0</v>
      </c>
      <c r="EX86">
        <f t="shared" ref="EX86" si="2072">SUM(EX83:EX85)</f>
        <v>0</v>
      </c>
      <c r="EY86">
        <f t="shared" ref="EY86" si="2073">SUM(EY83:EY85)</f>
        <v>0</v>
      </c>
      <c r="EZ86">
        <f t="shared" ref="EZ86:FA86" si="2074">SUM(EZ83:EZ85)</f>
        <v>24.4</v>
      </c>
      <c r="FA86">
        <f t="shared" si="2074"/>
        <v>133.6</v>
      </c>
      <c r="FB86">
        <f t="shared" ref="FB86" si="2075">SUM(FB83:FB85)</f>
        <v>140</v>
      </c>
      <c r="FC86">
        <f t="shared" ref="FC86" si="2076">SUM(FC83:FC85)</f>
        <v>411.2</v>
      </c>
      <c r="FD86">
        <f t="shared" ref="FD86" si="2077">SUM(FD83:FD85)</f>
        <v>103.2</v>
      </c>
      <c r="FE86">
        <f t="shared" ref="FE86" si="2078">SUM(FE83:FE85)</f>
        <v>62</v>
      </c>
      <c r="FF86">
        <f t="shared" ref="FF86" si="2079">SUM(FF83:FF85)</f>
        <v>60.8</v>
      </c>
      <c r="FG86">
        <f t="shared" ref="FG86" si="2080">SUM(FG83:FG85)</f>
        <v>176.4</v>
      </c>
      <c r="FH86">
        <f t="shared" ref="FH86" si="2081">SUM(FH83:FH85)</f>
        <v>128</v>
      </c>
      <c r="FI86">
        <f t="shared" ref="FI86" si="2082">SUM(FI83:FI85)</f>
        <v>188.8</v>
      </c>
      <c r="FJ86">
        <f t="shared" ref="FJ86" si="2083">SUM(FJ83:FJ85)</f>
        <v>162</v>
      </c>
      <c r="FK86">
        <f t="shared" ref="FK86" si="2084">SUM(FK83:FK85)</f>
        <v>100.4</v>
      </c>
      <c r="FL86">
        <f t="shared" ref="FL86" si="2085">SUM(FL83:FL85)</f>
        <v>260</v>
      </c>
      <c r="FM86">
        <f t="shared" ref="FM86:FN86" si="2086">SUM(FM83:FM85)</f>
        <v>221.6</v>
      </c>
      <c r="FN86">
        <f t="shared" si="2086"/>
        <v>656.8</v>
      </c>
      <c r="FO86">
        <f t="shared" ref="FO86" si="2087">SUM(FO83:FO85)</f>
        <v>132</v>
      </c>
      <c r="FP86">
        <f t="shared" ref="FP86" si="2088">SUM(FP83:FP85)</f>
        <v>317.2</v>
      </c>
      <c r="FQ86">
        <f t="shared" ref="FQ86" si="2089">SUM(FQ83:FQ85)</f>
        <v>172.8</v>
      </c>
      <c r="FR86">
        <f t="shared" ref="FR86" si="2090">SUM(FR83:FR85)</f>
        <v>0.02</v>
      </c>
      <c r="FS86">
        <f t="shared" ref="FS86" si="2091">SUM(FS83:FS85)</f>
        <v>0.12</v>
      </c>
      <c r="FT86">
        <f t="shared" ref="FT86" si="2092">SUM(FT83:FT85)</f>
        <v>0</v>
      </c>
      <c r="FU86">
        <f t="shared" ref="FU86" si="2093">SUM(FU83:FU85)</f>
        <v>0.48</v>
      </c>
      <c r="FV86">
        <f t="shared" ref="FV86" si="2094">SUM(FV83:FV85)</f>
        <v>0</v>
      </c>
      <c r="FW86">
        <f t="shared" ref="FW86" si="2095">SUM(FW83:FW85)</f>
        <v>0</v>
      </c>
    </row>
    <row r="89" spans="1:179" x14ac:dyDescent="0.35">
      <c r="A89" s="80" t="s">
        <v>248</v>
      </c>
      <c r="B89" s="36" t="s">
        <v>244</v>
      </c>
      <c r="C89">
        <v>50</v>
      </c>
      <c r="D89">
        <v>181.35000000000002</v>
      </c>
      <c r="E89">
        <v>764.40000000000009</v>
      </c>
      <c r="F89">
        <v>3.48</v>
      </c>
      <c r="G89">
        <v>0</v>
      </c>
      <c r="H89">
        <v>3.48</v>
      </c>
      <c r="I89">
        <v>6.0750000000000002</v>
      </c>
      <c r="J89">
        <v>0</v>
      </c>
      <c r="K89">
        <v>6.0750000000000002</v>
      </c>
      <c r="L89">
        <v>0</v>
      </c>
      <c r="M89">
        <v>29.4</v>
      </c>
      <c r="N89">
        <v>28.76</v>
      </c>
      <c r="O89">
        <v>0.6</v>
      </c>
      <c r="P89">
        <v>1.24</v>
      </c>
      <c r="Q89">
        <v>0</v>
      </c>
      <c r="R89">
        <v>59.945</v>
      </c>
      <c r="S89">
        <v>0.75419499999999995</v>
      </c>
      <c r="T89">
        <v>7.9</v>
      </c>
      <c r="U89">
        <v>1.5</v>
      </c>
      <c r="V89">
        <v>52.274999999999999</v>
      </c>
      <c r="W89">
        <v>39.875</v>
      </c>
      <c r="X89">
        <v>0.69475000000000009</v>
      </c>
      <c r="Y89">
        <v>38.85</v>
      </c>
      <c r="Z89">
        <v>9.5190000000000011E-2</v>
      </c>
      <c r="AA89">
        <v>6.71</v>
      </c>
      <c r="AB89">
        <v>12.275</v>
      </c>
      <c r="AC89">
        <v>0.51900000000000002</v>
      </c>
      <c r="AD89">
        <v>0.18675000000000003</v>
      </c>
      <c r="AE89">
        <v>21.474999999999998</v>
      </c>
      <c r="AF89">
        <v>0.14000000000000001</v>
      </c>
      <c r="AG89">
        <v>0.04</v>
      </c>
      <c r="AH89">
        <v>0</v>
      </c>
      <c r="AI89">
        <v>0.76</v>
      </c>
      <c r="AJ89">
        <v>0.14800000000000002</v>
      </c>
      <c r="AK89">
        <v>10</v>
      </c>
      <c r="AL89">
        <v>0.26400000000000001</v>
      </c>
      <c r="AM89">
        <v>0.92</v>
      </c>
      <c r="AN89">
        <v>0</v>
      </c>
      <c r="AO89">
        <v>27.851800000000001</v>
      </c>
      <c r="AP89">
        <v>0</v>
      </c>
      <c r="AQ89">
        <v>167.11</v>
      </c>
      <c r="AR89">
        <v>1.2470000000000001</v>
      </c>
      <c r="AS89">
        <v>0</v>
      </c>
      <c r="AT89">
        <v>2.4704999999999999</v>
      </c>
      <c r="AU89">
        <v>0.83799999999999997</v>
      </c>
      <c r="AV89">
        <v>0</v>
      </c>
      <c r="AW89">
        <v>2.0000000000000001E-4</v>
      </c>
      <c r="AX89">
        <v>2.8000000000000004E-3</v>
      </c>
      <c r="AY89">
        <v>0.61349999999999993</v>
      </c>
      <c r="AZ89">
        <v>0.17200000000000004</v>
      </c>
      <c r="BA89">
        <v>3.8499999999999993E-2</v>
      </c>
      <c r="BB89">
        <v>8.0000000000000002E-3</v>
      </c>
      <c r="BC89">
        <v>3.3464999999999998</v>
      </c>
      <c r="BD89">
        <v>0</v>
      </c>
      <c r="BE89">
        <v>3.15E-2</v>
      </c>
      <c r="BF89">
        <v>3.3</v>
      </c>
      <c r="BG89">
        <v>1.2500000000000001E-2</v>
      </c>
      <c r="BH89">
        <v>3.5000000000000005E-3</v>
      </c>
      <c r="BI89">
        <v>1.56</v>
      </c>
      <c r="BJ89">
        <v>1.4910000000000001</v>
      </c>
      <c r="BK89">
        <v>6.9000000000000006E-2</v>
      </c>
      <c r="BL89">
        <v>0</v>
      </c>
      <c r="BM89">
        <v>0</v>
      </c>
      <c r="BN89">
        <v>0</v>
      </c>
      <c r="BO89">
        <v>0</v>
      </c>
      <c r="BP89">
        <v>24.4</v>
      </c>
      <c r="BQ89">
        <v>133.6</v>
      </c>
      <c r="BR89">
        <v>140</v>
      </c>
      <c r="BS89">
        <v>411.2</v>
      </c>
      <c r="BT89">
        <v>103.2</v>
      </c>
      <c r="BU89">
        <v>62</v>
      </c>
      <c r="BV89">
        <v>60.8</v>
      </c>
      <c r="BW89">
        <v>176.4</v>
      </c>
      <c r="BX89">
        <v>128</v>
      </c>
      <c r="BY89">
        <v>188.8</v>
      </c>
      <c r="BZ89">
        <v>162</v>
      </c>
      <c r="CA89">
        <v>100.4</v>
      </c>
      <c r="CB89">
        <v>260</v>
      </c>
      <c r="CC89">
        <v>221.6</v>
      </c>
      <c r="CD89">
        <v>656.8</v>
      </c>
      <c r="CE89">
        <v>132</v>
      </c>
      <c r="CF89">
        <v>317.2</v>
      </c>
      <c r="CG89">
        <v>172.8</v>
      </c>
      <c r="CH89">
        <v>0.02</v>
      </c>
      <c r="CI89">
        <v>0.12</v>
      </c>
      <c r="CJ89">
        <v>0</v>
      </c>
      <c r="CK89">
        <v>0.48</v>
      </c>
      <c r="CL89">
        <v>0</v>
      </c>
      <c r="CM89">
        <v>0</v>
      </c>
      <c r="CN89">
        <f t="shared" ref="CN89" si="2096">($C89*D89)/100</f>
        <v>90.675000000000011</v>
      </c>
      <c r="CO89">
        <f t="shared" ref="CO89" si="2097">($C89*E89)/100</f>
        <v>382.20000000000005</v>
      </c>
      <c r="CP89">
        <f t="shared" ref="CP89" si="2098">($C89*F89)/100</f>
        <v>1.74</v>
      </c>
      <c r="CQ89">
        <f t="shared" ref="CQ89" si="2099">($C89*G89)/100</f>
        <v>0</v>
      </c>
      <c r="CR89">
        <f t="shared" ref="CR89" si="2100">($C89*H89)/100</f>
        <v>1.74</v>
      </c>
      <c r="CS89">
        <f t="shared" ref="CS89" si="2101">($C89*I89)/100</f>
        <v>3.0375000000000001</v>
      </c>
      <c r="CT89">
        <f t="shared" ref="CT89" si="2102">($C89*J89)/100</f>
        <v>0</v>
      </c>
      <c r="CU89">
        <f t="shared" ref="CU89" si="2103">($C89*K89)/100</f>
        <v>3.0375000000000001</v>
      </c>
      <c r="CV89">
        <f t="shared" ref="CV89" si="2104">($C89*L89)/100</f>
        <v>0</v>
      </c>
      <c r="CW89">
        <f t="shared" ref="CW89" si="2105">($C89*M89)/100</f>
        <v>14.7</v>
      </c>
      <c r="CX89">
        <f t="shared" ref="CX89" si="2106">($C89*N89)/100</f>
        <v>14.38</v>
      </c>
      <c r="CY89">
        <f t="shared" ref="CY89" si="2107">($C89*O89)/100</f>
        <v>0.3</v>
      </c>
      <c r="CZ89">
        <f t="shared" ref="CZ89" si="2108">($C89*P89)/100</f>
        <v>0.62</v>
      </c>
      <c r="DA89">
        <f t="shared" ref="DA89" si="2109">($C89*Q89)/100</f>
        <v>0</v>
      </c>
      <c r="DB89">
        <f t="shared" ref="DB89" si="2110">($C89*R89)/100</f>
        <v>29.9725</v>
      </c>
      <c r="DC89">
        <f t="shared" ref="DC89" si="2111">($C89*S89)/100</f>
        <v>0.37709749999999997</v>
      </c>
      <c r="DD89">
        <f t="shared" ref="DD89" si="2112">($C89*T89)/100</f>
        <v>3.95</v>
      </c>
      <c r="DE89">
        <f t="shared" ref="DE89" si="2113">($C89*U89)/100</f>
        <v>0.75</v>
      </c>
      <c r="DF89">
        <f t="shared" ref="DF89" si="2114">($C89*V89)/100</f>
        <v>26.137499999999999</v>
      </c>
      <c r="DG89">
        <f t="shared" ref="DG89" si="2115">($C89*W89)/100</f>
        <v>19.9375</v>
      </c>
      <c r="DH89">
        <f t="shared" ref="DH89" si="2116">($C89*X89)/100</f>
        <v>0.34737500000000004</v>
      </c>
      <c r="DI89">
        <f t="shared" ref="DI89" si="2117">($C89*Y89)/100</f>
        <v>19.425000000000001</v>
      </c>
      <c r="DJ89">
        <f t="shared" ref="DJ89" si="2118">($C89*Z89)/100</f>
        <v>4.7595000000000012E-2</v>
      </c>
      <c r="DK89">
        <f t="shared" ref="DK89" si="2119">($C89*AA89)/100</f>
        <v>3.355</v>
      </c>
      <c r="DL89">
        <f t="shared" ref="DL89" si="2120">($C89*AB89)/100</f>
        <v>6.1375000000000002</v>
      </c>
      <c r="DM89">
        <f t="shared" ref="DM89" si="2121">($C89*AC89)/100</f>
        <v>0.25950000000000001</v>
      </c>
      <c r="DN89">
        <f t="shared" ref="DN89" si="2122">($C89*AD89)/100</f>
        <v>9.3375000000000027E-2</v>
      </c>
      <c r="DO89">
        <f t="shared" ref="DO89" si="2123">($C89*AE89)/100</f>
        <v>10.737500000000001</v>
      </c>
      <c r="DP89">
        <f t="shared" ref="DP89" si="2124">($C89*AF89)/100</f>
        <v>7.0000000000000007E-2</v>
      </c>
      <c r="DQ89">
        <f t="shared" ref="DQ89" si="2125">($C89*AG89)/100</f>
        <v>0.02</v>
      </c>
      <c r="DR89">
        <f t="shared" ref="DR89" si="2126">($C89*AH89)/100</f>
        <v>0</v>
      </c>
      <c r="DS89">
        <f t="shared" ref="DS89" si="2127">($C89*AI89)/100</f>
        <v>0.38</v>
      </c>
      <c r="DT89">
        <f t="shared" ref="DT89" si="2128">($C89*AJ89)/100</f>
        <v>7.400000000000001E-2</v>
      </c>
      <c r="DU89">
        <f t="shared" ref="DU89" si="2129">($C89*AK89)/100</f>
        <v>5</v>
      </c>
      <c r="DV89">
        <f t="shared" ref="DV89" si="2130">($C89*AL89)/100</f>
        <v>0.13200000000000001</v>
      </c>
      <c r="DW89">
        <f t="shared" ref="DW89" si="2131">($C89*AM89)/100</f>
        <v>0.46</v>
      </c>
      <c r="DX89">
        <f t="shared" ref="DX89" si="2132">($C89*AN89)/100</f>
        <v>0</v>
      </c>
      <c r="DY89">
        <f t="shared" ref="DY89" si="2133">($C89*AO89)/100</f>
        <v>13.925900000000002</v>
      </c>
      <c r="DZ89">
        <f t="shared" ref="DZ89" si="2134">($C89*AP89)/100</f>
        <v>0</v>
      </c>
      <c r="EA89">
        <f t="shared" ref="EA89" si="2135">($C89*AQ89)/100</f>
        <v>83.555000000000007</v>
      </c>
      <c r="EB89">
        <f t="shared" ref="EB89" si="2136">($C89*AR89)/100</f>
        <v>0.62350000000000005</v>
      </c>
      <c r="EC89">
        <f t="shared" ref="EC89" si="2137">($C89*AS89)/100</f>
        <v>0</v>
      </c>
      <c r="ED89">
        <f t="shared" ref="ED89" si="2138">($C89*AT89)/100</f>
        <v>1.23525</v>
      </c>
      <c r="EE89">
        <f t="shared" ref="EE89" si="2139">($C89*AU89)/100</f>
        <v>0.41899999999999998</v>
      </c>
      <c r="EF89">
        <f t="shared" ref="EF89" si="2140">($C89*AV89)/100</f>
        <v>0</v>
      </c>
      <c r="EG89">
        <f t="shared" ref="EG89" si="2141">($C89*AW89)/100</f>
        <v>1E-4</v>
      </c>
      <c r="EH89">
        <f t="shared" ref="EH89" si="2142">($C89*AX89)/100</f>
        <v>1.4000000000000002E-3</v>
      </c>
      <c r="EI89">
        <f t="shared" ref="EI89" si="2143">($C89*AY89)/100</f>
        <v>0.30674999999999997</v>
      </c>
      <c r="EJ89">
        <f t="shared" ref="EJ89" si="2144">($C89*AZ89)/100</f>
        <v>8.6000000000000021E-2</v>
      </c>
      <c r="EK89">
        <f t="shared" ref="EK89" si="2145">($C89*BA89)/100</f>
        <v>1.9249999999999996E-2</v>
      </c>
      <c r="EL89">
        <f t="shared" ref="EL89" si="2146">($C89*BB89)/100</f>
        <v>4.0000000000000001E-3</v>
      </c>
      <c r="EM89">
        <f t="shared" ref="EM89" si="2147">($C89*BC89)/100</f>
        <v>1.6732499999999999</v>
      </c>
      <c r="EN89">
        <f t="shared" ref="EN89" si="2148">($C89*BD89)/100</f>
        <v>0</v>
      </c>
      <c r="EO89">
        <f t="shared" ref="EO89" si="2149">($C89*BE89)/100</f>
        <v>1.575E-2</v>
      </c>
      <c r="EP89">
        <f t="shared" ref="EP89" si="2150">($C89*BF89)/100</f>
        <v>1.65</v>
      </c>
      <c r="EQ89">
        <f t="shared" ref="EQ89" si="2151">($C89*BG89)/100</f>
        <v>6.2500000000000003E-3</v>
      </c>
      <c r="ER89">
        <f t="shared" ref="ER89" si="2152">($C89*BH89)/100</f>
        <v>1.7500000000000003E-3</v>
      </c>
      <c r="ES89">
        <f t="shared" ref="ES89" si="2153">($C89*BI89)/100</f>
        <v>0.78</v>
      </c>
      <c r="ET89">
        <f t="shared" ref="ET89" si="2154">($C89*BJ89)/100</f>
        <v>0.74550000000000016</v>
      </c>
      <c r="EU89">
        <f t="shared" ref="EU89" si="2155">($C89*BK89)/100</f>
        <v>3.4500000000000003E-2</v>
      </c>
      <c r="EV89">
        <f t="shared" ref="EV89" si="2156">($C89*BL89)/100</f>
        <v>0</v>
      </c>
      <c r="EW89">
        <f t="shared" ref="EW89" si="2157">($C89*BM89)/100</f>
        <v>0</v>
      </c>
      <c r="EX89">
        <f t="shared" ref="EX89" si="2158">($C89*BN89)/100</f>
        <v>0</v>
      </c>
      <c r="EY89">
        <f t="shared" ref="EY89" si="2159">($C89*BO89)/100</f>
        <v>0</v>
      </c>
      <c r="EZ89">
        <f t="shared" ref="EZ89" si="2160">($C89*BP89)/100</f>
        <v>12.2</v>
      </c>
      <c r="FA89">
        <f t="shared" ref="FA89" si="2161">($C89*BQ89)/100</f>
        <v>66.8</v>
      </c>
      <c r="FB89">
        <f t="shared" ref="FB89" si="2162">($C89*BR89)/100</f>
        <v>70</v>
      </c>
      <c r="FC89">
        <f t="shared" ref="FC89" si="2163">($C89*BS89)/100</f>
        <v>205.6</v>
      </c>
      <c r="FD89">
        <f t="shared" ref="FD89" si="2164">($C89*BT89)/100</f>
        <v>51.6</v>
      </c>
      <c r="FE89">
        <f t="shared" ref="FE89" si="2165">($C89*BU89)/100</f>
        <v>31</v>
      </c>
      <c r="FF89">
        <f t="shared" ref="FF89" si="2166">($C89*BV89)/100</f>
        <v>30.4</v>
      </c>
      <c r="FG89">
        <f t="shared" ref="FG89" si="2167">($C89*BW89)/100</f>
        <v>88.2</v>
      </c>
      <c r="FH89">
        <f t="shared" ref="FH89" si="2168">($C89*BX89)/100</f>
        <v>64</v>
      </c>
      <c r="FI89">
        <f t="shared" ref="FI89" si="2169">($C89*BY89)/100</f>
        <v>94.4</v>
      </c>
      <c r="FJ89">
        <f t="shared" ref="FJ89" si="2170">($C89*BZ89)/100</f>
        <v>81</v>
      </c>
      <c r="FK89">
        <f t="shared" ref="FK89" si="2171">($C89*CA89)/100</f>
        <v>50.2</v>
      </c>
      <c r="FL89">
        <f t="shared" ref="FL89" si="2172">($C89*CB89)/100</f>
        <v>130</v>
      </c>
      <c r="FM89">
        <f t="shared" ref="FM89" si="2173">($C89*CC89)/100</f>
        <v>110.8</v>
      </c>
      <c r="FN89">
        <f t="shared" ref="FN89" si="2174">($C89*CD89)/100</f>
        <v>328.4</v>
      </c>
      <c r="FO89">
        <f t="shared" ref="FO89" si="2175">($C89*CE89)/100</f>
        <v>66</v>
      </c>
      <c r="FP89">
        <f t="shared" ref="FP89" si="2176">($C89*CF89)/100</f>
        <v>158.6</v>
      </c>
      <c r="FQ89">
        <f t="shared" ref="FQ89" si="2177">($C89*CG89)/100</f>
        <v>86.4</v>
      </c>
      <c r="FR89">
        <f t="shared" ref="FR89" si="2178">($C89*CH89)/100</f>
        <v>0.01</v>
      </c>
      <c r="FS89">
        <f t="shared" ref="FS89" si="2179">($C89*CI89)/100</f>
        <v>0.06</v>
      </c>
      <c r="FT89">
        <f t="shared" ref="FT89" si="2180">($C89*CJ89)/100</f>
        <v>0</v>
      </c>
      <c r="FU89">
        <f t="shared" ref="FU89" si="2181">($C89*CK89)/100</f>
        <v>0.24</v>
      </c>
      <c r="FV89">
        <f t="shared" ref="FV89" si="2182">($C89*CL89)/100</f>
        <v>0</v>
      </c>
      <c r="FW89">
        <f t="shared" ref="FW89" si="2183">($C89*CM89)/100</f>
        <v>0</v>
      </c>
    </row>
    <row r="90" spans="1:179" x14ac:dyDescent="0.35">
      <c r="B90" s="72" t="s">
        <v>209</v>
      </c>
      <c r="C90">
        <v>4</v>
      </c>
      <c r="D90" s="54">
        <v>30</v>
      </c>
      <c r="E90" s="54">
        <v>125</v>
      </c>
      <c r="F90" s="54">
        <v>1.8</v>
      </c>
      <c r="G90" s="54">
        <v>0</v>
      </c>
      <c r="H90" s="54">
        <v>1.8</v>
      </c>
      <c r="I90" s="54">
        <v>0.5</v>
      </c>
      <c r="J90" s="54">
        <v>0</v>
      </c>
      <c r="K90" s="54">
        <v>0.5</v>
      </c>
      <c r="L90" s="54">
        <v>0</v>
      </c>
      <c r="M90" s="54">
        <v>3.8</v>
      </c>
      <c r="N90" s="54">
        <v>2.2999999999999998</v>
      </c>
      <c r="O90" s="54">
        <v>1.5</v>
      </c>
      <c r="P90" s="54">
        <v>1.9</v>
      </c>
      <c r="Q90" s="54">
        <v>0</v>
      </c>
      <c r="R90" s="54">
        <v>87.8</v>
      </c>
      <c r="S90" s="54">
        <v>0.5</v>
      </c>
      <c r="T90" s="54">
        <v>18</v>
      </c>
      <c r="U90" s="54">
        <v>11</v>
      </c>
      <c r="V90" s="54">
        <v>395</v>
      </c>
      <c r="W90" s="54">
        <v>18</v>
      </c>
      <c r="X90" s="54">
        <v>0.27</v>
      </c>
      <c r="Y90" s="81">
        <v>0</v>
      </c>
      <c r="Z90" s="81">
        <v>0</v>
      </c>
      <c r="AA90" s="81">
        <v>0</v>
      </c>
      <c r="AB90" s="81">
        <v>0</v>
      </c>
      <c r="AC90" s="81">
        <v>0</v>
      </c>
      <c r="AD90" s="81">
        <v>0</v>
      </c>
      <c r="AE90" s="81">
        <v>0</v>
      </c>
      <c r="AF90" s="54">
        <v>0.09</v>
      </c>
      <c r="AG90" s="54">
        <v>0.23</v>
      </c>
      <c r="AH90" s="54">
        <v>229</v>
      </c>
      <c r="AI90" s="54">
        <v>3</v>
      </c>
      <c r="AJ90" s="54">
        <v>0.25</v>
      </c>
      <c r="AK90" s="54">
        <v>21</v>
      </c>
      <c r="AL90" s="81">
        <v>0</v>
      </c>
      <c r="AM90" s="81">
        <v>0</v>
      </c>
      <c r="AN90" s="81">
        <v>0</v>
      </c>
      <c r="AO90" s="54">
        <v>824</v>
      </c>
      <c r="AP90" s="54">
        <v>0</v>
      </c>
      <c r="AQ90" s="54">
        <v>4944</v>
      </c>
      <c r="AR90" s="54">
        <v>0.8</v>
      </c>
      <c r="AS90" s="54">
        <v>0</v>
      </c>
      <c r="AT90" s="81">
        <v>0</v>
      </c>
      <c r="AU90" s="54">
        <v>0.09</v>
      </c>
      <c r="AV90" s="81">
        <v>0</v>
      </c>
      <c r="AW90" s="81">
        <v>0</v>
      </c>
      <c r="AX90" s="81">
        <v>0</v>
      </c>
      <c r="AY90" s="81">
        <v>0</v>
      </c>
      <c r="AZ90" s="81">
        <v>0</v>
      </c>
      <c r="BA90" s="81">
        <v>0</v>
      </c>
      <c r="BB90" s="81">
        <v>0</v>
      </c>
      <c r="BC90" s="54">
        <v>0.03</v>
      </c>
      <c r="BD90" s="82">
        <v>0</v>
      </c>
      <c r="BE90" s="82">
        <v>0</v>
      </c>
      <c r="BF90" s="54">
        <v>0.03</v>
      </c>
      <c r="BG90" s="82">
        <v>0</v>
      </c>
      <c r="BH90" s="82">
        <v>0</v>
      </c>
      <c r="BI90" s="54">
        <v>0.27</v>
      </c>
      <c r="BJ90" s="54">
        <v>0.23</v>
      </c>
      <c r="BK90" s="54">
        <v>0.05</v>
      </c>
      <c r="BL90" s="82">
        <v>0</v>
      </c>
      <c r="BM90" s="82">
        <v>0</v>
      </c>
      <c r="BN90" s="82">
        <v>0</v>
      </c>
      <c r="BO90" s="54">
        <v>0</v>
      </c>
      <c r="BP90" s="56">
        <v>14</v>
      </c>
      <c r="BQ90" s="56">
        <v>66</v>
      </c>
      <c r="BR90" s="56">
        <v>46</v>
      </c>
      <c r="BS90" s="56">
        <v>76</v>
      </c>
      <c r="BT90" s="56">
        <v>92</v>
      </c>
      <c r="BU90" s="56">
        <v>18</v>
      </c>
      <c r="BV90" s="56">
        <v>50</v>
      </c>
      <c r="BW90" s="56">
        <v>52</v>
      </c>
      <c r="BX90" s="56">
        <v>30</v>
      </c>
      <c r="BY90" s="56">
        <v>64</v>
      </c>
      <c r="BZ90" s="56">
        <v>60</v>
      </c>
      <c r="CA90" s="56">
        <v>24</v>
      </c>
      <c r="CB90" s="56">
        <v>58</v>
      </c>
      <c r="CC90" s="56">
        <v>378</v>
      </c>
      <c r="CD90" s="56">
        <v>296</v>
      </c>
      <c r="CE90" s="56">
        <v>62</v>
      </c>
      <c r="CF90" s="56">
        <v>66</v>
      </c>
      <c r="CG90" s="56">
        <v>88</v>
      </c>
      <c r="CH90" s="81">
        <v>0</v>
      </c>
      <c r="CI90" s="81">
        <v>0</v>
      </c>
      <c r="CJ90" s="83">
        <v>0</v>
      </c>
      <c r="CK90" s="81">
        <v>0</v>
      </c>
      <c r="CL90" s="81">
        <v>0</v>
      </c>
      <c r="CM90" s="83">
        <v>0</v>
      </c>
      <c r="CN90">
        <f t="shared" ref="CN90" si="2184">($C90*D90)/100</f>
        <v>1.2</v>
      </c>
      <c r="CO90">
        <f t="shared" ref="CO90" si="2185">($C90*E90)/100</f>
        <v>5</v>
      </c>
      <c r="CP90">
        <f t="shared" ref="CP90" si="2186">($C90*F90)/100</f>
        <v>7.2000000000000008E-2</v>
      </c>
      <c r="CQ90">
        <f t="shared" ref="CQ90" si="2187">($C90*G90)/100</f>
        <v>0</v>
      </c>
      <c r="CR90">
        <f t="shared" ref="CR90" si="2188">($C90*H90)/100</f>
        <v>7.2000000000000008E-2</v>
      </c>
      <c r="CS90">
        <f t="shared" ref="CS90" si="2189">($C90*I90)/100</f>
        <v>0.02</v>
      </c>
      <c r="CT90">
        <f t="shared" ref="CT90" si="2190">($C90*J90)/100</f>
        <v>0</v>
      </c>
      <c r="CU90">
        <f t="shared" ref="CU90" si="2191">($C90*K90)/100</f>
        <v>0.02</v>
      </c>
      <c r="CV90">
        <f t="shared" ref="CV90" si="2192">($C90*L90)/100</f>
        <v>0</v>
      </c>
      <c r="CW90">
        <f t="shared" ref="CW90" si="2193">($C90*M90)/100</f>
        <v>0.152</v>
      </c>
      <c r="CX90">
        <f t="shared" ref="CX90" si="2194">($C90*N90)/100</f>
        <v>9.1999999999999998E-2</v>
      </c>
      <c r="CY90">
        <f t="shared" ref="CY90" si="2195">($C90*O90)/100</f>
        <v>0.06</v>
      </c>
      <c r="CZ90">
        <f t="shared" ref="CZ90" si="2196">($C90*P90)/100</f>
        <v>7.5999999999999998E-2</v>
      </c>
      <c r="DA90">
        <f t="shared" ref="DA90" si="2197">($C90*Q90)/100</f>
        <v>0</v>
      </c>
      <c r="DB90">
        <f t="shared" ref="DB90" si="2198">($C90*R90)/100</f>
        <v>3.512</v>
      </c>
      <c r="DC90">
        <f t="shared" ref="DC90" si="2199">($C90*S90)/100</f>
        <v>0.02</v>
      </c>
      <c r="DD90">
        <f t="shared" ref="DD90" si="2200">($C90*T90)/100</f>
        <v>0.72</v>
      </c>
      <c r="DE90">
        <f t="shared" ref="DE90" si="2201">($C90*U90)/100</f>
        <v>0.44</v>
      </c>
      <c r="DF90">
        <f t="shared" ref="DF90" si="2202">($C90*V90)/100</f>
        <v>15.8</v>
      </c>
      <c r="DG90">
        <f t="shared" ref="DG90" si="2203">($C90*W90)/100</f>
        <v>0.72</v>
      </c>
      <c r="DH90">
        <f t="shared" ref="DH90" si="2204">($C90*X90)/100</f>
        <v>1.0800000000000001E-2</v>
      </c>
      <c r="DI90">
        <f t="shared" ref="DI90" si="2205">($C90*Y90)/100</f>
        <v>0</v>
      </c>
      <c r="DJ90">
        <f t="shared" ref="DJ90" si="2206">($C90*Z90)/100</f>
        <v>0</v>
      </c>
      <c r="DK90">
        <f t="shared" ref="DK90" si="2207">($C90*AA90)/100</f>
        <v>0</v>
      </c>
      <c r="DL90">
        <f t="shared" ref="DL90" si="2208">($C90*AB90)/100</f>
        <v>0</v>
      </c>
      <c r="DM90">
        <f t="shared" ref="DM90" si="2209">($C90*AC90)/100</f>
        <v>0</v>
      </c>
      <c r="DN90">
        <f t="shared" ref="DN90" si="2210">($C90*AD90)/100</f>
        <v>0</v>
      </c>
      <c r="DO90">
        <f t="shared" ref="DO90" si="2211">($C90*AE90)/100</f>
        <v>0</v>
      </c>
      <c r="DP90">
        <f t="shared" ref="DP90" si="2212">($C90*AF90)/100</f>
        <v>3.5999999999999999E-3</v>
      </c>
      <c r="DQ90">
        <f t="shared" ref="DQ90" si="2213">($C90*AG90)/100</f>
        <v>9.1999999999999998E-3</v>
      </c>
      <c r="DR90">
        <f t="shared" ref="DR90" si="2214">($C90*AH90)/100</f>
        <v>9.16</v>
      </c>
      <c r="DS90">
        <f t="shared" ref="DS90" si="2215">($C90*AI90)/100</f>
        <v>0.12</v>
      </c>
      <c r="DT90">
        <f t="shared" ref="DT90" si="2216">($C90*AJ90)/100</f>
        <v>0.01</v>
      </c>
      <c r="DU90">
        <f t="shared" ref="DU90" si="2217">($C90*AK90)/100</f>
        <v>0.84</v>
      </c>
      <c r="DV90">
        <f t="shared" ref="DV90" si="2218">($C90*AL90)/100</f>
        <v>0</v>
      </c>
      <c r="DW90">
        <f t="shared" ref="DW90" si="2219">($C90*AM90)/100</f>
        <v>0</v>
      </c>
      <c r="DX90">
        <f t="shared" ref="DX90" si="2220">($C90*AN90)/100</f>
        <v>0</v>
      </c>
      <c r="DY90">
        <f t="shared" ref="DY90" si="2221">($C90*AO90)/100</f>
        <v>32.96</v>
      </c>
      <c r="DZ90">
        <f t="shared" ref="DZ90" si="2222">($C90*AP90)/100</f>
        <v>0</v>
      </c>
      <c r="EA90">
        <f t="shared" ref="EA90" si="2223">($C90*AQ90)/100</f>
        <v>197.76</v>
      </c>
      <c r="EB90">
        <f t="shared" ref="EB90" si="2224">($C90*AR90)/100</f>
        <v>3.2000000000000001E-2</v>
      </c>
      <c r="EC90">
        <f t="shared" ref="EC90" si="2225">($C90*AS90)/100</f>
        <v>0</v>
      </c>
      <c r="ED90">
        <f t="shared" ref="ED90" si="2226">($C90*AT90)/100</f>
        <v>0</v>
      </c>
      <c r="EE90">
        <f t="shared" ref="EE90" si="2227">($C90*AU90)/100</f>
        <v>3.5999999999999999E-3</v>
      </c>
      <c r="EF90">
        <f t="shared" ref="EF90" si="2228">($C90*AV90)/100</f>
        <v>0</v>
      </c>
      <c r="EG90">
        <f t="shared" ref="EG90" si="2229">($C90*AW90)/100</f>
        <v>0</v>
      </c>
      <c r="EH90">
        <f t="shared" ref="EH90" si="2230">($C90*AX90)/100</f>
        <v>0</v>
      </c>
      <c r="EI90">
        <f t="shared" ref="EI90" si="2231">($C90*AY90)/100</f>
        <v>0</v>
      </c>
      <c r="EJ90">
        <f t="shared" ref="EJ90" si="2232">($C90*AZ90)/100</f>
        <v>0</v>
      </c>
      <c r="EK90">
        <f t="shared" ref="EK90" si="2233">($C90*BA90)/100</f>
        <v>0</v>
      </c>
      <c r="EL90">
        <f t="shared" ref="EL90" si="2234">($C90*BB90)/100</f>
        <v>0</v>
      </c>
      <c r="EM90">
        <f t="shared" ref="EM90" si="2235">($C90*BC90)/100</f>
        <v>1.1999999999999999E-3</v>
      </c>
      <c r="EN90">
        <f t="shared" ref="EN90" si="2236">($C90*BD90)/100</f>
        <v>0</v>
      </c>
      <c r="EO90">
        <f t="shared" ref="EO90" si="2237">($C90*BE90)/100</f>
        <v>0</v>
      </c>
      <c r="EP90">
        <f t="shared" ref="EP90" si="2238">($C90*BF90)/100</f>
        <v>1.1999999999999999E-3</v>
      </c>
      <c r="EQ90">
        <f t="shared" ref="EQ90" si="2239">($C90*BG90)/100</f>
        <v>0</v>
      </c>
      <c r="ER90">
        <f t="shared" ref="ER90" si="2240">($C90*BH90)/100</f>
        <v>0</v>
      </c>
      <c r="ES90">
        <f t="shared" ref="ES90" si="2241">($C90*BI90)/100</f>
        <v>1.0800000000000001E-2</v>
      </c>
      <c r="ET90">
        <f t="shared" ref="ET90" si="2242">($C90*BJ90)/100</f>
        <v>9.1999999999999998E-3</v>
      </c>
      <c r="EU90">
        <f t="shared" ref="EU90" si="2243">($C90*BK90)/100</f>
        <v>2E-3</v>
      </c>
      <c r="EV90">
        <f t="shared" ref="EV90" si="2244">($C90*BL90)/100</f>
        <v>0</v>
      </c>
      <c r="EW90">
        <f t="shared" ref="EW90" si="2245">($C90*BM90)/100</f>
        <v>0</v>
      </c>
      <c r="EX90">
        <f t="shared" ref="EX90" si="2246">($C90*BN90)/100</f>
        <v>0</v>
      </c>
      <c r="EY90">
        <f t="shared" ref="EY90" si="2247">($C90*BO90)/100</f>
        <v>0</v>
      </c>
      <c r="EZ90">
        <f t="shared" ref="EZ90" si="2248">($C90*BP90)/100</f>
        <v>0.56000000000000005</v>
      </c>
      <c r="FA90">
        <f t="shared" ref="FA90" si="2249">($C90*BQ90)/100</f>
        <v>2.64</v>
      </c>
      <c r="FB90">
        <f t="shared" ref="FB90" si="2250">($C90*BR90)/100</f>
        <v>1.84</v>
      </c>
      <c r="FC90">
        <f t="shared" ref="FC90" si="2251">($C90*BS90)/100</f>
        <v>3.04</v>
      </c>
      <c r="FD90">
        <f t="shared" ref="FD90" si="2252">($C90*BT90)/100</f>
        <v>3.68</v>
      </c>
      <c r="FE90">
        <f t="shared" ref="FE90" si="2253">($C90*BU90)/100</f>
        <v>0.72</v>
      </c>
      <c r="FF90">
        <f t="shared" ref="FF90" si="2254">($C90*BV90)/100</f>
        <v>2</v>
      </c>
      <c r="FG90">
        <f t="shared" ref="FG90" si="2255">($C90*BW90)/100</f>
        <v>2.08</v>
      </c>
      <c r="FH90">
        <f t="shared" ref="FH90" si="2256">($C90*BX90)/100</f>
        <v>1.2</v>
      </c>
      <c r="FI90">
        <f t="shared" ref="FI90" si="2257">($C90*BY90)/100</f>
        <v>2.56</v>
      </c>
      <c r="FJ90">
        <f t="shared" ref="FJ90" si="2258">($C90*BZ90)/100</f>
        <v>2.4</v>
      </c>
      <c r="FK90">
        <f t="shared" ref="FK90" si="2259">($C90*CA90)/100</f>
        <v>0.96</v>
      </c>
      <c r="FL90">
        <f t="shared" ref="FL90" si="2260">($C90*CB90)/100</f>
        <v>2.3199999999999998</v>
      </c>
      <c r="FM90">
        <f t="shared" ref="FM90" si="2261">($C90*CC90)/100</f>
        <v>15.12</v>
      </c>
      <c r="FN90">
        <f t="shared" ref="FN90" si="2262">($C90*CD90)/100</f>
        <v>11.84</v>
      </c>
      <c r="FO90">
        <f t="shared" ref="FO90" si="2263">($C90*CE90)/100</f>
        <v>2.48</v>
      </c>
      <c r="FP90">
        <f t="shared" ref="FP90" si="2264">($C90*CF90)/100</f>
        <v>2.64</v>
      </c>
      <c r="FQ90">
        <f t="shared" ref="FQ90" si="2265">($C90*CG90)/100</f>
        <v>3.52</v>
      </c>
      <c r="FR90">
        <f t="shared" ref="FR90" si="2266">($C90*CH90)/100</f>
        <v>0</v>
      </c>
      <c r="FS90">
        <f t="shared" ref="FS90" si="2267">($C90*CI90)/100</f>
        <v>0</v>
      </c>
      <c r="FT90">
        <f t="shared" ref="FT90" si="2268">($C90*CJ90)/100</f>
        <v>0</v>
      </c>
      <c r="FU90">
        <f t="shared" ref="FU90" si="2269">($C90*CK90)/100</f>
        <v>0</v>
      </c>
      <c r="FV90">
        <f t="shared" ref="FV90" si="2270">($C90*CL90)/100</f>
        <v>0</v>
      </c>
      <c r="FW90">
        <f t="shared" ref="FW90" si="2271">($C90*CM90)/100</f>
        <v>0</v>
      </c>
    </row>
    <row r="91" spans="1:179" x14ac:dyDescent="0.35">
      <c r="B91" s="72" t="s">
        <v>253</v>
      </c>
      <c r="C91">
        <v>5</v>
      </c>
      <c r="D91" s="54">
        <v>28</v>
      </c>
      <c r="E91" s="54">
        <v>121</v>
      </c>
      <c r="F91" s="54">
        <v>1</v>
      </c>
      <c r="G91" s="54">
        <v>0</v>
      </c>
      <c r="H91" s="54">
        <v>1</v>
      </c>
      <c r="I91" s="54">
        <v>0.1</v>
      </c>
      <c r="J91" s="54">
        <v>0</v>
      </c>
      <c r="K91" s="54">
        <v>0.1</v>
      </c>
      <c r="L91" s="54">
        <v>0</v>
      </c>
      <c r="M91" s="54">
        <v>5.7</v>
      </c>
      <c r="N91" s="54">
        <v>0</v>
      </c>
      <c r="O91" s="54">
        <v>5.7</v>
      </c>
      <c r="P91" s="54">
        <v>1.1000000000000001</v>
      </c>
      <c r="Q91" s="54">
        <v>0</v>
      </c>
      <c r="R91" s="54">
        <v>92.1</v>
      </c>
      <c r="S91" s="54">
        <v>0.4</v>
      </c>
      <c r="T91" s="54">
        <v>25</v>
      </c>
      <c r="U91" s="54">
        <v>10</v>
      </c>
      <c r="V91" s="54">
        <v>140</v>
      </c>
      <c r="W91" s="54">
        <v>35</v>
      </c>
      <c r="X91" s="54">
        <v>0.3</v>
      </c>
      <c r="Y91" s="81">
        <v>0</v>
      </c>
      <c r="Z91" s="81">
        <v>0</v>
      </c>
      <c r="AA91" s="81">
        <v>0</v>
      </c>
      <c r="AB91" s="81">
        <v>0</v>
      </c>
      <c r="AC91" s="81">
        <v>0</v>
      </c>
      <c r="AD91" s="81">
        <v>0</v>
      </c>
      <c r="AE91" s="81">
        <v>0</v>
      </c>
      <c r="AF91" s="54">
        <v>0.02</v>
      </c>
      <c r="AG91" s="54">
        <v>0.03</v>
      </c>
      <c r="AH91" s="54">
        <v>5</v>
      </c>
      <c r="AI91" s="54">
        <v>0.5</v>
      </c>
      <c r="AJ91" s="54">
        <v>0.14000000000000001</v>
      </c>
      <c r="AK91" s="54">
        <v>12</v>
      </c>
      <c r="AL91" s="81">
        <v>0</v>
      </c>
      <c r="AM91" s="81">
        <v>0</v>
      </c>
      <c r="AN91" s="81">
        <v>0</v>
      </c>
      <c r="AO91" s="54">
        <v>0</v>
      </c>
      <c r="AP91" s="54">
        <v>0</v>
      </c>
      <c r="AQ91" s="54">
        <v>0</v>
      </c>
      <c r="AR91" s="54">
        <v>0.22</v>
      </c>
      <c r="AS91" s="54">
        <v>0</v>
      </c>
      <c r="AT91" s="81">
        <v>0</v>
      </c>
      <c r="AU91" s="54">
        <v>0.02</v>
      </c>
      <c r="AV91" s="81">
        <v>0</v>
      </c>
      <c r="AW91" s="81">
        <v>0</v>
      </c>
      <c r="AX91" s="81">
        <v>0</v>
      </c>
      <c r="AY91" s="81">
        <v>0</v>
      </c>
      <c r="AZ91" s="81">
        <v>0</v>
      </c>
      <c r="BA91" s="81">
        <v>0</v>
      </c>
      <c r="BB91" s="81">
        <v>0</v>
      </c>
      <c r="BC91" s="54">
        <v>0.01</v>
      </c>
      <c r="BD91" s="82">
        <v>0</v>
      </c>
      <c r="BE91" s="82">
        <v>0</v>
      </c>
      <c r="BF91" s="54">
        <v>0.01</v>
      </c>
      <c r="BG91" s="82">
        <v>0</v>
      </c>
      <c r="BH91" s="82">
        <v>0</v>
      </c>
      <c r="BI91" s="54">
        <v>0.03</v>
      </c>
      <c r="BJ91" s="54">
        <v>0.03</v>
      </c>
      <c r="BK91" s="51">
        <v>5.0000000000000001E-3</v>
      </c>
      <c r="BL91" s="82">
        <v>0</v>
      </c>
      <c r="BM91" s="82">
        <v>0</v>
      </c>
      <c r="BN91" s="82">
        <v>0</v>
      </c>
      <c r="BO91" s="54">
        <v>0</v>
      </c>
      <c r="BP91" s="56">
        <v>15</v>
      </c>
      <c r="BQ91" s="56">
        <v>24</v>
      </c>
      <c r="BR91" s="56">
        <v>35</v>
      </c>
      <c r="BS91" s="56">
        <v>35</v>
      </c>
      <c r="BT91" s="56">
        <v>47</v>
      </c>
      <c r="BU91" s="56">
        <v>9</v>
      </c>
      <c r="BV91" s="56">
        <v>18</v>
      </c>
      <c r="BW91" s="56">
        <v>26</v>
      </c>
      <c r="BX91" s="56">
        <v>25</v>
      </c>
      <c r="BY91" s="56">
        <v>23</v>
      </c>
      <c r="BZ91" s="56">
        <v>134</v>
      </c>
      <c r="CA91" s="56">
        <v>16</v>
      </c>
      <c r="CB91" s="56">
        <v>28</v>
      </c>
      <c r="CC91" s="56">
        <v>54</v>
      </c>
      <c r="CD91" s="56">
        <v>161</v>
      </c>
      <c r="CE91" s="56">
        <v>41</v>
      </c>
      <c r="CF91" s="56">
        <v>31</v>
      </c>
      <c r="CG91" s="56">
        <v>29</v>
      </c>
      <c r="CH91" s="81">
        <v>0</v>
      </c>
      <c r="CI91" s="81">
        <v>0</v>
      </c>
      <c r="CJ91" s="83">
        <v>0</v>
      </c>
      <c r="CK91" s="81">
        <v>0</v>
      </c>
      <c r="CL91" s="81">
        <v>0</v>
      </c>
      <c r="CM91" s="83">
        <v>0</v>
      </c>
      <c r="CN91">
        <f t="shared" ref="CN91:CN96" si="2272">($C91*D91)/100</f>
        <v>1.4</v>
      </c>
      <c r="CO91">
        <f t="shared" ref="CO91:CO96" si="2273">($C91*E91)/100</f>
        <v>6.05</v>
      </c>
      <c r="CP91">
        <f t="shared" ref="CP91:CP96" si="2274">($C91*F91)/100</f>
        <v>0.05</v>
      </c>
      <c r="CQ91">
        <f t="shared" ref="CQ91:CQ96" si="2275">($C91*G91)/100</f>
        <v>0</v>
      </c>
      <c r="CR91">
        <f t="shared" ref="CR91:CR96" si="2276">($C91*H91)/100</f>
        <v>0.05</v>
      </c>
      <c r="CS91">
        <f t="shared" ref="CS91:CS96" si="2277">($C91*I91)/100</f>
        <v>5.0000000000000001E-3</v>
      </c>
      <c r="CT91">
        <f t="shared" ref="CT91:CT96" si="2278">($C91*J91)/100</f>
        <v>0</v>
      </c>
      <c r="CU91">
        <f t="shared" ref="CU91:CU96" si="2279">($C91*K91)/100</f>
        <v>5.0000000000000001E-3</v>
      </c>
      <c r="CV91">
        <f t="shared" ref="CV91:CV96" si="2280">($C91*L91)/100</f>
        <v>0</v>
      </c>
      <c r="CW91">
        <f t="shared" ref="CW91:CW96" si="2281">($C91*M91)/100</f>
        <v>0.28499999999999998</v>
      </c>
      <c r="CX91">
        <f t="shared" ref="CX91:CX96" si="2282">($C91*N91)/100</f>
        <v>0</v>
      </c>
      <c r="CY91">
        <f t="shared" ref="CY91:CY96" si="2283">($C91*O91)/100</f>
        <v>0.28499999999999998</v>
      </c>
      <c r="CZ91">
        <f t="shared" ref="CZ91:CZ96" si="2284">($C91*P91)/100</f>
        <v>5.5E-2</v>
      </c>
      <c r="DA91">
        <f t="shared" ref="DA91:DA96" si="2285">($C91*Q91)/100</f>
        <v>0</v>
      </c>
      <c r="DB91">
        <f t="shared" ref="DB91:DB96" si="2286">($C91*R91)/100</f>
        <v>4.6050000000000004</v>
      </c>
      <c r="DC91">
        <f t="shared" ref="DC91:DC96" si="2287">($C91*S91)/100</f>
        <v>0.02</v>
      </c>
      <c r="DD91">
        <f t="shared" ref="DD91:DD96" si="2288">($C91*T91)/100</f>
        <v>1.25</v>
      </c>
      <c r="DE91">
        <f t="shared" ref="DE91:DE96" si="2289">($C91*U91)/100</f>
        <v>0.5</v>
      </c>
      <c r="DF91">
        <f t="shared" ref="DF91:DF96" si="2290">($C91*V91)/100</f>
        <v>7</v>
      </c>
      <c r="DG91">
        <f t="shared" ref="DG91:DG96" si="2291">($C91*W91)/100</f>
        <v>1.75</v>
      </c>
      <c r="DH91">
        <f t="shared" ref="DH91:DH96" si="2292">($C91*X91)/100</f>
        <v>1.4999999999999999E-2</v>
      </c>
      <c r="DI91">
        <f t="shared" ref="DI91:DI96" si="2293">($C91*Y91)/100</f>
        <v>0</v>
      </c>
      <c r="DJ91">
        <f t="shared" ref="DJ91:DJ96" si="2294">($C91*Z91)/100</f>
        <v>0</v>
      </c>
      <c r="DK91">
        <f t="shared" ref="DK91:DK96" si="2295">($C91*AA91)/100</f>
        <v>0</v>
      </c>
      <c r="DL91">
        <f t="shared" ref="DL91:DL96" si="2296">($C91*AB91)/100</f>
        <v>0</v>
      </c>
      <c r="DM91">
        <f t="shared" ref="DM91:DM96" si="2297">($C91*AC91)/100</f>
        <v>0</v>
      </c>
      <c r="DN91">
        <f t="shared" ref="DN91:DN96" si="2298">($C91*AD91)/100</f>
        <v>0</v>
      </c>
      <c r="DO91">
        <f t="shared" ref="DO91:DO96" si="2299">($C91*AE91)/100</f>
        <v>0</v>
      </c>
      <c r="DP91">
        <f t="shared" ref="DP91:DP96" si="2300">($C91*AF91)/100</f>
        <v>1E-3</v>
      </c>
      <c r="DQ91">
        <f t="shared" ref="DQ91:DQ96" si="2301">($C91*AG91)/100</f>
        <v>1.5E-3</v>
      </c>
      <c r="DR91">
        <f t="shared" ref="DR91:DR96" si="2302">($C91*AH91)/100</f>
        <v>0.25</v>
      </c>
      <c r="DS91">
        <f t="shared" ref="DS91:DS96" si="2303">($C91*AI91)/100</f>
        <v>2.5000000000000001E-2</v>
      </c>
      <c r="DT91">
        <f t="shared" ref="DT91:DT96" si="2304">($C91*AJ91)/100</f>
        <v>7.000000000000001E-3</v>
      </c>
      <c r="DU91">
        <f t="shared" ref="DU91:DU96" si="2305">($C91*AK91)/100</f>
        <v>0.6</v>
      </c>
      <c r="DV91">
        <f t="shared" ref="DV91:DV96" si="2306">($C91*AL91)/100</f>
        <v>0</v>
      </c>
      <c r="DW91">
        <f t="shared" ref="DW91:DW96" si="2307">($C91*AM91)/100</f>
        <v>0</v>
      </c>
      <c r="DX91">
        <f t="shared" ref="DX91:DX96" si="2308">($C91*AN91)/100</f>
        <v>0</v>
      </c>
      <c r="DY91">
        <f t="shared" ref="DY91:DY96" si="2309">($C91*AO91)/100</f>
        <v>0</v>
      </c>
      <c r="DZ91">
        <f t="shared" ref="DZ91:DZ96" si="2310">($C91*AP91)/100</f>
        <v>0</v>
      </c>
      <c r="EA91">
        <f t="shared" ref="EA91:EA96" si="2311">($C91*AQ91)/100</f>
        <v>0</v>
      </c>
      <c r="EB91">
        <f t="shared" ref="EB91:EB96" si="2312">($C91*AR91)/100</f>
        <v>1.1000000000000001E-2</v>
      </c>
      <c r="EC91">
        <f t="shared" ref="EC91:EC96" si="2313">($C91*AS91)/100</f>
        <v>0</v>
      </c>
      <c r="ED91">
        <f t="shared" ref="ED91:ED96" si="2314">($C91*AT91)/100</f>
        <v>0</v>
      </c>
      <c r="EE91">
        <f t="shared" ref="EE91:EE96" si="2315">($C91*AU91)/100</f>
        <v>1E-3</v>
      </c>
      <c r="EF91">
        <f t="shared" ref="EF91:EF96" si="2316">($C91*AV91)/100</f>
        <v>0</v>
      </c>
      <c r="EG91">
        <f t="shared" ref="EG91:EG96" si="2317">($C91*AW91)/100</f>
        <v>0</v>
      </c>
      <c r="EH91">
        <f t="shared" ref="EH91:EH96" si="2318">($C91*AX91)/100</f>
        <v>0</v>
      </c>
      <c r="EI91">
        <f t="shared" ref="EI91:EI96" si="2319">($C91*AY91)/100</f>
        <v>0</v>
      </c>
      <c r="EJ91">
        <f t="shared" ref="EJ91:EJ96" si="2320">($C91*AZ91)/100</f>
        <v>0</v>
      </c>
      <c r="EK91">
        <f t="shared" ref="EK91:EK96" si="2321">($C91*BA91)/100</f>
        <v>0</v>
      </c>
      <c r="EL91">
        <f t="shared" ref="EL91:EL96" si="2322">($C91*BB91)/100</f>
        <v>0</v>
      </c>
      <c r="EM91">
        <f t="shared" ref="EM91:EM96" si="2323">($C91*BC91)/100</f>
        <v>5.0000000000000001E-4</v>
      </c>
      <c r="EN91">
        <f t="shared" ref="EN91:EN96" si="2324">($C91*BD91)/100</f>
        <v>0</v>
      </c>
      <c r="EO91">
        <f t="shared" ref="EO91:EO96" si="2325">($C91*BE91)/100</f>
        <v>0</v>
      </c>
      <c r="EP91">
        <f t="shared" ref="EP91:EP96" si="2326">($C91*BF91)/100</f>
        <v>5.0000000000000001E-4</v>
      </c>
      <c r="EQ91">
        <f t="shared" ref="EQ91:EQ96" si="2327">($C91*BG91)/100</f>
        <v>0</v>
      </c>
      <c r="ER91">
        <f t="shared" ref="ER91:ER96" si="2328">($C91*BH91)/100</f>
        <v>0</v>
      </c>
      <c r="ES91">
        <f t="shared" ref="ES91:ES96" si="2329">($C91*BI91)/100</f>
        <v>1.5E-3</v>
      </c>
      <c r="ET91">
        <f t="shared" ref="ET91:ET96" si="2330">($C91*BJ91)/100</f>
        <v>1.5E-3</v>
      </c>
      <c r="EU91">
        <f t="shared" ref="EU91:EU96" si="2331">($C91*BK91)/100</f>
        <v>2.5000000000000001E-4</v>
      </c>
      <c r="EV91">
        <f t="shared" ref="EV91:EV96" si="2332">($C91*BL91)/100</f>
        <v>0</v>
      </c>
      <c r="EW91">
        <f t="shared" ref="EW91:EW96" si="2333">($C91*BM91)/100</f>
        <v>0</v>
      </c>
      <c r="EX91">
        <f t="shared" ref="EX91:EX96" si="2334">($C91*BN91)/100</f>
        <v>0</v>
      </c>
      <c r="EY91">
        <f t="shared" ref="EY91:EY96" si="2335">($C91*BO91)/100</f>
        <v>0</v>
      </c>
      <c r="EZ91">
        <f t="shared" ref="EZ91:EZ96" si="2336">($C91*BP91)/100</f>
        <v>0.75</v>
      </c>
      <c r="FA91">
        <f t="shared" ref="FA91:FA96" si="2337">($C91*BQ91)/100</f>
        <v>1.2</v>
      </c>
      <c r="FB91">
        <f t="shared" ref="FB91:FB96" si="2338">($C91*BR91)/100</f>
        <v>1.75</v>
      </c>
      <c r="FC91">
        <f t="shared" ref="FC91:FC96" si="2339">($C91*BS91)/100</f>
        <v>1.75</v>
      </c>
      <c r="FD91">
        <f t="shared" ref="FD91:FD96" si="2340">($C91*BT91)/100</f>
        <v>2.35</v>
      </c>
      <c r="FE91">
        <f t="shared" ref="FE91:FE96" si="2341">($C91*BU91)/100</f>
        <v>0.45</v>
      </c>
      <c r="FF91">
        <f t="shared" ref="FF91:FF96" si="2342">($C91*BV91)/100</f>
        <v>0.9</v>
      </c>
      <c r="FG91">
        <f t="shared" ref="FG91:FG96" si="2343">($C91*BW91)/100</f>
        <v>1.3</v>
      </c>
      <c r="FH91">
        <f t="shared" ref="FH91:FH96" si="2344">($C91*BX91)/100</f>
        <v>1.25</v>
      </c>
      <c r="FI91">
        <f t="shared" ref="FI91:FI96" si="2345">($C91*BY91)/100</f>
        <v>1.1499999999999999</v>
      </c>
      <c r="FJ91">
        <f t="shared" ref="FJ91:FJ96" si="2346">($C91*BZ91)/100</f>
        <v>6.7</v>
      </c>
      <c r="FK91">
        <f t="shared" ref="FK91:FK96" si="2347">($C91*CA91)/100</f>
        <v>0.8</v>
      </c>
      <c r="FL91">
        <f t="shared" ref="FL91:FL96" si="2348">($C91*CB91)/100</f>
        <v>1.4</v>
      </c>
      <c r="FM91">
        <f t="shared" ref="FM91:FM96" si="2349">($C91*CC91)/100</f>
        <v>2.7</v>
      </c>
      <c r="FN91">
        <f t="shared" ref="FN91:FN96" si="2350">($C91*CD91)/100</f>
        <v>8.0500000000000007</v>
      </c>
      <c r="FO91">
        <f t="shared" ref="FO91:FO96" si="2351">($C91*CE91)/100</f>
        <v>2.0499999999999998</v>
      </c>
      <c r="FP91">
        <f t="shared" ref="FP91:FP96" si="2352">($C91*CF91)/100</f>
        <v>1.55</v>
      </c>
      <c r="FQ91">
        <f t="shared" ref="FQ91:FQ96" si="2353">($C91*CG91)/100</f>
        <v>1.45</v>
      </c>
      <c r="FR91">
        <f t="shared" ref="FR91:FR96" si="2354">($C91*CH91)/100</f>
        <v>0</v>
      </c>
      <c r="FS91">
        <f t="shared" ref="FS91:FS96" si="2355">($C91*CI91)/100</f>
        <v>0</v>
      </c>
      <c r="FT91">
        <f t="shared" ref="FT91:FT96" si="2356">($C91*CJ91)/100</f>
        <v>0</v>
      </c>
      <c r="FU91">
        <f t="shared" ref="FU91:FU96" si="2357">($C91*CK91)/100</f>
        <v>0</v>
      </c>
      <c r="FV91">
        <f t="shared" ref="FV91:FV96" si="2358">($C91*CL91)/100</f>
        <v>0</v>
      </c>
      <c r="FW91">
        <f t="shared" ref="FW91:FW96" si="2359">($C91*CM91)/100</f>
        <v>0</v>
      </c>
    </row>
    <row r="92" spans="1:179" x14ac:dyDescent="0.35">
      <c r="B92" s="72" t="s">
        <v>226</v>
      </c>
      <c r="C92">
        <v>5</v>
      </c>
      <c r="D92" s="6">
        <v>19</v>
      </c>
      <c r="E92" s="6">
        <v>81</v>
      </c>
      <c r="F92" s="6">
        <v>1.2</v>
      </c>
      <c r="G92" s="6">
        <v>0</v>
      </c>
      <c r="H92" s="6">
        <v>1.2</v>
      </c>
      <c r="I92" s="6">
        <v>0.2</v>
      </c>
      <c r="J92" s="6">
        <v>0</v>
      </c>
      <c r="K92" s="6">
        <v>0.2</v>
      </c>
      <c r="L92" s="6">
        <v>0</v>
      </c>
      <c r="M92" s="6">
        <v>2.8</v>
      </c>
      <c r="N92" s="6">
        <v>0</v>
      </c>
      <c r="O92" s="6">
        <v>2.8</v>
      </c>
      <c r="P92" s="6">
        <v>1.1000000000000001</v>
      </c>
      <c r="Q92" s="6">
        <v>0</v>
      </c>
      <c r="R92" s="6">
        <v>94.2</v>
      </c>
      <c r="S92" s="6">
        <v>0.4</v>
      </c>
      <c r="T92" s="6">
        <v>11</v>
      </c>
      <c r="U92" s="6">
        <v>3</v>
      </c>
      <c r="V92" s="6">
        <v>290</v>
      </c>
      <c r="W92" s="6">
        <v>26</v>
      </c>
      <c r="X92" s="6">
        <v>0.2</v>
      </c>
      <c r="Y92" s="81">
        <v>0</v>
      </c>
      <c r="Z92" s="81">
        <v>0</v>
      </c>
      <c r="AA92" s="81">
        <v>0</v>
      </c>
      <c r="AB92" s="81">
        <v>0</v>
      </c>
      <c r="AC92" s="81">
        <v>0</v>
      </c>
      <c r="AD92" s="81">
        <v>0</v>
      </c>
      <c r="AE92" s="81">
        <v>0</v>
      </c>
      <c r="AF92" s="6">
        <v>0.03</v>
      </c>
      <c r="AG92" s="6">
        <v>0.03</v>
      </c>
      <c r="AH92" s="6">
        <v>21</v>
      </c>
      <c r="AI92" s="6">
        <v>0.7</v>
      </c>
      <c r="AJ92" s="6">
        <v>0.12</v>
      </c>
      <c r="AK92" s="6">
        <v>14</v>
      </c>
      <c r="AL92" s="81">
        <v>0</v>
      </c>
      <c r="AM92" s="81">
        <v>0</v>
      </c>
      <c r="AN92" s="81">
        <v>0</v>
      </c>
      <c r="AO92" s="6">
        <v>42</v>
      </c>
      <c r="AP92" s="6">
        <v>0</v>
      </c>
      <c r="AQ92" s="6">
        <v>252</v>
      </c>
      <c r="AR92" s="6">
        <v>1.03</v>
      </c>
      <c r="AS92" s="6">
        <v>0</v>
      </c>
      <c r="AT92" s="81">
        <v>0</v>
      </c>
      <c r="AU92" s="6">
        <v>0.03</v>
      </c>
      <c r="AV92" s="81">
        <v>0</v>
      </c>
      <c r="AW92" s="81">
        <v>0</v>
      </c>
      <c r="AX92" s="81">
        <v>0</v>
      </c>
      <c r="AY92" s="81">
        <v>0</v>
      </c>
      <c r="AZ92" s="81">
        <v>0</v>
      </c>
      <c r="BA92" s="81">
        <v>0</v>
      </c>
      <c r="BB92" s="81">
        <v>0</v>
      </c>
      <c r="BC92" s="6">
        <v>0.03</v>
      </c>
      <c r="BD92" s="82">
        <v>0</v>
      </c>
      <c r="BE92" s="82">
        <v>0</v>
      </c>
      <c r="BF92" s="6">
        <v>0.03</v>
      </c>
      <c r="BG92" s="82">
        <v>0</v>
      </c>
      <c r="BH92" s="82">
        <v>0</v>
      </c>
      <c r="BI92" s="6">
        <v>0.08</v>
      </c>
      <c r="BJ92" s="6">
        <v>0.08</v>
      </c>
      <c r="BK92" s="51">
        <v>5.0000000000000001E-3</v>
      </c>
      <c r="BL92" s="82">
        <v>0</v>
      </c>
      <c r="BM92" s="82">
        <v>0</v>
      </c>
      <c r="BN92" s="82">
        <v>0</v>
      </c>
      <c r="BO92" s="6">
        <v>0</v>
      </c>
      <c r="BP92" s="7">
        <v>11</v>
      </c>
      <c r="BQ92" s="7">
        <v>30</v>
      </c>
      <c r="BR92" s="7">
        <v>24</v>
      </c>
      <c r="BS92" s="7">
        <v>36</v>
      </c>
      <c r="BT92" s="7">
        <v>36</v>
      </c>
      <c r="BU92" s="7">
        <v>8</v>
      </c>
      <c r="BV92" s="7">
        <v>8</v>
      </c>
      <c r="BW92" s="7">
        <v>24</v>
      </c>
      <c r="BX92" s="7">
        <v>17</v>
      </c>
      <c r="BY92" s="7">
        <v>29</v>
      </c>
      <c r="BZ92" s="7">
        <v>29</v>
      </c>
      <c r="CA92" s="7">
        <v>20</v>
      </c>
      <c r="CB92" s="7">
        <v>32</v>
      </c>
      <c r="CC92" s="7">
        <v>155</v>
      </c>
      <c r="CD92" s="7">
        <v>548</v>
      </c>
      <c r="CE92" s="7">
        <v>24</v>
      </c>
      <c r="CF92" s="7">
        <v>22</v>
      </c>
      <c r="CG92" s="7">
        <v>34</v>
      </c>
      <c r="CH92" s="81">
        <v>0</v>
      </c>
      <c r="CI92" s="81">
        <v>0</v>
      </c>
      <c r="CJ92" s="83">
        <v>0</v>
      </c>
      <c r="CK92" s="81">
        <v>0</v>
      </c>
      <c r="CL92" s="81">
        <v>0</v>
      </c>
      <c r="CM92" s="83">
        <v>0</v>
      </c>
      <c r="CN92">
        <f t="shared" si="2272"/>
        <v>0.95</v>
      </c>
      <c r="CO92">
        <f t="shared" si="2273"/>
        <v>4.05</v>
      </c>
      <c r="CP92">
        <f t="shared" si="2274"/>
        <v>0.06</v>
      </c>
      <c r="CQ92">
        <f t="shared" si="2275"/>
        <v>0</v>
      </c>
      <c r="CR92">
        <f t="shared" si="2276"/>
        <v>0.06</v>
      </c>
      <c r="CS92">
        <f t="shared" si="2277"/>
        <v>0.01</v>
      </c>
      <c r="CT92">
        <f t="shared" si="2278"/>
        <v>0</v>
      </c>
      <c r="CU92">
        <f t="shared" si="2279"/>
        <v>0.01</v>
      </c>
      <c r="CV92">
        <f t="shared" si="2280"/>
        <v>0</v>
      </c>
      <c r="CW92">
        <f t="shared" si="2281"/>
        <v>0.14000000000000001</v>
      </c>
      <c r="CX92">
        <f t="shared" si="2282"/>
        <v>0</v>
      </c>
      <c r="CY92">
        <f t="shared" si="2283"/>
        <v>0.14000000000000001</v>
      </c>
      <c r="CZ92">
        <f t="shared" si="2284"/>
        <v>5.5E-2</v>
      </c>
      <c r="DA92">
        <f t="shared" si="2285"/>
        <v>0</v>
      </c>
      <c r="DB92">
        <f t="shared" si="2286"/>
        <v>4.71</v>
      </c>
      <c r="DC92">
        <f t="shared" si="2287"/>
        <v>0.02</v>
      </c>
      <c r="DD92">
        <f t="shared" si="2288"/>
        <v>0.55000000000000004</v>
      </c>
      <c r="DE92">
        <f t="shared" si="2289"/>
        <v>0.15</v>
      </c>
      <c r="DF92">
        <f t="shared" si="2290"/>
        <v>14.5</v>
      </c>
      <c r="DG92">
        <f t="shared" si="2291"/>
        <v>1.3</v>
      </c>
      <c r="DH92">
        <f t="shared" si="2292"/>
        <v>0.01</v>
      </c>
      <c r="DI92">
        <f t="shared" si="2293"/>
        <v>0</v>
      </c>
      <c r="DJ92">
        <f t="shared" si="2294"/>
        <v>0</v>
      </c>
      <c r="DK92">
        <f t="shared" si="2295"/>
        <v>0</v>
      </c>
      <c r="DL92">
        <f t="shared" si="2296"/>
        <v>0</v>
      </c>
      <c r="DM92">
        <f t="shared" si="2297"/>
        <v>0</v>
      </c>
      <c r="DN92">
        <f t="shared" si="2298"/>
        <v>0</v>
      </c>
      <c r="DO92">
        <f t="shared" si="2299"/>
        <v>0</v>
      </c>
      <c r="DP92">
        <f t="shared" si="2300"/>
        <v>1.5E-3</v>
      </c>
      <c r="DQ92">
        <f t="shared" si="2301"/>
        <v>1.5E-3</v>
      </c>
      <c r="DR92">
        <f t="shared" si="2302"/>
        <v>1.05</v>
      </c>
      <c r="DS92">
        <f t="shared" si="2303"/>
        <v>3.5000000000000003E-2</v>
      </c>
      <c r="DT92">
        <f t="shared" si="2304"/>
        <v>6.0000000000000001E-3</v>
      </c>
      <c r="DU92">
        <f t="shared" si="2305"/>
        <v>0.7</v>
      </c>
      <c r="DV92">
        <f t="shared" si="2306"/>
        <v>0</v>
      </c>
      <c r="DW92">
        <f t="shared" si="2307"/>
        <v>0</v>
      </c>
      <c r="DX92">
        <f t="shared" si="2308"/>
        <v>0</v>
      </c>
      <c r="DY92">
        <f t="shared" si="2309"/>
        <v>2.1</v>
      </c>
      <c r="DZ92">
        <f t="shared" si="2310"/>
        <v>0</v>
      </c>
      <c r="EA92">
        <f t="shared" si="2311"/>
        <v>12.6</v>
      </c>
      <c r="EB92">
        <f t="shared" si="2312"/>
        <v>5.1500000000000004E-2</v>
      </c>
      <c r="EC92">
        <f t="shared" si="2313"/>
        <v>0</v>
      </c>
      <c r="ED92">
        <f t="shared" si="2314"/>
        <v>0</v>
      </c>
      <c r="EE92">
        <f t="shared" si="2315"/>
        <v>1.5E-3</v>
      </c>
      <c r="EF92">
        <f t="shared" si="2316"/>
        <v>0</v>
      </c>
      <c r="EG92">
        <f t="shared" si="2317"/>
        <v>0</v>
      </c>
      <c r="EH92">
        <f t="shared" si="2318"/>
        <v>0</v>
      </c>
      <c r="EI92">
        <f t="shared" si="2319"/>
        <v>0</v>
      </c>
      <c r="EJ92">
        <f t="shared" si="2320"/>
        <v>0</v>
      </c>
      <c r="EK92">
        <f t="shared" si="2321"/>
        <v>0</v>
      </c>
      <c r="EL92">
        <f t="shared" si="2322"/>
        <v>0</v>
      </c>
      <c r="EM92">
        <f t="shared" si="2323"/>
        <v>1.5E-3</v>
      </c>
      <c r="EN92">
        <f t="shared" si="2324"/>
        <v>0</v>
      </c>
      <c r="EO92">
        <f t="shared" si="2325"/>
        <v>0</v>
      </c>
      <c r="EP92">
        <f t="shared" si="2326"/>
        <v>1.5E-3</v>
      </c>
      <c r="EQ92">
        <f t="shared" si="2327"/>
        <v>0</v>
      </c>
      <c r="ER92">
        <f t="shared" si="2328"/>
        <v>0</v>
      </c>
      <c r="ES92">
        <f t="shared" si="2329"/>
        <v>4.0000000000000001E-3</v>
      </c>
      <c r="ET92">
        <f t="shared" si="2330"/>
        <v>4.0000000000000001E-3</v>
      </c>
      <c r="EU92">
        <f t="shared" si="2331"/>
        <v>2.5000000000000001E-4</v>
      </c>
      <c r="EV92">
        <f t="shared" si="2332"/>
        <v>0</v>
      </c>
      <c r="EW92">
        <f t="shared" si="2333"/>
        <v>0</v>
      </c>
      <c r="EX92">
        <f t="shared" si="2334"/>
        <v>0</v>
      </c>
      <c r="EY92">
        <f t="shared" si="2335"/>
        <v>0</v>
      </c>
      <c r="EZ92">
        <f t="shared" si="2336"/>
        <v>0.55000000000000004</v>
      </c>
      <c r="FA92">
        <f t="shared" si="2337"/>
        <v>1.5</v>
      </c>
      <c r="FB92">
        <f t="shared" si="2338"/>
        <v>1.2</v>
      </c>
      <c r="FC92">
        <f t="shared" si="2339"/>
        <v>1.8</v>
      </c>
      <c r="FD92">
        <f t="shared" si="2340"/>
        <v>1.8</v>
      </c>
      <c r="FE92">
        <f t="shared" si="2341"/>
        <v>0.4</v>
      </c>
      <c r="FF92">
        <f t="shared" si="2342"/>
        <v>0.4</v>
      </c>
      <c r="FG92">
        <f t="shared" si="2343"/>
        <v>1.2</v>
      </c>
      <c r="FH92">
        <f t="shared" si="2344"/>
        <v>0.85</v>
      </c>
      <c r="FI92">
        <f t="shared" si="2345"/>
        <v>1.45</v>
      </c>
      <c r="FJ92">
        <f t="shared" si="2346"/>
        <v>1.45</v>
      </c>
      <c r="FK92">
        <f t="shared" si="2347"/>
        <v>1</v>
      </c>
      <c r="FL92">
        <f t="shared" si="2348"/>
        <v>1.6</v>
      </c>
      <c r="FM92">
        <f t="shared" si="2349"/>
        <v>7.75</v>
      </c>
      <c r="FN92">
        <f t="shared" si="2350"/>
        <v>27.4</v>
      </c>
      <c r="FO92">
        <f t="shared" si="2351"/>
        <v>1.2</v>
      </c>
      <c r="FP92">
        <f t="shared" si="2352"/>
        <v>1.1000000000000001</v>
      </c>
      <c r="FQ92">
        <f t="shared" si="2353"/>
        <v>1.7</v>
      </c>
      <c r="FR92">
        <f t="shared" si="2354"/>
        <v>0</v>
      </c>
      <c r="FS92">
        <f t="shared" si="2355"/>
        <v>0</v>
      </c>
      <c r="FT92">
        <f t="shared" si="2356"/>
        <v>0</v>
      </c>
      <c r="FU92">
        <f t="shared" si="2357"/>
        <v>0</v>
      </c>
      <c r="FV92">
        <f t="shared" si="2358"/>
        <v>0</v>
      </c>
      <c r="FW92">
        <f t="shared" si="2359"/>
        <v>0</v>
      </c>
    </row>
    <row r="93" spans="1:179" x14ac:dyDescent="0.35">
      <c r="B93" s="72" t="s">
        <v>233</v>
      </c>
      <c r="C93">
        <v>1</v>
      </c>
      <c r="D93" s="54">
        <v>45</v>
      </c>
      <c r="E93" s="54">
        <v>190</v>
      </c>
      <c r="F93" s="54">
        <v>0.9</v>
      </c>
      <c r="G93" s="54">
        <v>0</v>
      </c>
      <c r="H93" s="54">
        <v>0.9</v>
      </c>
      <c r="I93" s="54">
        <v>0.6</v>
      </c>
      <c r="J93" s="54">
        <v>0</v>
      </c>
      <c r="K93" s="54">
        <v>0.6</v>
      </c>
      <c r="L93" s="54">
        <v>0</v>
      </c>
      <c r="M93" s="54">
        <v>8.4</v>
      </c>
      <c r="N93" s="54">
        <v>0</v>
      </c>
      <c r="O93" s="54">
        <v>8.4</v>
      </c>
      <c r="P93" s="54">
        <v>2.2999999999999998</v>
      </c>
      <c r="Q93" s="54">
        <v>0</v>
      </c>
      <c r="R93" s="54">
        <v>80</v>
      </c>
      <c r="S93" s="54">
        <v>1.5</v>
      </c>
      <c r="T93" s="54">
        <v>14</v>
      </c>
      <c r="U93" s="54">
        <v>2</v>
      </c>
      <c r="V93" s="54">
        <v>347</v>
      </c>
      <c r="W93" s="54">
        <v>63</v>
      </c>
      <c r="X93" s="54">
        <v>0.56000000000000005</v>
      </c>
      <c r="Y93" s="81">
        <v>0</v>
      </c>
      <c r="Z93" s="81">
        <v>0</v>
      </c>
      <c r="AA93" s="81">
        <v>0</v>
      </c>
      <c r="AB93" s="81">
        <v>0</v>
      </c>
      <c r="AC93" s="81">
        <v>0</v>
      </c>
      <c r="AD93" s="81">
        <v>0</v>
      </c>
      <c r="AE93" s="81">
        <v>0</v>
      </c>
      <c r="AF93" s="54">
        <v>0.14000000000000001</v>
      </c>
      <c r="AG93" s="54">
        <v>0.02</v>
      </c>
      <c r="AH93" s="54">
        <v>5</v>
      </c>
      <c r="AI93" s="54">
        <v>1.3</v>
      </c>
      <c r="AJ93" s="54">
        <v>0.21</v>
      </c>
      <c r="AK93" s="54">
        <v>3</v>
      </c>
      <c r="AL93" s="81">
        <v>0</v>
      </c>
      <c r="AM93" s="81">
        <v>0</v>
      </c>
      <c r="AN93" s="81">
        <v>0</v>
      </c>
      <c r="AO93" s="54">
        <v>5</v>
      </c>
      <c r="AP93" s="54">
        <v>0</v>
      </c>
      <c r="AQ93" s="54">
        <v>30</v>
      </c>
      <c r="AR93" s="54">
        <v>0.01</v>
      </c>
      <c r="AS93" s="54">
        <v>0</v>
      </c>
      <c r="AT93" s="81">
        <v>0</v>
      </c>
      <c r="AU93" s="54">
        <v>0.11</v>
      </c>
      <c r="AV93" s="81">
        <v>0</v>
      </c>
      <c r="AW93" s="81">
        <v>0</v>
      </c>
      <c r="AX93" s="81">
        <v>0</v>
      </c>
      <c r="AY93" s="81">
        <v>0</v>
      </c>
      <c r="AZ93" s="81">
        <v>0</v>
      </c>
      <c r="BA93" s="81">
        <v>0</v>
      </c>
      <c r="BB93" s="81">
        <v>0</v>
      </c>
      <c r="BC93" s="54">
        <v>0.01</v>
      </c>
      <c r="BD93" s="82">
        <v>0</v>
      </c>
      <c r="BE93" s="82">
        <v>0</v>
      </c>
      <c r="BF93" s="54">
        <v>0.01</v>
      </c>
      <c r="BG93" s="82">
        <v>0</v>
      </c>
      <c r="BH93" s="82">
        <v>0</v>
      </c>
      <c r="BI93" s="54">
        <v>0.3</v>
      </c>
      <c r="BJ93" s="54">
        <v>0.27</v>
      </c>
      <c r="BK93" s="54">
        <v>0.02</v>
      </c>
      <c r="BL93" s="82">
        <v>0</v>
      </c>
      <c r="BM93" s="82">
        <v>0</v>
      </c>
      <c r="BN93" s="82">
        <v>0</v>
      </c>
      <c r="BO93" s="54">
        <v>0.01</v>
      </c>
      <c r="BP93" s="56">
        <v>9</v>
      </c>
      <c r="BQ93" s="56">
        <v>22</v>
      </c>
      <c r="BR93" s="56">
        <v>31</v>
      </c>
      <c r="BS93" s="56">
        <v>44</v>
      </c>
      <c r="BT93" s="56">
        <v>39</v>
      </c>
      <c r="BU93" s="56">
        <v>11</v>
      </c>
      <c r="BV93" s="56">
        <v>9</v>
      </c>
      <c r="BW93" s="56">
        <v>26</v>
      </c>
      <c r="BX93" s="56">
        <v>11</v>
      </c>
      <c r="BY93" s="56">
        <v>41</v>
      </c>
      <c r="BZ93" s="56">
        <v>90</v>
      </c>
      <c r="CA93" s="56">
        <v>16</v>
      </c>
      <c r="CB93" s="56">
        <v>19</v>
      </c>
      <c r="CC93" s="56">
        <v>69</v>
      </c>
      <c r="CD93" s="56">
        <v>114</v>
      </c>
      <c r="CE93" s="56">
        <v>28</v>
      </c>
      <c r="CF93" s="56">
        <v>14</v>
      </c>
      <c r="CG93" s="56">
        <v>27</v>
      </c>
      <c r="CH93" s="81">
        <v>0</v>
      </c>
      <c r="CI93" s="81">
        <v>0</v>
      </c>
      <c r="CJ93" s="83">
        <v>0</v>
      </c>
      <c r="CK93" s="81">
        <v>0</v>
      </c>
      <c r="CL93" s="81">
        <v>0</v>
      </c>
      <c r="CM93" s="83">
        <v>0</v>
      </c>
      <c r="CN93">
        <f t="shared" si="2272"/>
        <v>0.45</v>
      </c>
      <c r="CO93">
        <f t="shared" si="2273"/>
        <v>1.9</v>
      </c>
      <c r="CP93">
        <f t="shared" si="2274"/>
        <v>9.0000000000000011E-3</v>
      </c>
      <c r="CQ93">
        <f t="shared" si="2275"/>
        <v>0</v>
      </c>
      <c r="CR93">
        <f t="shared" si="2276"/>
        <v>9.0000000000000011E-3</v>
      </c>
      <c r="CS93">
        <f t="shared" si="2277"/>
        <v>6.0000000000000001E-3</v>
      </c>
      <c r="CT93">
        <f t="shared" si="2278"/>
        <v>0</v>
      </c>
      <c r="CU93">
        <f t="shared" si="2279"/>
        <v>6.0000000000000001E-3</v>
      </c>
      <c r="CV93">
        <f t="shared" si="2280"/>
        <v>0</v>
      </c>
      <c r="CW93">
        <f t="shared" si="2281"/>
        <v>8.4000000000000005E-2</v>
      </c>
      <c r="CX93">
        <f t="shared" si="2282"/>
        <v>0</v>
      </c>
      <c r="CY93">
        <f t="shared" si="2283"/>
        <v>8.4000000000000005E-2</v>
      </c>
      <c r="CZ93">
        <f t="shared" si="2284"/>
        <v>2.3E-2</v>
      </c>
      <c r="DA93">
        <f t="shared" si="2285"/>
        <v>0</v>
      </c>
      <c r="DB93">
        <f t="shared" si="2286"/>
        <v>0.8</v>
      </c>
      <c r="DC93">
        <f t="shared" si="2287"/>
        <v>1.4999999999999999E-2</v>
      </c>
      <c r="DD93">
        <f t="shared" si="2288"/>
        <v>0.14000000000000001</v>
      </c>
      <c r="DE93">
        <f t="shared" si="2289"/>
        <v>0.02</v>
      </c>
      <c r="DF93">
        <f t="shared" si="2290"/>
        <v>3.47</v>
      </c>
      <c r="DG93">
        <f t="shared" si="2291"/>
        <v>0.63</v>
      </c>
      <c r="DH93">
        <f t="shared" si="2292"/>
        <v>5.6000000000000008E-3</v>
      </c>
      <c r="DI93">
        <f t="shared" si="2293"/>
        <v>0</v>
      </c>
      <c r="DJ93">
        <f t="shared" si="2294"/>
        <v>0</v>
      </c>
      <c r="DK93">
        <f t="shared" si="2295"/>
        <v>0</v>
      </c>
      <c r="DL93">
        <f t="shared" si="2296"/>
        <v>0</v>
      </c>
      <c r="DM93">
        <f t="shared" si="2297"/>
        <v>0</v>
      </c>
      <c r="DN93">
        <f t="shared" si="2298"/>
        <v>0</v>
      </c>
      <c r="DO93">
        <f t="shared" si="2299"/>
        <v>0</v>
      </c>
      <c r="DP93">
        <f t="shared" si="2300"/>
        <v>1.4000000000000002E-3</v>
      </c>
      <c r="DQ93">
        <f t="shared" si="2301"/>
        <v>2.0000000000000001E-4</v>
      </c>
      <c r="DR93">
        <f t="shared" si="2302"/>
        <v>0.05</v>
      </c>
      <c r="DS93">
        <f t="shared" si="2303"/>
        <v>1.3000000000000001E-2</v>
      </c>
      <c r="DT93">
        <f t="shared" si="2304"/>
        <v>2.0999999999999999E-3</v>
      </c>
      <c r="DU93">
        <f t="shared" si="2305"/>
        <v>0.03</v>
      </c>
      <c r="DV93">
        <f t="shared" si="2306"/>
        <v>0</v>
      </c>
      <c r="DW93">
        <f t="shared" si="2307"/>
        <v>0</v>
      </c>
      <c r="DX93">
        <f t="shared" si="2308"/>
        <v>0</v>
      </c>
      <c r="DY93">
        <f t="shared" si="2309"/>
        <v>0.05</v>
      </c>
      <c r="DZ93">
        <f t="shared" si="2310"/>
        <v>0</v>
      </c>
      <c r="EA93">
        <f t="shared" si="2311"/>
        <v>0.3</v>
      </c>
      <c r="EB93">
        <f t="shared" si="2312"/>
        <v>1E-4</v>
      </c>
      <c r="EC93">
        <f t="shared" si="2313"/>
        <v>0</v>
      </c>
      <c r="ED93">
        <f t="shared" si="2314"/>
        <v>0</v>
      </c>
      <c r="EE93">
        <f t="shared" si="2315"/>
        <v>1.1000000000000001E-3</v>
      </c>
      <c r="EF93">
        <f t="shared" si="2316"/>
        <v>0</v>
      </c>
      <c r="EG93">
        <f t="shared" si="2317"/>
        <v>0</v>
      </c>
      <c r="EH93">
        <f t="shared" si="2318"/>
        <v>0</v>
      </c>
      <c r="EI93">
        <f t="shared" si="2319"/>
        <v>0</v>
      </c>
      <c r="EJ93">
        <f t="shared" si="2320"/>
        <v>0</v>
      </c>
      <c r="EK93">
        <f t="shared" si="2321"/>
        <v>0</v>
      </c>
      <c r="EL93">
        <f t="shared" si="2322"/>
        <v>0</v>
      </c>
      <c r="EM93">
        <f t="shared" si="2323"/>
        <v>1E-4</v>
      </c>
      <c r="EN93">
        <f t="shared" si="2324"/>
        <v>0</v>
      </c>
      <c r="EO93">
        <f t="shared" si="2325"/>
        <v>0</v>
      </c>
      <c r="EP93">
        <f t="shared" si="2326"/>
        <v>1E-4</v>
      </c>
      <c r="EQ93">
        <f t="shared" si="2327"/>
        <v>0</v>
      </c>
      <c r="ER93">
        <f t="shared" si="2328"/>
        <v>0</v>
      </c>
      <c r="ES93">
        <f t="shared" si="2329"/>
        <v>3.0000000000000001E-3</v>
      </c>
      <c r="ET93">
        <f t="shared" si="2330"/>
        <v>2.7000000000000001E-3</v>
      </c>
      <c r="EU93">
        <f t="shared" si="2331"/>
        <v>2.0000000000000001E-4</v>
      </c>
      <c r="EV93">
        <f t="shared" si="2332"/>
        <v>0</v>
      </c>
      <c r="EW93">
        <f t="shared" si="2333"/>
        <v>0</v>
      </c>
      <c r="EX93">
        <f t="shared" si="2334"/>
        <v>0</v>
      </c>
      <c r="EY93">
        <f t="shared" si="2335"/>
        <v>1E-4</v>
      </c>
      <c r="EZ93">
        <f t="shared" si="2336"/>
        <v>0.09</v>
      </c>
      <c r="FA93">
        <f t="shared" si="2337"/>
        <v>0.22</v>
      </c>
      <c r="FB93">
        <f t="shared" si="2338"/>
        <v>0.31</v>
      </c>
      <c r="FC93">
        <f t="shared" si="2339"/>
        <v>0.44</v>
      </c>
      <c r="FD93">
        <f t="shared" si="2340"/>
        <v>0.39</v>
      </c>
      <c r="FE93">
        <f t="shared" si="2341"/>
        <v>0.11</v>
      </c>
      <c r="FF93">
        <f t="shared" si="2342"/>
        <v>0.09</v>
      </c>
      <c r="FG93">
        <f t="shared" si="2343"/>
        <v>0.26</v>
      </c>
      <c r="FH93">
        <f t="shared" si="2344"/>
        <v>0.11</v>
      </c>
      <c r="FI93">
        <f t="shared" si="2345"/>
        <v>0.41</v>
      </c>
      <c r="FJ93">
        <f t="shared" si="2346"/>
        <v>0.9</v>
      </c>
      <c r="FK93">
        <f t="shared" si="2347"/>
        <v>0.16</v>
      </c>
      <c r="FL93">
        <f t="shared" si="2348"/>
        <v>0.19</v>
      </c>
      <c r="FM93">
        <f t="shared" si="2349"/>
        <v>0.69</v>
      </c>
      <c r="FN93">
        <f t="shared" si="2350"/>
        <v>1.1399999999999999</v>
      </c>
      <c r="FO93">
        <f t="shared" si="2351"/>
        <v>0.28000000000000003</v>
      </c>
      <c r="FP93">
        <f t="shared" si="2352"/>
        <v>0.14000000000000001</v>
      </c>
      <c r="FQ93">
        <f t="shared" si="2353"/>
        <v>0.27</v>
      </c>
      <c r="FR93">
        <f t="shared" si="2354"/>
        <v>0</v>
      </c>
      <c r="FS93">
        <f t="shared" si="2355"/>
        <v>0</v>
      </c>
      <c r="FT93">
        <f t="shared" si="2356"/>
        <v>0</v>
      </c>
      <c r="FU93">
        <f t="shared" si="2357"/>
        <v>0</v>
      </c>
      <c r="FV93">
        <f t="shared" si="2358"/>
        <v>0</v>
      </c>
      <c r="FW93">
        <f t="shared" si="2359"/>
        <v>0</v>
      </c>
    </row>
    <row r="94" spans="1:179" x14ac:dyDescent="0.35">
      <c r="B94" s="72" t="s">
        <v>211</v>
      </c>
      <c r="C94" s="8">
        <v>5</v>
      </c>
      <c r="D94" s="6">
        <v>899</v>
      </c>
      <c r="E94" s="6">
        <v>3696</v>
      </c>
      <c r="F94" s="6">
        <v>0</v>
      </c>
      <c r="G94" s="6">
        <v>0</v>
      </c>
      <c r="H94" s="6">
        <v>0</v>
      </c>
      <c r="I94" s="6">
        <v>99.9</v>
      </c>
      <c r="J94" s="6">
        <v>0</v>
      </c>
      <c r="K94" s="6">
        <v>99.9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0.2</v>
      </c>
      <c r="T94" s="6">
        <v>0</v>
      </c>
      <c r="U94" s="51">
        <v>0.5</v>
      </c>
      <c r="V94" s="51">
        <v>0.5</v>
      </c>
      <c r="W94" s="6">
        <v>0</v>
      </c>
      <c r="X94" s="51">
        <v>5.0000000000000001E-3</v>
      </c>
      <c r="Y94" s="51">
        <v>0.5</v>
      </c>
      <c r="Z94" s="6">
        <v>0.01</v>
      </c>
      <c r="AA94" s="51">
        <v>0.05</v>
      </c>
      <c r="AB94" s="51">
        <v>0.5</v>
      </c>
      <c r="AC94" s="51">
        <v>0.5</v>
      </c>
      <c r="AD94" s="51">
        <v>5.0000000000000001E-3</v>
      </c>
      <c r="AE94" s="51">
        <v>0.5</v>
      </c>
      <c r="AF94" s="6">
        <v>0</v>
      </c>
      <c r="AG94" s="6">
        <v>0</v>
      </c>
      <c r="AH94" s="6">
        <v>0</v>
      </c>
      <c r="AI94" s="6">
        <v>0</v>
      </c>
      <c r="AJ94" s="51">
        <v>5.0000000000000001E-3</v>
      </c>
      <c r="AK94" s="51">
        <v>0.5</v>
      </c>
      <c r="AL94" s="51">
        <v>5.0000000000000001E-3</v>
      </c>
      <c r="AM94" s="51">
        <v>0.05</v>
      </c>
      <c r="AN94" s="6">
        <v>0</v>
      </c>
      <c r="AO94" s="6">
        <v>36</v>
      </c>
      <c r="AP94" s="6">
        <v>0</v>
      </c>
      <c r="AQ94" s="6">
        <v>216</v>
      </c>
      <c r="AR94" s="6">
        <v>21.42</v>
      </c>
      <c r="AS94" s="6">
        <v>0</v>
      </c>
      <c r="AT94" s="6">
        <v>57.5</v>
      </c>
      <c r="AU94" s="6">
        <v>14.46</v>
      </c>
      <c r="AV94" s="6">
        <v>0</v>
      </c>
      <c r="AW94" s="6">
        <v>0</v>
      </c>
      <c r="AX94" s="6">
        <v>0</v>
      </c>
      <c r="AY94" s="6">
        <v>10.64</v>
      </c>
      <c r="AZ94" s="6">
        <v>3.06</v>
      </c>
      <c r="BA94" s="6">
        <v>0.76</v>
      </c>
      <c r="BB94" s="6">
        <v>0</v>
      </c>
      <c r="BC94" s="6">
        <v>72.95</v>
      </c>
      <c r="BD94" s="6">
        <v>0</v>
      </c>
      <c r="BE94" s="6">
        <v>0.79</v>
      </c>
      <c r="BF94" s="6">
        <v>71.87</v>
      </c>
      <c r="BG94" s="6">
        <v>0.28999999999999998</v>
      </c>
      <c r="BH94" s="6">
        <v>0</v>
      </c>
      <c r="BI94" s="6">
        <v>7.52</v>
      </c>
      <c r="BJ94" s="6">
        <v>6.79</v>
      </c>
      <c r="BK94" s="6">
        <v>0.73</v>
      </c>
      <c r="BL94" s="6">
        <v>0</v>
      </c>
      <c r="BM94" s="6">
        <v>0</v>
      </c>
      <c r="BN94" s="6">
        <v>0</v>
      </c>
      <c r="BO94" s="6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6">
        <v>0</v>
      </c>
      <c r="CI94" s="6">
        <v>0</v>
      </c>
      <c r="CJ94" s="6">
        <v>0</v>
      </c>
      <c r="CK94" s="6">
        <v>0</v>
      </c>
      <c r="CL94" s="6">
        <v>0</v>
      </c>
      <c r="CM94" s="6">
        <v>0</v>
      </c>
      <c r="CN94">
        <f t="shared" si="2272"/>
        <v>44.95</v>
      </c>
      <c r="CO94">
        <f t="shared" si="2273"/>
        <v>184.8</v>
      </c>
      <c r="CP94">
        <f t="shared" si="2274"/>
        <v>0</v>
      </c>
      <c r="CQ94">
        <f t="shared" si="2275"/>
        <v>0</v>
      </c>
      <c r="CR94">
        <f t="shared" si="2276"/>
        <v>0</v>
      </c>
      <c r="CS94">
        <f t="shared" si="2277"/>
        <v>4.9950000000000001</v>
      </c>
      <c r="CT94">
        <f t="shared" si="2278"/>
        <v>0</v>
      </c>
      <c r="CU94">
        <f t="shared" si="2279"/>
        <v>4.9950000000000001</v>
      </c>
      <c r="CV94">
        <f t="shared" si="2280"/>
        <v>0</v>
      </c>
      <c r="CW94">
        <f t="shared" si="2281"/>
        <v>0</v>
      </c>
      <c r="CX94">
        <f t="shared" si="2282"/>
        <v>0</v>
      </c>
      <c r="CY94">
        <f t="shared" si="2283"/>
        <v>0</v>
      </c>
      <c r="CZ94">
        <f t="shared" si="2284"/>
        <v>0</v>
      </c>
      <c r="DA94">
        <f t="shared" si="2285"/>
        <v>0</v>
      </c>
      <c r="DB94">
        <f t="shared" si="2286"/>
        <v>0</v>
      </c>
      <c r="DC94">
        <f t="shared" si="2287"/>
        <v>0.01</v>
      </c>
      <c r="DD94">
        <f t="shared" si="2288"/>
        <v>0</v>
      </c>
      <c r="DE94">
        <f t="shared" si="2289"/>
        <v>2.5000000000000001E-2</v>
      </c>
      <c r="DF94">
        <f t="shared" si="2290"/>
        <v>2.5000000000000001E-2</v>
      </c>
      <c r="DG94">
        <f t="shared" si="2291"/>
        <v>0</v>
      </c>
      <c r="DH94">
        <f t="shared" si="2292"/>
        <v>2.5000000000000001E-4</v>
      </c>
      <c r="DI94">
        <f t="shared" si="2293"/>
        <v>2.5000000000000001E-2</v>
      </c>
      <c r="DJ94">
        <f t="shared" si="2294"/>
        <v>5.0000000000000001E-4</v>
      </c>
      <c r="DK94">
        <f t="shared" si="2295"/>
        <v>2.5000000000000001E-3</v>
      </c>
      <c r="DL94">
        <f t="shared" si="2296"/>
        <v>2.5000000000000001E-2</v>
      </c>
      <c r="DM94">
        <f t="shared" si="2297"/>
        <v>2.5000000000000001E-2</v>
      </c>
      <c r="DN94">
        <f t="shared" si="2298"/>
        <v>2.5000000000000001E-4</v>
      </c>
      <c r="DO94">
        <f t="shared" si="2299"/>
        <v>2.5000000000000001E-2</v>
      </c>
      <c r="DP94">
        <f t="shared" si="2300"/>
        <v>0</v>
      </c>
      <c r="DQ94">
        <f t="shared" si="2301"/>
        <v>0</v>
      </c>
      <c r="DR94">
        <f t="shared" si="2302"/>
        <v>0</v>
      </c>
      <c r="DS94">
        <f t="shared" si="2303"/>
        <v>0</v>
      </c>
      <c r="DT94">
        <f t="shared" si="2304"/>
        <v>2.5000000000000001E-4</v>
      </c>
      <c r="DU94">
        <f t="shared" si="2305"/>
        <v>2.5000000000000001E-2</v>
      </c>
      <c r="DV94">
        <f t="shared" si="2306"/>
        <v>2.5000000000000001E-4</v>
      </c>
      <c r="DW94">
        <f t="shared" si="2307"/>
        <v>2.5000000000000001E-3</v>
      </c>
      <c r="DX94">
        <f t="shared" si="2308"/>
        <v>0</v>
      </c>
      <c r="DY94">
        <f t="shared" si="2309"/>
        <v>1.8</v>
      </c>
      <c r="DZ94">
        <f t="shared" si="2310"/>
        <v>0</v>
      </c>
      <c r="EA94">
        <f t="shared" si="2311"/>
        <v>10.8</v>
      </c>
      <c r="EB94">
        <f t="shared" si="2312"/>
        <v>1.0710000000000002</v>
      </c>
      <c r="EC94">
        <f t="shared" si="2313"/>
        <v>0</v>
      </c>
      <c r="ED94">
        <f t="shared" si="2314"/>
        <v>2.875</v>
      </c>
      <c r="EE94">
        <f t="shared" si="2315"/>
        <v>0.72300000000000009</v>
      </c>
      <c r="EF94">
        <f t="shared" si="2316"/>
        <v>0</v>
      </c>
      <c r="EG94">
        <f t="shared" si="2317"/>
        <v>0</v>
      </c>
      <c r="EH94">
        <f t="shared" si="2318"/>
        <v>0</v>
      </c>
      <c r="EI94">
        <f t="shared" si="2319"/>
        <v>0.53200000000000003</v>
      </c>
      <c r="EJ94">
        <f t="shared" si="2320"/>
        <v>0.153</v>
      </c>
      <c r="EK94">
        <f t="shared" si="2321"/>
        <v>3.7999999999999999E-2</v>
      </c>
      <c r="EL94">
        <f t="shared" si="2322"/>
        <v>0</v>
      </c>
      <c r="EM94">
        <f t="shared" si="2323"/>
        <v>3.6475</v>
      </c>
      <c r="EN94">
        <f t="shared" si="2324"/>
        <v>0</v>
      </c>
      <c r="EO94">
        <f t="shared" si="2325"/>
        <v>3.95E-2</v>
      </c>
      <c r="EP94">
        <f t="shared" si="2326"/>
        <v>3.5935000000000001</v>
      </c>
      <c r="EQ94">
        <f t="shared" si="2327"/>
        <v>1.4499999999999999E-2</v>
      </c>
      <c r="ER94">
        <f t="shared" si="2328"/>
        <v>0</v>
      </c>
      <c r="ES94">
        <f t="shared" si="2329"/>
        <v>0.37599999999999995</v>
      </c>
      <c r="ET94">
        <f t="shared" si="2330"/>
        <v>0.33950000000000002</v>
      </c>
      <c r="EU94">
        <f t="shared" si="2331"/>
        <v>3.6499999999999998E-2</v>
      </c>
      <c r="EV94">
        <f t="shared" si="2332"/>
        <v>0</v>
      </c>
      <c r="EW94">
        <f t="shared" si="2333"/>
        <v>0</v>
      </c>
      <c r="EX94">
        <f t="shared" si="2334"/>
        <v>0</v>
      </c>
      <c r="EY94">
        <f t="shared" si="2335"/>
        <v>0</v>
      </c>
      <c r="EZ94">
        <f t="shared" si="2336"/>
        <v>0</v>
      </c>
      <c r="FA94">
        <f t="shared" si="2337"/>
        <v>0</v>
      </c>
      <c r="FB94">
        <f t="shared" si="2338"/>
        <v>0</v>
      </c>
      <c r="FC94">
        <f t="shared" si="2339"/>
        <v>0</v>
      </c>
      <c r="FD94">
        <f t="shared" si="2340"/>
        <v>0</v>
      </c>
      <c r="FE94">
        <f t="shared" si="2341"/>
        <v>0</v>
      </c>
      <c r="FF94">
        <f t="shared" si="2342"/>
        <v>0</v>
      </c>
      <c r="FG94">
        <f t="shared" si="2343"/>
        <v>0</v>
      </c>
      <c r="FH94">
        <f t="shared" si="2344"/>
        <v>0</v>
      </c>
      <c r="FI94">
        <f t="shared" si="2345"/>
        <v>0</v>
      </c>
      <c r="FJ94">
        <f t="shared" si="2346"/>
        <v>0</v>
      </c>
      <c r="FK94">
        <f t="shared" si="2347"/>
        <v>0</v>
      </c>
      <c r="FL94">
        <f t="shared" si="2348"/>
        <v>0</v>
      </c>
      <c r="FM94">
        <f t="shared" si="2349"/>
        <v>0</v>
      </c>
      <c r="FN94">
        <f t="shared" si="2350"/>
        <v>0</v>
      </c>
      <c r="FO94">
        <f t="shared" si="2351"/>
        <v>0</v>
      </c>
      <c r="FP94">
        <f t="shared" si="2352"/>
        <v>0</v>
      </c>
      <c r="FQ94">
        <f t="shared" si="2353"/>
        <v>0</v>
      </c>
      <c r="FR94">
        <f t="shared" si="2354"/>
        <v>0</v>
      </c>
      <c r="FS94">
        <f t="shared" si="2355"/>
        <v>0</v>
      </c>
      <c r="FT94">
        <f t="shared" si="2356"/>
        <v>0</v>
      </c>
      <c r="FU94">
        <f t="shared" si="2357"/>
        <v>0</v>
      </c>
      <c r="FV94">
        <f t="shared" si="2358"/>
        <v>0</v>
      </c>
      <c r="FW94">
        <f t="shared" si="2359"/>
        <v>0</v>
      </c>
    </row>
    <row r="95" spans="1:179" x14ac:dyDescent="0.35">
      <c r="B95" s="72" t="s">
        <v>222</v>
      </c>
      <c r="C95">
        <v>20</v>
      </c>
      <c r="D95" s="6">
        <v>128</v>
      </c>
      <c r="E95" s="6">
        <v>533</v>
      </c>
      <c r="F95" s="6">
        <v>12.4</v>
      </c>
      <c r="G95" s="6">
        <v>12.4</v>
      </c>
      <c r="H95" s="6">
        <v>0</v>
      </c>
      <c r="I95" s="6">
        <v>8.6999999999999993</v>
      </c>
      <c r="J95" s="6">
        <v>8.6999999999999993</v>
      </c>
      <c r="K95" s="6">
        <v>0</v>
      </c>
      <c r="L95" s="6">
        <v>371</v>
      </c>
      <c r="M95" s="51">
        <v>0.05</v>
      </c>
      <c r="N95" s="6">
        <v>0</v>
      </c>
      <c r="O95" s="51">
        <v>0.05</v>
      </c>
      <c r="P95" s="6">
        <v>0</v>
      </c>
      <c r="Q95" s="6">
        <v>0</v>
      </c>
      <c r="R95" s="6">
        <v>77.099999999999994</v>
      </c>
      <c r="S95" s="6">
        <v>1.5</v>
      </c>
      <c r="T95" s="6">
        <v>48</v>
      </c>
      <c r="U95" s="6">
        <v>137</v>
      </c>
      <c r="V95" s="6">
        <v>133</v>
      </c>
      <c r="W95" s="6">
        <v>210</v>
      </c>
      <c r="X95" s="6">
        <v>1.2</v>
      </c>
      <c r="Y95" s="6">
        <v>13</v>
      </c>
      <c r="Z95" s="6">
        <v>0.06</v>
      </c>
      <c r="AA95" s="6">
        <v>5.8</v>
      </c>
      <c r="AB95" s="6">
        <v>160</v>
      </c>
      <c r="AC95" s="6">
        <v>53</v>
      </c>
      <c r="AD95" s="51">
        <v>5.0000000000000001E-3</v>
      </c>
      <c r="AE95" s="6">
        <v>180</v>
      </c>
      <c r="AF95" s="6">
        <v>0.09</v>
      </c>
      <c r="AG95" s="6">
        <v>0.3</v>
      </c>
      <c r="AH95" s="6">
        <v>0</v>
      </c>
      <c r="AI95" s="6">
        <v>0.1</v>
      </c>
      <c r="AJ95" s="6">
        <v>0.12</v>
      </c>
      <c r="AK95" s="6">
        <v>50</v>
      </c>
      <c r="AL95" s="6">
        <v>1.77</v>
      </c>
      <c r="AM95" s="6">
        <v>20</v>
      </c>
      <c r="AN95" s="6">
        <v>2.5</v>
      </c>
      <c r="AO95" s="6">
        <v>225</v>
      </c>
      <c r="AP95" s="6">
        <v>211</v>
      </c>
      <c r="AQ95" s="6">
        <v>84</v>
      </c>
      <c r="AR95" s="6">
        <v>1.1100000000000001</v>
      </c>
      <c r="AS95" s="6">
        <v>1.75</v>
      </c>
      <c r="AT95" s="51">
        <v>5.0000000000000001E-3</v>
      </c>
      <c r="AU95" s="6">
        <v>3.17</v>
      </c>
      <c r="AV95" s="6">
        <v>0</v>
      </c>
      <c r="AW95" s="6">
        <v>0</v>
      </c>
      <c r="AX95" s="6">
        <v>0.03</v>
      </c>
      <c r="AY95" s="6">
        <v>1.9</v>
      </c>
      <c r="AZ95" s="6">
        <v>1.21</v>
      </c>
      <c r="BA95" s="6">
        <v>0</v>
      </c>
      <c r="BB95" s="6">
        <v>0</v>
      </c>
      <c r="BC95" s="6">
        <v>2.58</v>
      </c>
      <c r="BD95" s="6">
        <v>0</v>
      </c>
      <c r="BE95" s="6">
        <v>0.23</v>
      </c>
      <c r="BF95" s="6">
        <v>2.35</v>
      </c>
      <c r="BG95" s="6">
        <v>0</v>
      </c>
      <c r="BH95" s="6">
        <v>0</v>
      </c>
      <c r="BI95" s="6">
        <v>1.26</v>
      </c>
      <c r="BJ95" s="6">
        <v>1.06</v>
      </c>
      <c r="BK95" s="6">
        <v>0.04</v>
      </c>
      <c r="BL95" s="6">
        <v>0.16</v>
      </c>
      <c r="BM95" s="6">
        <v>0</v>
      </c>
      <c r="BN95" s="6">
        <v>0</v>
      </c>
      <c r="BO95" s="6">
        <v>0</v>
      </c>
      <c r="BP95" s="7">
        <v>197</v>
      </c>
      <c r="BQ95" s="7">
        <v>623</v>
      </c>
      <c r="BR95" s="7">
        <v>657</v>
      </c>
      <c r="BS95" s="7">
        <v>1041</v>
      </c>
      <c r="BT95" s="7">
        <v>880</v>
      </c>
      <c r="BU95" s="7">
        <v>437</v>
      </c>
      <c r="BV95" s="7">
        <v>323</v>
      </c>
      <c r="BW95" s="7">
        <v>662</v>
      </c>
      <c r="BX95" s="7">
        <v>503</v>
      </c>
      <c r="BY95" s="7">
        <v>823</v>
      </c>
      <c r="BZ95" s="7">
        <v>767</v>
      </c>
      <c r="CA95" s="7">
        <v>298</v>
      </c>
      <c r="CB95" s="7">
        <v>719</v>
      </c>
      <c r="CC95" s="7">
        <v>1209</v>
      </c>
      <c r="CD95" s="7">
        <v>1508</v>
      </c>
      <c r="CE95" s="7">
        <v>416</v>
      </c>
      <c r="CF95" s="7">
        <v>496</v>
      </c>
      <c r="CG95" s="7">
        <v>842</v>
      </c>
      <c r="CH95" s="51">
        <v>0.05</v>
      </c>
      <c r="CI95" s="6">
        <v>0</v>
      </c>
      <c r="CJ95" s="6">
        <v>0</v>
      </c>
      <c r="CK95" s="6">
        <v>0</v>
      </c>
      <c r="CL95" s="6">
        <v>0</v>
      </c>
      <c r="CM95" s="6">
        <v>0</v>
      </c>
      <c r="CN95">
        <f t="shared" si="2272"/>
        <v>25.6</v>
      </c>
      <c r="CO95">
        <f t="shared" si="2273"/>
        <v>106.6</v>
      </c>
      <c r="CP95">
        <f t="shared" si="2274"/>
        <v>2.48</v>
      </c>
      <c r="CQ95">
        <f t="shared" si="2275"/>
        <v>2.48</v>
      </c>
      <c r="CR95">
        <f t="shared" si="2276"/>
        <v>0</v>
      </c>
      <c r="CS95">
        <f t="shared" si="2277"/>
        <v>1.74</v>
      </c>
      <c r="CT95">
        <f t="shared" si="2278"/>
        <v>1.74</v>
      </c>
      <c r="CU95">
        <f t="shared" si="2279"/>
        <v>0</v>
      </c>
      <c r="CV95">
        <f t="shared" si="2280"/>
        <v>74.2</v>
      </c>
      <c r="CW95">
        <f t="shared" si="2281"/>
        <v>0.01</v>
      </c>
      <c r="CX95">
        <f t="shared" si="2282"/>
        <v>0</v>
      </c>
      <c r="CY95">
        <f t="shared" si="2283"/>
        <v>0.01</v>
      </c>
      <c r="CZ95">
        <f t="shared" si="2284"/>
        <v>0</v>
      </c>
      <c r="DA95">
        <f t="shared" si="2285"/>
        <v>0</v>
      </c>
      <c r="DB95">
        <f t="shared" si="2286"/>
        <v>15.42</v>
      </c>
      <c r="DC95">
        <f t="shared" si="2287"/>
        <v>0.3</v>
      </c>
      <c r="DD95">
        <f t="shared" si="2288"/>
        <v>9.6</v>
      </c>
      <c r="DE95">
        <f t="shared" si="2289"/>
        <v>27.4</v>
      </c>
      <c r="DF95">
        <f t="shared" si="2290"/>
        <v>26.6</v>
      </c>
      <c r="DG95">
        <f t="shared" si="2291"/>
        <v>42</v>
      </c>
      <c r="DH95">
        <f t="shared" si="2292"/>
        <v>0.24</v>
      </c>
      <c r="DI95">
        <f t="shared" si="2293"/>
        <v>2.6</v>
      </c>
      <c r="DJ95">
        <f t="shared" si="2294"/>
        <v>1.2E-2</v>
      </c>
      <c r="DK95">
        <f t="shared" si="2295"/>
        <v>1.1599999999999999</v>
      </c>
      <c r="DL95">
        <f t="shared" si="2296"/>
        <v>32</v>
      </c>
      <c r="DM95">
        <f t="shared" si="2297"/>
        <v>10.6</v>
      </c>
      <c r="DN95">
        <f t="shared" si="2298"/>
        <v>1E-3</v>
      </c>
      <c r="DO95">
        <f t="shared" si="2299"/>
        <v>36</v>
      </c>
      <c r="DP95">
        <f t="shared" si="2300"/>
        <v>1.7999999999999999E-2</v>
      </c>
      <c r="DQ95">
        <f t="shared" si="2301"/>
        <v>0.06</v>
      </c>
      <c r="DR95">
        <f t="shared" si="2302"/>
        <v>0</v>
      </c>
      <c r="DS95">
        <f t="shared" si="2303"/>
        <v>0.02</v>
      </c>
      <c r="DT95">
        <f t="shared" si="2304"/>
        <v>2.4E-2</v>
      </c>
      <c r="DU95">
        <f t="shared" si="2305"/>
        <v>10</v>
      </c>
      <c r="DV95">
        <f t="shared" si="2306"/>
        <v>0.35399999999999998</v>
      </c>
      <c r="DW95">
        <f t="shared" si="2307"/>
        <v>4</v>
      </c>
      <c r="DX95">
        <f t="shared" si="2308"/>
        <v>0.5</v>
      </c>
      <c r="DY95">
        <f t="shared" si="2309"/>
        <v>45</v>
      </c>
      <c r="DZ95">
        <f t="shared" si="2310"/>
        <v>42.2</v>
      </c>
      <c r="EA95">
        <f t="shared" si="2311"/>
        <v>16.8</v>
      </c>
      <c r="EB95">
        <f t="shared" si="2312"/>
        <v>0.22200000000000003</v>
      </c>
      <c r="EC95">
        <f t="shared" si="2313"/>
        <v>0.35</v>
      </c>
      <c r="ED95">
        <f t="shared" si="2314"/>
        <v>1E-3</v>
      </c>
      <c r="EE95">
        <f t="shared" si="2315"/>
        <v>0.63400000000000001</v>
      </c>
      <c r="EF95">
        <f t="shared" si="2316"/>
        <v>0</v>
      </c>
      <c r="EG95">
        <f t="shared" si="2317"/>
        <v>0</v>
      </c>
      <c r="EH95">
        <f t="shared" si="2318"/>
        <v>6.0000000000000001E-3</v>
      </c>
      <c r="EI95">
        <f t="shared" si="2319"/>
        <v>0.38</v>
      </c>
      <c r="EJ95">
        <f t="shared" si="2320"/>
        <v>0.24199999999999999</v>
      </c>
      <c r="EK95">
        <f t="shared" si="2321"/>
        <v>0</v>
      </c>
      <c r="EL95">
        <f t="shared" si="2322"/>
        <v>0</v>
      </c>
      <c r="EM95">
        <f t="shared" si="2323"/>
        <v>0.51600000000000001</v>
      </c>
      <c r="EN95">
        <f t="shared" si="2324"/>
        <v>0</v>
      </c>
      <c r="EO95">
        <f t="shared" si="2325"/>
        <v>4.6000000000000006E-2</v>
      </c>
      <c r="EP95">
        <f t="shared" si="2326"/>
        <v>0.47</v>
      </c>
      <c r="EQ95">
        <f t="shared" si="2327"/>
        <v>0</v>
      </c>
      <c r="ER95">
        <f t="shared" si="2328"/>
        <v>0</v>
      </c>
      <c r="ES95">
        <f t="shared" si="2329"/>
        <v>0.252</v>
      </c>
      <c r="ET95">
        <f t="shared" si="2330"/>
        <v>0.21200000000000002</v>
      </c>
      <c r="EU95">
        <f t="shared" si="2331"/>
        <v>8.0000000000000002E-3</v>
      </c>
      <c r="EV95">
        <f t="shared" si="2332"/>
        <v>3.2000000000000001E-2</v>
      </c>
      <c r="EW95">
        <f t="shared" si="2333"/>
        <v>0</v>
      </c>
      <c r="EX95">
        <f t="shared" si="2334"/>
        <v>0</v>
      </c>
      <c r="EY95">
        <f t="shared" si="2335"/>
        <v>0</v>
      </c>
      <c r="EZ95">
        <f t="shared" si="2336"/>
        <v>39.4</v>
      </c>
      <c r="FA95">
        <f t="shared" si="2337"/>
        <v>124.6</v>
      </c>
      <c r="FB95">
        <f t="shared" si="2338"/>
        <v>131.4</v>
      </c>
      <c r="FC95">
        <f t="shared" si="2339"/>
        <v>208.2</v>
      </c>
      <c r="FD95">
        <f t="shared" si="2340"/>
        <v>176</v>
      </c>
      <c r="FE95">
        <f t="shared" si="2341"/>
        <v>87.4</v>
      </c>
      <c r="FF95">
        <f t="shared" si="2342"/>
        <v>64.599999999999994</v>
      </c>
      <c r="FG95">
        <f t="shared" si="2343"/>
        <v>132.4</v>
      </c>
      <c r="FH95">
        <f t="shared" si="2344"/>
        <v>100.6</v>
      </c>
      <c r="FI95">
        <f t="shared" si="2345"/>
        <v>164.6</v>
      </c>
      <c r="FJ95">
        <f t="shared" si="2346"/>
        <v>153.4</v>
      </c>
      <c r="FK95">
        <f t="shared" si="2347"/>
        <v>59.6</v>
      </c>
      <c r="FL95">
        <f t="shared" si="2348"/>
        <v>143.80000000000001</v>
      </c>
      <c r="FM95">
        <f t="shared" si="2349"/>
        <v>241.8</v>
      </c>
      <c r="FN95">
        <f t="shared" si="2350"/>
        <v>301.60000000000002</v>
      </c>
      <c r="FO95">
        <f t="shared" si="2351"/>
        <v>83.2</v>
      </c>
      <c r="FP95">
        <f t="shared" si="2352"/>
        <v>99.2</v>
      </c>
      <c r="FQ95">
        <f t="shared" si="2353"/>
        <v>168.4</v>
      </c>
      <c r="FR95">
        <f t="shared" si="2354"/>
        <v>0.01</v>
      </c>
      <c r="FS95">
        <f t="shared" si="2355"/>
        <v>0</v>
      </c>
      <c r="FT95">
        <f t="shared" si="2356"/>
        <v>0</v>
      </c>
      <c r="FU95">
        <f t="shared" si="2357"/>
        <v>0</v>
      </c>
      <c r="FV95">
        <f t="shared" si="2358"/>
        <v>0</v>
      </c>
      <c r="FW95">
        <f t="shared" si="2359"/>
        <v>0</v>
      </c>
    </row>
    <row r="96" spans="1:179" x14ac:dyDescent="0.35">
      <c r="B96" s="71" t="s">
        <v>454</v>
      </c>
      <c r="C96">
        <v>10</v>
      </c>
      <c r="D96" s="6">
        <v>238</v>
      </c>
      <c r="E96" s="6">
        <v>981</v>
      </c>
      <c r="F96" s="6">
        <v>4.4000000000000004</v>
      </c>
      <c r="G96" s="6">
        <v>0</v>
      </c>
      <c r="H96" s="6">
        <v>4.4000000000000004</v>
      </c>
      <c r="I96" s="6">
        <v>23</v>
      </c>
      <c r="J96" s="6">
        <v>0</v>
      </c>
      <c r="K96" s="6">
        <v>23</v>
      </c>
      <c r="L96" s="6">
        <v>0</v>
      </c>
      <c r="M96" s="6">
        <v>1.8</v>
      </c>
      <c r="N96" s="51">
        <v>0.05</v>
      </c>
      <c r="O96" s="6">
        <v>1.8</v>
      </c>
      <c r="P96" s="6">
        <v>3.3</v>
      </c>
      <c r="Q96" s="6">
        <v>0</v>
      </c>
      <c r="R96" s="6">
        <v>64</v>
      </c>
      <c r="S96" s="6">
        <v>0.6</v>
      </c>
      <c r="T96" s="6">
        <v>13</v>
      </c>
      <c r="U96" s="6">
        <v>2</v>
      </c>
      <c r="V96" s="6">
        <v>450</v>
      </c>
      <c r="W96" s="6">
        <v>44</v>
      </c>
      <c r="X96" s="6">
        <v>0.4</v>
      </c>
      <c r="Y96" s="6">
        <v>25</v>
      </c>
      <c r="Z96" s="6">
        <v>0.19</v>
      </c>
      <c r="AA96" s="51">
        <v>0.05</v>
      </c>
      <c r="AB96" s="6">
        <v>6</v>
      </c>
      <c r="AC96" s="6">
        <v>2</v>
      </c>
      <c r="AD96" s="6">
        <v>0.2</v>
      </c>
      <c r="AE96" s="6">
        <v>19</v>
      </c>
      <c r="AF96" s="6">
        <v>0.09</v>
      </c>
      <c r="AG96" s="6">
        <v>0.12</v>
      </c>
      <c r="AH96" s="6">
        <v>18</v>
      </c>
      <c r="AI96" s="6">
        <v>1.1000000000000001</v>
      </c>
      <c r="AJ96" s="6">
        <v>0.36</v>
      </c>
      <c r="AK96" s="6">
        <v>11</v>
      </c>
      <c r="AL96" s="6">
        <v>1.1000000000000001</v>
      </c>
      <c r="AM96" s="6">
        <v>3.6</v>
      </c>
      <c r="AN96" s="6">
        <v>0</v>
      </c>
      <c r="AO96" s="6">
        <v>14</v>
      </c>
      <c r="AP96" s="6">
        <v>0</v>
      </c>
      <c r="AQ96" s="6">
        <v>84</v>
      </c>
      <c r="AR96" s="6">
        <v>6.4</v>
      </c>
      <c r="AS96" s="6">
        <v>0</v>
      </c>
      <c r="AT96" s="6">
        <v>21</v>
      </c>
      <c r="AU96" s="6">
        <v>2.48</v>
      </c>
      <c r="AV96" s="6">
        <v>0</v>
      </c>
      <c r="AW96" s="6">
        <v>0</v>
      </c>
      <c r="AX96" s="6">
        <v>0</v>
      </c>
      <c r="AY96" s="6">
        <v>2.48</v>
      </c>
      <c r="AZ96" s="6">
        <v>0</v>
      </c>
      <c r="BA96" s="6">
        <v>0</v>
      </c>
      <c r="BB96" s="6">
        <v>0</v>
      </c>
      <c r="BC96" s="6">
        <v>18.329999999999998</v>
      </c>
      <c r="BD96" s="6">
        <v>0</v>
      </c>
      <c r="BE96" s="6">
        <v>0.75</v>
      </c>
      <c r="BF96" s="6">
        <v>17.57</v>
      </c>
      <c r="BG96" s="6">
        <v>0</v>
      </c>
      <c r="BH96" s="6">
        <v>0</v>
      </c>
      <c r="BI96" s="6">
        <v>1.45</v>
      </c>
      <c r="BJ96" s="6">
        <v>1.33</v>
      </c>
      <c r="BK96" s="6">
        <v>0.09</v>
      </c>
      <c r="BL96" s="6">
        <v>0.02</v>
      </c>
      <c r="BM96" s="6">
        <v>0</v>
      </c>
      <c r="BN96" s="6">
        <v>0</v>
      </c>
      <c r="BO96" s="6">
        <v>0.01</v>
      </c>
      <c r="BP96" s="7">
        <v>55</v>
      </c>
      <c r="BQ96" s="7">
        <v>161</v>
      </c>
      <c r="BR96" s="7">
        <v>185</v>
      </c>
      <c r="BS96" s="7">
        <v>315</v>
      </c>
      <c r="BT96" s="7">
        <v>290</v>
      </c>
      <c r="BU96" s="7">
        <v>84</v>
      </c>
      <c r="BV96" s="7">
        <v>59</v>
      </c>
      <c r="BW96" s="7">
        <v>213</v>
      </c>
      <c r="BX96" s="7">
        <v>108</v>
      </c>
      <c r="BY96" s="7">
        <v>235</v>
      </c>
      <c r="BZ96" s="7">
        <v>194</v>
      </c>
      <c r="CA96" s="7">
        <v>108</v>
      </c>
      <c r="CB96" s="7">
        <v>240</v>
      </c>
      <c r="CC96" s="7">
        <v>519</v>
      </c>
      <c r="CD96" s="7">
        <v>631</v>
      </c>
      <c r="CE96" s="7">
        <v>229</v>
      </c>
      <c r="CF96" s="7">
        <v>216</v>
      </c>
      <c r="CG96" s="7">
        <v>251</v>
      </c>
      <c r="CH96" s="6">
        <v>1.1000000000000001</v>
      </c>
      <c r="CI96" s="6">
        <v>0.4</v>
      </c>
      <c r="CJ96" s="6">
        <v>0</v>
      </c>
      <c r="CK96" s="6">
        <v>0.4</v>
      </c>
      <c r="CL96" s="6">
        <v>0</v>
      </c>
      <c r="CM96" s="6">
        <v>0</v>
      </c>
      <c r="CN96">
        <f t="shared" si="2272"/>
        <v>23.8</v>
      </c>
      <c r="CO96">
        <f t="shared" si="2273"/>
        <v>98.1</v>
      </c>
      <c r="CP96">
        <f t="shared" si="2274"/>
        <v>0.44</v>
      </c>
      <c r="CQ96">
        <f t="shared" si="2275"/>
        <v>0</v>
      </c>
      <c r="CR96">
        <f t="shared" si="2276"/>
        <v>0.44</v>
      </c>
      <c r="CS96">
        <f t="shared" si="2277"/>
        <v>2.2999999999999998</v>
      </c>
      <c r="CT96">
        <f t="shared" si="2278"/>
        <v>0</v>
      </c>
      <c r="CU96">
        <f t="shared" si="2279"/>
        <v>2.2999999999999998</v>
      </c>
      <c r="CV96">
        <f t="shared" si="2280"/>
        <v>0</v>
      </c>
      <c r="CW96">
        <f t="shared" si="2281"/>
        <v>0.18</v>
      </c>
      <c r="CX96">
        <f t="shared" si="2282"/>
        <v>5.0000000000000001E-3</v>
      </c>
      <c r="CY96">
        <f t="shared" si="2283"/>
        <v>0.18</v>
      </c>
      <c r="CZ96">
        <f t="shared" si="2284"/>
        <v>0.33</v>
      </c>
      <c r="DA96">
        <f t="shared" si="2285"/>
        <v>0</v>
      </c>
      <c r="DB96">
        <f t="shared" si="2286"/>
        <v>6.4</v>
      </c>
      <c r="DC96">
        <f t="shared" si="2287"/>
        <v>0.06</v>
      </c>
      <c r="DD96">
        <f t="shared" si="2288"/>
        <v>1.3</v>
      </c>
      <c r="DE96">
        <f t="shared" si="2289"/>
        <v>0.2</v>
      </c>
      <c r="DF96">
        <f t="shared" si="2290"/>
        <v>45</v>
      </c>
      <c r="DG96">
        <f t="shared" si="2291"/>
        <v>4.4000000000000004</v>
      </c>
      <c r="DH96">
        <f t="shared" si="2292"/>
        <v>0.04</v>
      </c>
      <c r="DI96">
        <f t="shared" si="2293"/>
        <v>2.5</v>
      </c>
      <c r="DJ96">
        <f t="shared" si="2294"/>
        <v>1.9E-2</v>
      </c>
      <c r="DK96">
        <f t="shared" si="2295"/>
        <v>5.0000000000000001E-3</v>
      </c>
      <c r="DL96">
        <f t="shared" si="2296"/>
        <v>0.6</v>
      </c>
      <c r="DM96">
        <f t="shared" si="2297"/>
        <v>0.2</v>
      </c>
      <c r="DN96">
        <f t="shared" si="2298"/>
        <v>0.02</v>
      </c>
      <c r="DO96">
        <f t="shared" si="2299"/>
        <v>1.9</v>
      </c>
      <c r="DP96">
        <f t="shared" si="2300"/>
        <v>8.9999999999999993E-3</v>
      </c>
      <c r="DQ96">
        <f t="shared" si="2301"/>
        <v>1.2E-2</v>
      </c>
      <c r="DR96">
        <f t="shared" si="2302"/>
        <v>1.8</v>
      </c>
      <c r="DS96">
        <f t="shared" si="2303"/>
        <v>0.11</v>
      </c>
      <c r="DT96">
        <f t="shared" si="2304"/>
        <v>3.5999999999999997E-2</v>
      </c>
      <c r="DU96">
        <f t="shared" si="2305"/>
        <v>1.1000000000000001</v>
      </c>
      <c r="DV96">
        <f t="shared" si="2306"/>
        <v>0.11</v>
      </c>
      <c r="DW96">
        <f t="shared" si="2307"/>
        <v>0.36</v>
      </c>
      <c r="DX96">
        <f t="shared" si="2308"/>
        <v>0</v>
      </c>
      <c r="DY96">
        <f t="shared" si="2309"/>
        <v>1.4</v>
      </c>
      <c r="DZ96">
        <f t="shared" si="2310"/>
        <v>0</v>
      </c>
      <c r="EA96">
        <f t="shared" si="2311"/>
        <v>8.4</v>
      </c>
      <c r="EB96">
        <f t="shared" si="2312"/>
        <v>0.64</v>
      </c>
      <c r="EC96">
        <f t="shared" si="2313"/>
        <v>0</v>
      </c>
      <c r="ED96">
        <f t="shared" si="2314"/>
        <v>2.1</v>
      </c>
      <c r="EE96">
        <f t="shared" si="2315"/>
        <v>0.248</v>
      </c>
      <c r="EF96">
        <f t="shared" si="2316"/>
        <v>0</v>
      </c>
      <c r="EG96">
        <f t="shared" si="2317"/>
        <v>0</v>
      </c>
      <c r="EH96">
        <f t="shared" si="2318"/>
        <v>0</v>
      </c>
      <c r="EI96">
        <f t="shared" si="2319"/>
        <v>0.248</v>
      </c>
      <c r="EJ96">
        <f t="shared" si="2320"/>
        <v>0</v>
      </c>
      <c r="EK96">
        <f t="shared" si="2321"/>
        <v>0</v>
      </c>
      <c r="EL96">
        <f t="shared" si="2322"/>
        <v>0</v>
      </c>
      <c r="EM96">
        <f t="shared" si="2323"/>
        <v>1.8329999999999997</v>
      </c>
      <c r="EN96">
        <f t="shared" si="2324"/>
        <v>0</v>
      </c>
      <c r="EO96">
        <f t="shared" si="2325"/>
        <v>7.4999999999999997E-2</v>
      </c>
      <c r="EP96">
        <f t="shared" si="2326"/>
        <v>1.7569999999999999</v>
      </c>
      <c r="EQ96">
        <f t="shared" si="2327"/>
        <v>0</v>
      </c>
      <c r="ER96">
        <f t="shared" si="2328"/>
        <v>0</v>
      </c>
      <c r="ES96">
        <f t="shared" si="2329"/>
        <v>0.14499999999999999</v>
      </c>
      <c r="ET96">
        <f t="shared" si="2330"/>
        <v>0.13300000000000001</v>
      </c>
      <c r="EU96">
        <f t="shared" si="2331"/>
        <v>8.9999999999999993E-3</v>
      </c>
      <c r="EV96">
        <f t="shared" si="2332"/>
        <v>2E-3</v>
      </c>
      <c r="EW96">
        <f t="shared" si="2333"/>
        <v>0</v>
      </c>
      <c r="EX96">
        <f t="shared" si="2334"/>
        <v>0</v>
      </c>
      <c r="EY96">
        <f t="shared" si="2335"/>
        <v>1E-3</v>
      </c>
      <c r="EZ96">
        <f t="shared" si="2336"/>
        <v>5.5</v>
      </c>
      <c r="FA96">
        <f t="shared" si="2337"/>
        <v>16.100000000000001</v>
      </c>
      <c r="FB96">
        <f t="shared" si="2338"/>
        <v>18.5</v>
      </c>
      <c r="FC96">
        <f t="shared" si="2339"/>
        <v>31.5</v>
      </c>
      <c r="FD96">
        <f t="shared" si="2340"/>
        <v>29</v>
      </c>
      <c r="FE96">
        <f t="shared" si="2341"/>
        <v>8.4</v>
      </c>
      <c r="FF96">
        <f t="shared" si="2342"/>
        <v>5.9</v>
      </c>
      <c r="FG96">
        <f t="shared" si="2343"/>
        <v>21.3</v>
      </c>
      <c r="FH96">
        <f t="shared" si="2344"/>
        <v>10.8</v>
      </c>
      <c r="FI96">
        <f t="shared" si="2345"/>
        <v>23.5</v>
      </c>
      <c r="FJ96">
        <f t="shared" si="2346"/>
        <v>19.399999999999999</v>
      </c>
      <c r="FK96">
        <f t="shared" si="2347"/>
        <v>10.8</v>
      </c>
      <c r="FL96">
        <f t="shared" si="2348"/>
        <v>24</v>
      </c>
      <c r="FM96">
        <f t="shared" si="2349"/>
        <v>51.9</v>
      </c>
      <c r="FN96">
        <f t="shared" si="2350"/>
        <v>63.1</v>
      </c>
      <c r="FO96">
        <f t="shared" si="2351"/>
        <v>22.9</v>
      </c>
      <c r="FP96">
        <f t="shared" si="2352"/>
        <v>21.6</v>
      </c>
      <c r="FQ96">
        <f t="shared" si="2353"/>
        <v>25.1</v>
      </c>
      <c r="FR96">
        <f t="shared" si="2354"/>
        <v>0.11</v>
      </c>
      <c r="FS96">
        <f t="shared" si="2355"/>
        <v>0.04</v>
      </c>
      <c r="FT96">
        <f t="shared" si="2356"/>
        <v>0</v>
      </c>
      <c r="FU96">
        <f t="shared" si="2357"/>
        <v>0.04</v>
      </c>
      <c r="FV96">
        <f t="shared" si="2358"/>
        <v>0</v>
      </c>
      <c r="FW96">
        <f t="shared" si="2359"/>
        <v>0</v>
      </c>
    </row>
    <row r="97" spans="1:179" x14ac:dyDescent="0.35">
      <c r="C97">
        <f>SUM(C89:C96)</f>
        <v>100</v>
      </c>
      <c r="CN97">
        <f>SUM(CN89:CN96)</f>
        <v>189.02500000000003</v>
      </c>
      <c r="CO97">
        <f t="shared" ref="CO97:EZ97" si="2360">SUM(CO89:CO96)</f>
        <v>788.7</v>
      </c>
      <c r="CP97">
        <f t="shared" si="2360"/>
        <v>4.851</v>
      </c>
      <c r="CQ97">
        <f t="shared" si="2360"/>
        <v>2.48</v>
      </c>
      <c r="CR97">
        <f t="shared" si="2360"/>
        <v>2.371</v>
      </c>
      <c r="CS97">
        <f t="shared" si="2360"/>
        <v>12.113499999999998</v>
      </c>
      <c r="CT97">
        <f t="shared" si="2360"/>
        <v>1.74</v>
      </c>
      <c r="CU97">
        <f t="shared" si="2360"/>
        <v>10.3735</v>
      </c>
      <c r="CV97">
        <f t="shared" si="2360"/>
        <v>74.2</v>
      </c>
      <c r="CW97">
        <f t="shared" si="2360"/>
        <v>15.550999999999998</v>
      </c>
      <c r="CX97">
        <f t="shared" si="2360"/>
        <v>14.477000000000002</v>
      </c>
      <c r="CY97">
        <f t="shared" si="2360"/>
        <v>1.0589999999999999</v>
      </c>
      <c r="CZ97">
        <f t="shared" si="2360"/>
        <v>1.159</v>
      </c>
      <c r="DA97">
        <f t="shared" si="2360"/>
        <v>0</v>
      </c>
      <c r="DB97">
        <f t="shared" si="2360"/>
        <v>65.419499999999999</v>
      </c>
      <c r="DC97">
        <f t="shared" si="2360"/>
        <v>0.82209750000000015</v>
      </c>
      <c r="DD97">
        <f t="shared" si="2360"/>
        <v>17.510000000000002</v>
      </c>
      <c r="DE97">
        <f t="shared" si="2360"/>
        <v>29.484999999999996</v>
      </c>
      <c r="DF97">
        <f t="shared" si="2360"/>
        <v>138.5325</v>
      </c>
      <c r="DG97">
        <f t="shared" si="2360"/>
        <v>70.737500000000011</v>
      </c>
      <c r="DH97">
        <f t="shared" si="2360"/>
        <v>0.66902499999999998</v>
      </c>
      <c r="DI97">
        <f t="shared" si="2360"/>
        <v>24.55</v>
      </c>
      <c r="DJ97">
        <f t="shared" si="2360"/>
        <v>7.9095000000000013E-2</v>
      </c>
      <c r="DK97">
        <f t="shared" si="2360"/>
        <v>4.5225</v>
      </c>
      <c r="DL97">
        <f t="shared" si="2360"/>
        <v>38.762500000000003</v>
      </c>
      <c r="DM97">
        <f t="shared" si="2360"/>
        <v>11.084499999999998</v>
      </c>
      <c r="DN97">
        <f t="shared" si="2360"/>
        <v>0.11462500000000003</v>
      </c>
      <c r="DO97">
        <f t="shared" si="2360"/>
        <v>48.662500000000001</v>
      </c>
      <c r="DP97">
        <f t="shared" si="2360"/>
        <v>0.10450000000000001</v>
      </c>
      <c r="DQ97">
        <f t="shared" si="2360"/>
        <v>0.10439999999999999</v>
      </c>
      <c r="DR97">
        <f t="shared" si="2360"/>
        <v>12.310000000000002</v>
      </c>
      <c r="DS97">
        <f t="shared" si="2360"/>
        <v>0.70300000000000007</v>
      </c>
      <c r="DT97">
        <f t="shared" si="2360"/>
        <v>0.15935000000000002</v>
      </c>
      <c r="DU97">
        <f t="shared" si="2360"/>
        <v>18.295000000000002</v>
      </c>
      <c r="DV97">
        <f t="shared" si="2360"/>
        <v>0.59624999999999995</v>
      </c>
      <c r="DW97">
        <f t="shared" si="2360"/>
        <v>4.8225000000000007</v>
      </c>
      <c r="DX97">
        <f t="shared" si="2360"/>
        <v>0.5</v>
      </c>
      <c r="DY97">
        <f t="shared" si="2360"/>
        <v>97.235900000000015</v>
      </c>
      <c r="DZ97">
        <f t="shared" si="2360"/>
        <v>42.2</v>
      </c>
      <c r="EA97">
        <f t="shared" si="2360"/>
        <v>330.21500000000003</v>
      </c>
      <c r="EB97">
        <f t="shared" si="2360"/>
        <v>2.6511000000000005</v>
      </c>
      <c r="EC97">
        <f t="shared" si="2360"/>
        <v>0.35</v>
      </c>
      <c r="ED97">
        <f t="shared" si="2360"/>
        <v>6.2112499999999997</v>
      </c>
      <c r="EE97">
        <f t="shared" si="2360"/>
        <v>2.0312000000000001</v>
      </c>
      <c r="EF97">
        <f t="shared" si="2360"/>
        <v>0</v>
      </c>
      <c r="EG97">
        <f t="shared" si="2360"/>
        <v>1E-4</v>
      </c>
      <c r="EH97">
        <f t="shared" si="2360"/>
        <v>7.4000000000000003E-3</v>
      </c>
      <c r="EI97">
        <f t="shared" si="2360"/>
        <v>1.46675</v>
      </c>
      <c r="EJ97">
        <f t="shared" si="2360"/>
        <v>0.48099999999999998</v>
      </c>
      <c r="EK97">
        <f t="shared" si="2360"/>
        <v>5.7249999999999995E-2</v>
      </c>
      <c r="EL97">
        <f t="shared" si="2360"/>
        <v>4.0000000000000001E-3</v>
      </c>
      <c r="EM97">
        <f t="shared" si="2360"/>
        <v>7.6730499999999999</v>
      </c>
      <c r="EN97">
        <f t="shared" si="2360"/>
        <v>0</v>
      </c>
      <c r="EO97">
        <f t="shared" si="2360"/>
        <v>0.17625000000000002</v>
      </c>
      <c r="EP97">
        <f t="shared" si="2360"/>
        <v>7.4737999999999998</v>
      </c>
      <c r="EQ97">
        <f t="shared" si="2360"/>
        <v>2.0749999999999998E-2</v>
      </c>
      <c r="ER97">
        <f t="shared" si="2360"/>
        <v>1.7500000000000003E-3</v>
      </c>
      <c r="ES97">
        <f t="shared" si="2360"/>
        <v>1.5723</v>
      </c>
      <c r="ET97">
        <f t="shared" si="2360"/>
        <v>1.4474000000000002</v>
      </c>
      <c r="EU97">
        <f t="shared" si="2360"/>
        <v>9.0699999999999989E-2</v>
      </c>
      <c r="EV97">
        <f t="shared" si="2360"/>
        <v>3.4000000000000002E-2</v>
      </c>
      <c r="EW97">
        <f t="shared" si="2360"/>
        <v>0</v>
      </c>
      <c r="EX97">
        <f t="shared" si="2360"/>
        <v>0</v>
      </c>
      <c r="EY97">
        <f t="shared" si="2360"/>
        <v>1.1000000000000001E-3</v>
      </c>
      <c r="EZ97">
        <f t="shared" si="2360"/>
        <v>59.05</v>
      </c>
      <c r="FA97">
        <f t="shared" ref="FA97:FW97" si="2361">SUM(FA89:FA96)</f>
        <v>213.05999999999997</v>
      </c>
      <c r="FB97">
        <f t="shared" si="2361"/>
        <v>225</v>
      </c>
      <c r="FC97">
        <f t="shared" si="2361"/>
        <v>452.33</v>
      </c>
      <c r="FD97">
        <f t="shared" si="2361"/>
        <v>264.82</v>
      </c>
      <c r="FE97">
        <f t="shared" si="2361"/>
        <v>128.48000000000002</v>
      </c>
      <c r="FF97">
        <f t="shared" si="2361"/>
        <v>104.28999999999999</v>
      </c>
      <c r="FG97">
        <f t="shared" si="2361"/>
        <v>246.74</v>
      </c>
      <c r="FH97">
        <f t="shared" si="2361"/>
        <v>178.81</v>
      </c>
      <c r="FI97">
        <f t="shared" si="2361"/>
        <v>288.07</v>
      </c>
      <c r="FJ97">
        <f t="shared" si="2361"/>
        <v>265.25</v>
      </c>
      <c r="FK97">
        <f t="shared" si="2361"/>
        <v>123.52</v>
      </c>
      <c r="FL97">
        <f t="shared" si="2361"/>
        <v>303.31</v>
      </c>
      <c r="FM97">
        <f t="shared" si="2361"/>
        <v>430.76</v>
      </c>
      <c r="FN97">
        <f t="shared" si="2361"/>
        <v>741.53</v>
      </c>
      <c r="FO97">
        <f t="shared" si="2361"/>
        <v>178.11</v>
      </c>
      <c r="FP97">
        <f t="shared" si="2361"/>
        <v>284.83</v>
      </c>
      <c r="FQ97">
        <f t="shared" si="2361"/>
        <v>286.84000000000003</v>
      </c>
      <c r="FR97">
        <f t="shared" si="2361"/>
        <v>0.13</v>
      </c>
      <c r="FS97">
        <f t="shared" si="2361"/>
        <v>0.1</v>
      </c>
      <c r="FT97">
        <f t="shared" si="2361"/>
        <v>0</v>
      </c>
      <c r="FU97">
        <f t="shared" si="2361"/>
        <v>0.27999999999999997</v>
      </c>
      <c r="FV97">
        <f t="shared" si="2361"/>
        <v>0</v>
      </c>
      <c r="FW97">
        <f t="shared" si="2361"/>
        <v>0</v>
      </c>
    </row>
    <row r="101" spans="1:179" x14ac:dyDescent="0.35">
      <c r="A101" s="80" t="s">
        <v>249</v>
      </c>
      <c r="B101" s="36" t="s">
        <v>364</v>
      </c>
      <c r="C101">
        <v>30</v>
      </c>
      <c r="D101" s="6">
        <v>160</v>
      </c>
      <c r="E101" s="6">
        <v>669</v>
      </c>
      <c r="F101" s="6">
        <v>19.100000000000001</v>
      </c>
      <c r="G101" s="6">
        <v>19.100000000000001</v>
      </c>
      <c r="H101" s="6">
        <v>0</v>
      </c>
      <c r="I101" s="6">
        <v>9.3000000000000007</v>
      </c>
      <c r="J101" s="6">
        <v>9.3000000000000007</v>
      </c>
      <c r="K101" s="6">
        <v>0</v>
      </c>
      <c r="L101" s="6">
        <v>70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69.599999999999994</v>
      </c>
      <c r="S101" s="6">
        <v>2.1</v>
      </c>
      <c r="T101" s="6">
        <v>10</v>
      </c>
      <c r="U101" s="6">
        <v>51</v>
      </c>
      <c r="V101" s="6">
        <v>330</v>
      </c>
      <c r="W101" s="6">
        <v>172</v>
      </c>
      <c r="X101" s="6">
        <v>3.8</v>
      </c>
      <c r="Y101" s="6">
        <v>14</v>
      </c>
      <c r="Z101" s="6">
        <v>0.06</v>
      </c>
      <c r="AA101" s="6">
        <v>3</v>
      </c>
      <c r="AB101" s="6">
        <v>52</v>
      </c>
      <c r="AC101" s="6">
        <v>10</v>
      </c>
      <c r="AD101" s="51">
        <v>5.0000000000000001E-3</v>
      </c>
      <c r="AE101" s="6">
        <v>180</v>
      </c>
      <c r="AF101" s="6">
        <v>0.1</v>
      </c>
      <c r="AG101" s="6">
        <v>0.12</v>
      </c>
      <c r="AH101" s="6">
        <v>0</v>
      </c>
      <c r="AI101" s="6">
        <v>4.2</v>
      </c>
      <c r="AJ101" s="6">
        <v>0.54</v>
      </c>
      <c r="AK101" s="6">
        <v>16</v>
      </c>
      <c r="AL101" s="6">
        <v>0.77</v>
      </c>
      <c r="AM101" s="6">
        <v>1</v>
      </c>
      <c r="AN101" s="6">
        <v>2</v>
      </c>
      <c r="AO101" s="51">
        <v>0.5</v>
      </c>
      <c r="AP101" s="51">
        <v>0.5</v>
      </c>
      <c r="AQ101" s="6">
        <v>0</v>
      </c>
      <c r="AR101" s="6">
        <v>0.15</v>
      </c>
      <c r="AS101" s="6">
        <v>0.5</v>
      </c>
      <c r="AT101" s="84">
        <v>1.6</v>
      </c>
      <c r="AU101" s="6">
        <v>2.927</v>
      </c>
      <c r="AV101" s="6">
        <v>0</v>
      </c>
      <c r="AW101" s="6">
        <v>0</v>
      </c>
      <c r="AX101" s="6">
        <v>0.20100000000000001</v>
      </c>
      <c r="AY101" s="6">
        <v>1.514</v>
      </c>
      <c r="AZ101" s="6">
        <v>1.0580000000000001</v>
      </c>
      <c r="BA101" s="6">
        <v>0</v>
      </c>
      <c r="BB101" s="6">
        <v>0</v>
      </c>
      <c r="BC101" s="6">
        <v>3.0179999999999998</v>
      </c>
      <c r="BD101" s="6">
        <v>0.29199999999999998</v>
      </c>
      <c r="BE101" s="6">
        <v>0.20100000000000001</v>
      </c>
      <c r="BF101" s="6">
        <v>2.0510000000000002</v>
      </c>
      <c r="BG101" s="6">
        <v>0</v>
      </c>
      <c r="BH101" s="6">
        <v>0.219</v>
      </c>
      <c r="BI101" s="6">
        <v>2.0699999999999998</v>
      </c>
      <c r="BJ101" s="6">
        <v>1.03</v>
      </c>
      <c r="BK101" s="6">
        <v>0.182</v>
      </c>
      <c r="BL101" s="6">
        <v>0.31</v>
      </c>
      <c r="BM101" s="6">
        <v>0.11899999999999999</v>
      </c>
      <c r="BN101" s="6">
        <v>0.11899999999999999</v>
      </c>
      <c r="BO101" s="6">
        <v>0.31</v>
      </c>
      <c r="BP101" s="7">
        <v>208</v>
      </c>
      <c r="BQ101" s="7">
        <v>786</v>
      </c>
      <c r="BR101" s="7">
        <v>828</v>
      </c>
      <c r="BS101" s="7">
        <v>1607</v>
      </c>
      <c r="BT101" s="7">
        <v>1727</v>
      </c>
      <c r="BU101" s="7">
        <v>553</v>
      </c>
      <c r="BV101" s="7">
        <v>201</v>
      </c>
      <c r="BW101" s="7">
        <v>770</v>
      </c>
      <c r="BX101" s="7">
        <v>649</v>
      </c>
      <c r="BY101" s="7">
        <v>899</v>
      </c>
      <c r="BZ101" s="7">
        <v>1189</v>
      </c>
      <c r="CA101" s="7">
        <v>740</v>
      </c>
      <c r="CB101" s="7">
        <v>1185</v>
      </c>
      <c r="CC101" s="7">
        <v>1866</v>
      </c>
      <c r="CD101" s="7">
        <v>3181</v>
      </c>
      <c r="CE101" s="7">
        <v>1007</v>
      </c>
      <c r="CF101" s="7">
        <v>811</v>
      </c>
      <c r="CG101" s="7">
        <v>761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6">
        <v>0</v>
      </c>
      <c r="CN101">
        <f>($C101*D101)/100</f>
        <v>48</v>
      </c>
      <c r="CO101">
        <f t="shared" ref="CO101:EZ101" si="2362">($C101*E101)/100</f>
        <v>200.7</v>
      </c>
      <c r="CP101">
        <f t="shared" si="2362"/>
        <v>5.73</v>
      </c>
      <c r="CQ101">
        <f t="shared" si="2362"/>
        <v>5.73</v>
      </c>
      <c r="CR101">
        <f t="shared" si="2362"/>
        <v>0</v>
      </c>
      <c r="CS101">
        <f t="shared" si="2362"/>
        <v>2.79</v>
      </c>
      <c r="CT101">
        <f t="shared" si="2362"/>
        <v>2.79</v>
      </c>
      <c r="CU101">
        <f t="shared" si="2362"/>
        <v>0</v>
      </c>
      <c r="CV101">
        <f t="shared" si="2362"/>
        <v>21</v>
      </c>
      <c r="CW101">
        <f t="shared" si="2362"/>
        <v>0</v>
      </c>
      <c r="CX101">
        <f t="shared" si="2362"/>
        <v>0</v>
      </c>
      <c r="CY101">
        <f t="shared" si="2362"/>
        <v>0</v>
      </c>
      <c r="CZ101">
        <f t="shared" si="2362"/>
        <v>0</v>
      </c>
      <c r="DA101">
        <f t="shared" si="2362"/>
        <v>0</v>
      </c>
      <c r="DB101">
        <f t="shared" si="2362"/>
        <v>20.88</v>
      </c>
      <c r="DC101">
        <f t="shared" si="2362"/>
        <v>0.63</v>
      </c>
      <c r="DD101">
        <f t="shared" si="2362"/>
        <v>3</v>
      </c>
      <c r="DE101">
        <f t="shared" si="2362"/>
        <v>15.3</v>
      </c>
      <c r="DF101">
        <f t="shared" si="2362"/>
        <v>99</v>
      </c>
      <c r="DG101">
        <f t="shared" si="2362"/>
        <v>51.6</v>
      </c>
      <c r="DH101">
        <f t="shared" si="2362"/>
        <v>1.1399999999999999</v>
      </c>
      <c r="DI101">
        <f t="shared" si="2362"/>
        <v>4.2</v>
      </c>
      <c r="DJ101">
        <f t="shared" si="2362"/>
        <v>1.7999999999999999E-2</v>
      </c>
      <c r="DK101">
        <f t="shared" si="2362"/>
        <v>0.9</v>
      </c>
      <c r="DL101">
        <f t="shared" si="2362"/>
        <v>15.6</v>
      </c>
      <c r="DM101">
        <f t="shared" si="2362"/>
        <v>3</v>
      </c>
      <c r="DN101">
        <f t="shared" si="2362"/>
        <v>1.5E-3</v>
      </c>
      <c r="DO101">
        <f t="shared" si="2362"/>
        <v>54</v>
      </c>
      <c r="DP101">
        <f t="shared" si="2362"/>
        <v>0.03</v>
      </c>
      <c r="DQ101">
        <f t="shared" si="2362"/>
        <v>3.5999999999999997E-2</v>
      </c>
      <c r="DR101">
        <f t="shared" si="2362"/>
        <v>0</v>
      </c>
      <c r="DS101">
        <f t="shared" si="2362"/>
        <v>1.26</v>
      </c>
      <c r="DT101">
        <f t="shared" si="2362"/>
        <v>0.16200000000000003</v>
      </c>
      <c r="DU101">
        <f t="shared" si="2362"/>
        <v>4.8</v>
      </c>
      <c r="DV101">
        <f t="shared" si="2362"/>
        <v>0.23100000000000001</v>
      </c>
      <c r="DW101">
        <f t="shared" si="2362"/>
        <v>0.3</v>
      </c>
      <c r="DX101">
        <f t="shared" si="2362"/>
        <v>0.6</v>
      </c>
      <c r="DY101">
        <f t="shared" si="2362"/>
        <v>0.15</v>
      </c>
      <c r="DZ101">
        <f t="shared" si="2362"/>
        <v>0.15</v>
      </c>
      <c r="EA101">
        <f t="shared" si="2362"/>
        <v>0</v>
      </c>
      <c r="EB101">
        <f t="shared" si="2362"/>
        <v>4.4999999999999998E-2</v>
      </c>
      <c r="EC101">
        <f t="shared" si="2362"/>
        <v>0.15</v>
      </c>
      <c r="ED101">
        <f t="shared" si="2362"/>
        <v>0.48</v>
      </c>
      <c r="EE101">
        <f t="shared" si="2362"/>
        <v>0.87809999999999999</v>
      </c>
      <c r="EF101">
        <f t="shared" si="2362"/>
        <v>0</v>
      </c>
      <c r="EG101">
        <f t="shared" si="2362"/>
        <v>0</v>
      </c>
      <c r="EH101">
        <f t="shared" si="2362"/>
        <v>6.0299999999999999E-2</v>
      </c>
      <c r="EI101">
        <f t="shared" si="2362"/>
        <v>0.45419999999999999</v>
      </c>
      <c r="EJ101">
        <f t="shared" si="2362"/>
        <v>0.31740000000000002</v>
      </c>
      <c r="EK101">
        <f t="shared" si="2362"/>
        <v>0</v>
      </c>
      <c r="EL101">
        <f t="shared" si="2362"/>
        <v>0</v>
      </c>
      <c r="EM101">
        <f t="shared" si="2362"/>
        <v>0.90539999999999987</v>
      </c>
      <c r="EN101">
        <f t="shared" si="2362"/>
        <v>8.7599999999999997E-2</v>
      </c>
      <c r="EO101">
        <f t="shared" si="2362"/>
        <v>6.0299999999999999E-2</v>
      </c>
      <c r="EP101">
        <f t="shared" si="2362"/>
        <v>0.61529999999999996</v>
      </c>
      <c r="EQ101">
        <f t="shared" si="2362"/>
        <v>0</v>
      </c>
      <c r="ER101">
        <f t="shared" si="2362"/>
        <v>6.5700000000000008E-2</v>
      </c>
      <c r="ES101">
        <f t="shared" si="2362"/>
        <v>0.621</v>
      </c>
      <c r="ET101">
        <f t="shared" si="2362"/>
        <v>0.309</v>
      </c>
      <c r="EU101">
        <f t="shared" si="2362"/>
        <v>5.4600000000000003E-2</v>
      </c>
      <c r="EV101">
        <f t="shared" si="2362"/>
        <v>9.3000000000000013E-2</v>
      </c>
      <c r="EW101">
        <f t="shared" si="2362"/>
        <v>3.5699999999999996E-2</v>
      </c>
      <c r="EX101">
        <f t="shared" si="2362"/>
        <v>3.5699999999999996E-2</v>
      </c>
      <c r="EY101">
        <f t="shared" si="2362"/>
        <v>9.3000000000000013E-2</v>
      </c>
      <c r="EZ101">
        <f t="shared" si="2362"/>
        <v>62.4</v>
      </c>
      <c r="FA101">
        <f t="shared" ref="FA101:FW101" si="2363">($C101*BQ101)/100</f>
        <v>235.8</v>
      </c>
      <c r="FB101">
        <f t="shared" si="2363"/>
        <v>248.4</v>
      </c>
      <c r="FC101">
        <f t="shared" si="2363"/>
        <v>482.1</v>
      </c>
      <c r="FD101">
        <f t="shared" si="2363"/>
        <v>518.1</v>
      </c>
      <c r="FE101">
        <f t="shared" si="2363"/>
        <v>165.9</v>
      </c>
      <c r="FF101">
        <f t="shared" si="2363"/>
        <v>60.3</v>
      </c>
      <c r="FG101">
        <f t="shared" si="2363"/>
        <v>231</v>
      </c>
      <c r="FH101">
        <f t="shared" si="2363"/>
        <v>194.7</v>
      </c>
      <c r="FI101">
        <f t="shared" si="2363"/>
        <v>269.7</v>
      </c>
      <c r="FJ101">
        <f t="shared" si="2363"/>
        <v>356.7</v>
      </c>
      <c r="FK101">
        <f t="shared" si="2363"/>
        <v>222</v>
      </c>
      <c r="FL101">
        <f t="shared" si="2363"/>
        <v>355.5</v>
      </c>
      <c r="FM101">
        <f t="shared" si="2363"/>
        <v>559.79999999999995</v>
      </c>
      <c r="FN101">
        <f t="shared" si="2363"/>
        <v>954.3</v>
      </c>
      <c r="FO101">
        <f t="shared" si="2363"/>
        <v>302.10000000000002</v>
      </c>
      <c r="FP101">
        <f t="shared" si="2363"/>
        <v>243.3</v>
      </c>
      <c r="FQ101">
        <f t="shared" si="2363"/>
        <v>228.3</v>
      </c>
      <c r="FR101">
        <f t="shared" si="2363"/>
        <v>0</v>
      </c>
      <c r="FS101">
        <f t="shared" si="2363"/>
        <v>0</v>
      </c>
      <c r="FT101">
        <f t="shared" si="2363"/>
        <v>0</v>
      </c>
      <c r="FU101">
        <f t="shared" si="2363"/>
        <v>0</v>
      </c>
      <c r="FV101">
        <f t="shared" si="2363"/>
        <v>0</v>
      </c>
      <c r="FW101">
        <f t="shared" si="2363"/>
        <v>0</v>
      </c>
    </row>
    <row r="102" spans="1:179" x14ac:dyDescent="0.35">
      <c r="B102" s="36" t="s">
        <v>449</v>
      </c>
      <c r="C102">
        <v>10</v>
      </c>
      <c r="D102" s="54">
        <v>26</v>
      </c>
      <c r="E102" s="54">
        <v>109</v>
      </c>
      <c r="F102" s="54">
        <v>0.9</v>
      </c>
      <c r="G102" s="54">
        <v>0</v>
      </c>
      <c r="H102" s="54">
        <v>0.9</v>
      </c>
      <c r="I102" s="54">
        <v>0.3</v>
      </c>
      <c r="J102" s="54">
        <v>0</v>
      </c>
      <c r="K102" s="54">
        <v>0.3</v>
      </c>
      <c r="L102" s="54">
        <v>0</v>
      </c>
      <c r="M102" s="54">
        <v>4.2</v>
      </c>
      <c r="N102" s="54">
        <v>0</v>
      </c>
      <c r="O102" s="54">
        <v>4.2</v>
      </c>
      <c r="P102" s="54">
        <v>1.9</v>
      </c>
      <c r="Q102" s="54">
        <v>0</v>
      </c>
      <c r="R102" s="54">
        <v>92.3</v>
      </c>
      <c r="S102" s="54">
        <v>0.7</v>
      </c>
      <c r="T102" s="54">
        <v>17</v>
      </c>
      <c r="U102" s="54">
        <v>2</v>
      </c>
      <c r="V102" s="54">
        <v>210</v>
      </c>
      <c r="W102" s="54">
        <v>28</v>
      </c>
      <c r="X102" s="54">
        <v>0.2</v>
      </c>
      <c r="Y102" s="81">
        <v>0</v>
      </c>
      <c r="Z102" s="81">
        <v>0</v>
      </c>
      <c r="AA102" s="81">
        <v>0</v>
      </c>
      <c r="AB102" s="81">
        <v>0</v>
      </c>
      <c r="AC102" s="81">
        <v>0</v>
      </c>
      <c r="AD102" s="81">
        <v>0</v>
      </c>
      <c r="AE102" s="81">
        <v>0</v>
      </c>
      <c r="AF102" s="54">
        <v>0.05</v>
      </c>
      <c r="AG102" s="54">
        <v>7.0000000000000007E-2</v>
      </c>
      <c r="AH102" s="54">
        <v>151</v>
      </c>
      <c r="AI102" s="54">
        <v>0.5</v>
      </c>
      <c r="AJ102" s="54">
        <v>0.27</v>
      </c>
      <c r="AK102" s="54">
        <v>24</v>
      </c>
      <c r="AL102" s="81">
        <v>0</v>
      </c>
      <c r="AM102" s="81">
        <v>0</v>
      </c>
      <c r="AN102" s="81">
        <v>0</v>
      </c>
      <c r="AO102" s="54">
        <v>139</v>
      </c>
      <c r="AP102" s="54">
        <v>0</v>
      </c>
      <c r="AQ102" s="54">
        <v>834</v>
      </c>
      <c r="AR102" s="54">
        <v>0.65</v>
      </c>
      <c r="AS102" s="54">
        <v>0</v>
      </c>
      <c r="AT102" s="81">
        <v>0</v>
      </c>
      <c r="AU102" s="54">
        <v>0.05</v>
      </c>
      <c r="AV102" s="81">
        <v>0</v>
      </c>
      <c r="AW102" s="81">
        <v>0</v>
      </c>
      <c r="AX102" s="81">
        <v>0</v>
      </c>
      <c r="AY102" s="81">
        <v>0</v>
      </c>
      <c r="AZ102" s="81">
        <v>0</v>
      </c>
      <c r="BA102" s="81">
        <v>0</v>
      </c>
      <c r="BB102" s="81">
        <v>0</v>
      </c>
      <c r="BC102" s="54">
        <v>0.02</v>
      </c>
      <c r="BD102" s="82">
        <v>0</v>
      </c>
      <c r="BE102" s="82">
        <v>0</v>
      </c>
      <c r="BF102" s="54">
        <v>0.02</v>
      </c>
      <c r="BG102" s="82">
        <v>0</v>
      </c>
      <c r="BH102" s="82">
        <v>0</v>
      </c>
      <c r="BI102" s="54">
        <v>0.16</v>
      </c>
      <c r="BJ102" s="54">
        <v>0.14000000000000001</v>
      </c>
      <c r="BK102" s="54">
        <v>0.03</v>
      </c>
      <c r="BL102" s="82">
        <v>0</v>
      </c>
      <c r="BM102" s="82">
        <v>0</v>
      </c>
      <c r="BN102" s="82">
        <v>0</v>
      </c>
      <c r="BO102" s="54">
        <v>0</v>
      </c>
      <c r="BP102" s="56">
        <v>7</v>
      </c>
      <c r="BQ102" s="56">
        <v>33</v>
      </c>
      <c r="BR102" s="56">
        <v>23</v>
      </c>
      <c r="BS102" s="56">
        <v>38</v>
      </c>
      <c r="BT102" s="56">
        <v>46</v>
      </c>
      <c r="BU102" s="56">
        <v>9</v>
      </c>
      <c r="BV102" s="56">
        <v>25</v>
      </c>
      <c r="BW102" s="56">
        <v>26</v>
      </c>
      <c r="BX102" s="56">
        <v>15</v>
      </c>
      <c r="BY102" s="56">
        <v>32</v>
      </c>
      <c r="BZ102" s="56">
        <v>30</v>
      </c>
      <c r="CA102" s="56">
        <v>12</v>
      </c>
      <c r="CB102" s="56">
        <v>29</v>
      </c>
      <c r="CC102" s="56">
        <v>189</v>
      </c>
      <c r="CD102" s="56">
        <v>148</v>
      </c>
      <c r="CE102" s="56">
        <v>31</v>
      </c>
      <c r="CF102" s="56">
        <v>33</v>
      </c>
      <c r="CG102" s="56">
        <v>44</v>
      </c>
      <c r="CH102" s="81">
        <v>0</v>
      </c>
      <c r="CI102" s="81">
        <v>0</v>
      </c>
      <c r="CJ102" s="83">
        <v>0</v>
      </c>
      <c r="CK102" s="81">
        <v>0</v>
      </c>
      <c r="CL102" s="81">
        <v>0</v>
      </c>
      <c r="CM102" s="83">
        <v>0</v>
      </c>
      <c r="CN102">
        <f t="shared" ref="CN102:CN112" si="2364">($C102*D102)/100</f>
        <v>2.6</v>
      </c>
      <c r="CO102">
        <f t="shared" ref="CO102:CO112" si="2365">($C102*E102)/100</f>
        <v>10.9</v>
      </c>
      <c r="CP102">
        <f t="shared" ref="CP102:CP112" si="2366">($C102*F102)/100</f>
        <v>0.09</v>
      </c>
      <c r="CQ102">
        <f t="shared" ref="CQ102:CQ112" si="2367">($C102*G102)/100</f>
        <v>0</v>
      </c>
      <c r="CR102">
        <f t="shared" ref="CR102:CR112" si="2368">($C102*H102)/100</f>
        <v>0.09</v>
      </c>
      <c r="CS102">
        <f t="shared" ref="CS102:CS112" si="2369">($C102*I102)/100</f>
        <v>0.03</v>
      </c>
      <c r="CT102">
        <f t="shared" ref="CT102:CT112" si="2370">($C102*J102)/100</f>
        <v>0</v>
      </c>
      <c r="CU102">
        <f t="shared" ref="CU102:CU112" si="2371">($C102*K102)/100</f>
        <v>0.03</v>
      </c>
      <c r="CV102">
        <f t="shared" ref="CV102:CV112" si="2372">($C102*L102)/100</f>
        <v>0</v>
      </c>
      <c r="CW102">
        <f t="shared" ref="CW102:CW112" si="2373">($C102*M102)/100</f>
        <v>0.42</v>
      </c>
      <c r="CX102">
        <f t="shared" ref="CX102:CX112" si="2374">($C102*N102)/100</f>
        <v>0</v>
      </c>
      <c r="CY102">
        <f t="shared" ref="CY102:CY112" si="2375">($C102*O102)/100</f>
        <v>0.42</v>
      </c>
      <c r="CZ102">
        <f t="shared" ref="CZ102:CZ112" si="2376">($C102*P102)/100</f>
        <v>0.19</v>
      </c>
      <c r="DA102">
        <f t="shared" ref="DA102:DA112" si="2377">($C102*Q102)/100</f>
        <v>0</v>
      </c>
      <c r="DB102">
        <f t="shared" ref="DB102:DB112" si="2378">($C102*R102)/100</f>
        <v>9.23</v>
      </c>
      <c r="DC102">
        <f t="shared" ref="DC102:DC112" si="2379">($C102*S102)/100</f>
        <v>7.0000000000000007E-2</v>
      </c>
      <c r="DD102">
        <f t="shared" ref="DD102:DD112" si="2380">($C102*T102)/100</f>
        <v>1.7</v>
      </c>
      <c r="DE102">
        <f t="shared" ref="DE102:DE112" si="2381">($C102*U102)/100</f>
        <v>0.2</v>
      </c>
      <c r="DF102">
        <f t="shared" ref="DF102:DF112" si="2382">($C102*V102)/100</f>
        <v>21</v>
      </c>
      <c r="DG102">
        <f t="shared" ref="DG102:DG112" si="2383">($C102*W102)/100</f>
        <v>2.8</v>
      </c>
      <c r="DH102">
        <f t="shared" ref="DH102:DH112" si="2384">($C102*X102)/100</f>
        <v>0.02</v>
      </c>
      <c r="DI102">
        <f t="shared" ref="DI102:DI112" si="2385">($C102*Y102)/100</f>
        <v>0</v>
      </c>
      <c r="DJ102">
        <f t="shared" ref="DJ102:DJ112" si="2386">($C102*Z102)/100</f>
        <v>0</v>
      </c>
      <c r="DK102">
        <f t="shared" ref="DK102:DK112" si="2387">($C102*AA102)/100</f>
        <v>0</v>
      </c>
      <c r="DL102">
        <f t="shared" ref="DL102:DL112" si="2388">($C102*AB102)/100</f>
        <v>0</v>
      </c>
      <c r="DM102">
        <f t="shared" ref="DM102:DM112" si="2389">($C102*AC102)/100</f>
        <v>0</v>
      </c>
      <c r="DN102">
        <f t="shared" ref="DN102:DN112" si="2390">($C102*AD102)/100</f>
        <v>0</v>
      </c>
      <c r="DO102">
        <f t="shared" ref="DO102:DO112" si="2391">($C102*AE102)/100</f>
        <v>0</v>
      </c>
      <c r="DP102">
        <f t="shared" ref="DP102:DP112" si="2392">($C102*AF102)/100</f>
        <v>5.0000000000000001E-3</v>
      </c>
      <c r="DQ102">
        <f t="shared" ref="DQ102:DQ112" si="2393">($C102*AG102)/100</f>
        <v>7.000000000000001E-3</v>
      </c>
      <c r="DR102">
        <f t="shared" ref="DR102:DR112" si="2394">($C102*AH102)/100</f>
        <v>15.1</v>
      </c>
      <c r="DS102">
        <f t="shared" ref="DS102:DS112" si="2395">($C102*AI102)/100</f>
        <v>0.05</v>
      </c>
      <c r="DT102">
        <f t="shared" ref="DT102:DT112" si="2396">($C102*AJ102)/100</f>
        <v>2.7000000000000003E-2</v>
      </c>
      <c r="DU102">
        <f t="shared" ref="DU102:DU112" si="2397">($C102*AK102)/100</f>
        <v>2.4</v>
      </c>
      <c r="DV102">
        <f t="shared" ref="DV102:DV112" si="2398">($C102*AL102)/100</f>
        <v>0</v>
      </c>
      <c r="DW102">
        <f t="shared" ref="DW102:DW112" si="2399">($C102*AM102)/100</f>
        <v>0</v>
      </c>
      <c r="DX102">
        <f t="shared" ref="DX102:DX112" si="2400">($C102*AN102)/100</f>
        <v>0</v>
      </c>
      <c r="DY102">
        <f t="shared" ref="DY102:DY112" si="2401">($C102*AO102)/100</f>
        <v>13.9</v>
      </c>
      <c r="DZ102">
        <f t="shared" ref="DZ102:DZ112" si="2402">($C102*AP102)/100</f>
        <v>0</v>
      </c>
      <c r="EA102">
        <f t="shared" ref="EA102:EA112" si="2403">($C102*AQ102)/100</f>
        <v>83.4</v>
      </c>
      <c r="EB102">
        <f t="shared" ref="EB102:EB112" si="2404">($C102*AR102)/100</f>
        <v>6.5000000000000002E-2</v>
      </c>
      <c r="EC102">
        <f t="shared" ref="EC102:EC112" si="2405">($C102*AS102)/100</f>
        <v>0</v>
      </c>
      <c r="ED102">
        <f t="shared" ref="ED102:ED112" si="2406">($C102*AT102)/100</f>
        <v>0</v>
      </c>
      <c r="EE102">
        <f t="shared" ref="EE102:EE112" si="2407">($C102*AU102)/100</f>
        <v>5.0000000000000001E-3</v>
      </c>
      <c r="EF102">
        <f t="shared" ref="EF102:EF112" si="2408">($C102*AV102)/100</f>
        <v>0</v>
      </c>
      <c r="EG102">
        <f t="shared" ref="EG102:EG112" si="2409">($C102*AW102)/100</f>
        <v>0</v>
      </c>
      <c r="EH102">
        <f t="shared" ref="EH102:EH112" si="2410">($C102*AX102)/100</f>
        <v>0</v>
      </c>
      <c r="EI102">
        <f t="shared" ref="EI102:EI112" si="2411">($C102*AY102)/100</f>
        <v>0</v>
      </c>
      <c r="EJ102">
        <f t="shared" ref="EJ102:EJ112" si="2412">($C102*AZ102)/100</f>
        <v>0</v>
      </c>
      <c r="EK102">
        <f t="shared" ref="EK102:EK112" si="2413">($C102*BA102)/100</f>
        <v>0</v>
      </c>
      <c r="EL102">
        <f t="shared" ref="EL102:EL112" si="2414">($C102*BB102)/100</f>
        <v>0</v>
      </c>
      <c r="EM102">
        <f t="shared" ref="EM102:EM112" si="2415">($C102*BC102)/100</f>
        <v>2E-3</v>
      </c>
      <c r="EN102">
        <f t="shared" ref="EN102:EN112" si="2416">($C102*BD102)/100</f>
        <v>0</v>
      </c>
      <c r="EO102">
        <f t="shared" ref="EO102:EO112" si="2417">($C102*BE102)/100</f>
        <v>0</v>
      </c>
      <c r="EP102">
        <f t="shared" ref="EP102:EP112" si="2418">($C102*BF102)/100</f>
        <v>2E-3</v>
      </c>
      <c r="EQ102">
        <f t="shared" ref="EQ102:EQ112" si="2419">($C102*BG102)/100</f>
        <v>0</v>
      </c>
      <c r="ER102">
        <f t="shared" ref="ER102:ER112" si="2420">($C102*BH102)/100</f>
        <v>0</v>
      </c>
      <c r="ES102">
        <f t="shared" ref="ES102:ES112" si="2421">($C102*BI102)/100</f>
        <v>1.6E-2</v>
      </c>
      <c r="ET102">
        <f t="shared" ref="ET102:ET112" si="2422">($C102*BJ102)/100</f>
        <v>1.4000000000000002E-2</v>
      </c>
      <c r="EU102">
        <f t="shared" ref="EU102:EU112" si="2423">($C102*BK102)/100</f>
        <v>3.0000000000000001E-3</v>
      </c>
      <c r="EV102">
        <f t="shared" ref="EV102:EV112" si="2424">($C102*BL102)/100</f>
        <v>0</v>
      </c>
      <c r="EW102">
        <f t="shared" ref="EW102:EW112" si="2425">($C102*BM102)/100</f>
        <v>0</v>
      </c>
      <c r="EX102">
        <f t="shared" ref="EX102:EX112" si="2426">($C102*BN102)/100</f>
        <v>0</v>
      </c>
      <c r="EY102">
        <f t="shared" ref="EY102:EY112" si="2427">($C102*BO102)/100</f>
        <v>0</v>
      </c>
      <c r="EZ102">
        <f t="shared" ref="EZ102:EZ112" si="2428">($C102*BP102)/100</f>
        <v>0.7</v>
      </c>
      <c r="FA102">
        <f t="shared" ref="FA102:FA112" si="2429">($C102*BQ102)/100</f>
        <v>3.3</v>
      </c>
      <c r="FB102">
        <f t="shared" ref="FB102:FB112" si="2430">($C102*BR102)/100</f>
        <v>2.2999999999999998</v>
      </c>
      <c r="FC102">
        <f t="shared" ref="FC102:FC112" si="2431">($C102*BS102)/100</f>
        <v>3.8</v>
      </c>
      <c r="FD102">
        <f t="shared" ref="FD102:FD112" si="2432">($C102*BT102)/100</f>
        <v>4.5999999999999996</v>
      </c>
      <c r="FE102">
        <f t="shared" ref="FE102:FE112" si="2433">($C102*BU102)/100</f>
        <v>0.9</v>
      </c>
      <c r="FF102">
        <f t="shared" ref="FF102:FF112" si="2434">($C102*BV102)/100</f>
        <v>2.5</v>
      </c>
      <c r="FG102">
        <f t="shared" ref="FG102:FG112" si="2435">($C102*BW102)/100</f>
        <v>2.6</v>
      </c>
      <c r="FH102">
        <f t="shared" ref="FH102:FH112" si="2436">($C102*BX102)/100</f>
        <v>1.5</v>
      </c>
      <c r="FI102">
        <f t="shared" ref="FI102:FI112" si="2437">($C102*BY102)/100</f>
        <v>3.2</v>
      </c>
      <c r="FJ102">
        <f t="shared" ref="FJ102:FJ112" si="2438">($C102*BZ102)/100</f>
        <v>3</v>
      </c>
      <c r="FK102">
        <f t="shared" ref="FK102:FK112" si="2439">($C102*CA102)/100</f>
        <v>1.2</v>
      </c>
      <c r="FL102">
        <f t="shared" ref="FL102:FL112" si="2440">($C102*CB102)/100</f>
        <v>2.9</v>
      </c>
      <c r="FM102">
        <f t="shared" ref="FM102:FM112" si="2441">($C102*CC102)/100</f>
        <v>18.899999999999999</v>
      </c>
      <c r="FN102">
        <f t="shared" ref="FN102:FN112" si="2442">($C102*CD102)/100</f>
        <v>14.8</v>
      </c>
      <c r="FO102">
        <f t="shared" ref="FO102:FO112" si="2443">($C102*CE102)/100</f>
        <v>3.1</v>
      </c>
      <c r="FP102">
        <f t="shared" ref="FP102:FP112" si="2444">($C102*CF102)/100</f>
        <v>3.3</v>
      </c>
      <c r="FQ102">
        <f t="shared" ref="FQ102:FQ112" si="2445">($C102*CG102)/100</f>
        <v>4.4000000000000004</v>
      </c>
      <c r="FR102">
        <f t="shared" ref="FR102:FR112" si="2446">($C102*CH102)/100</f>
        <v>0</v>
      </c>
      <c r="FS102">
        <f t="shared" ref="FS102:FS112" si="2447">($C102*CI102)/100</f>
        <v>0</v>
      </c>
      <c r="FT102">
        <f t="shared" ref="FT102:FT112" si="2448">($C102*CJ102)/100</f>
        <v>0</v>
      </c>
      <c r="FU102">
        <f t="shared" ref="FU102:FU112" si="2449">($C102*CK102)/100</f>
        <v>0</v>
      </c>
      <c r="FV102">
        <f t="shared" ref="FV102:FV112" si="2450">($C102*CL102)/100</f>
        <v>0</v>
      </c>
      <c r="FW102">
        <f t="shared" ref="FW102:FW112" si="2451">($C102*CM102)/100</f>
        <v>0</v>
      </c>
    </row>
    <row r="103" spans="1:179" x14ac:dyDescent="0.35">
      <c r="B103" s="72" t="s">
        <v>209</v>
      </c>
      <c r="C103">
        <v>1</v>
      </c>
      <c r="D103" s="54">
        <v>30</v>
      </c>
      <c r="E103" s="54">
        <v>125</v>
      </c>
      <c r="F103" s="54">
        <v>1.8</v>
      </c>
      <c r="G103" s="54">
        <v>0</v>
      </c>
      <c r="H103" s="54">
        <v>1.8</v>
      </c>
      <c r="I103" s="54">
        <v>0.5</v>
      </c>
      <c r="J103" s="54">
        <v>0</v>
      </c>
      <c r="K103" s="54">
        <v>0.5</v>
      </c>
      <c r="L103" s="54">
        <v>0</v>
      </c>
      <c r="M103" s="54">
        <v>3.8</v>
      </c>
      <c r="N103" s="54">
        <v>2.2999999999999998</v>
      </c>
      <c r="O103" s="54">
        <v>1.5</v>
      </c>
      <c r="P103" s="54">
        <v>1.9</v>
      </c>
      <c r="Q103" s="54">
        <v>0</v>
      </c>
      <c r="R103" s="54">
        <v>87.8</v>
      </c>
      <c r="S103" s="54">
        <v>0.5</v>
      </c>
      <c r="T103" s="54">
        <v>18</v>
      </c>
      <c r="U103" s="54">
        <v>11</v>
      </c>
      <c r="V103" s="54">
        <v>395</v>
      </c>
      <c r="W103" s="54">
        <v>18</v>
      </c>
      <c r="X103" s="54">
        <v>0.27</v>
      </c>
      <c r="Y103" s="81">
        <v>0</v>
      </c>
      <c r="Z103" s="81">
        <v>0</v>
      </c>
      <c r="AA103" s="81">
        <v>0</v>
      </c>
      <c r="AB103" s="81">
        <v>0</v>
      </c>
      <c r="AC103" s="81">
        <v>0</v>
      </c>
      <c r="AD103" s="81">
        <v>0</v>
      </c>
      <c r="AE103" s="81">
        <v>0</v>
      </c>
      <c r="AF103" s="54">
        <v>0.09</v>
      </c>
      <c r="AG103" s="54">
        <v>0.23</v>
      </c>
      <c r="AH103" s="54">
        <v>229</v>
      </c>
      <c r="AI103" s="54">
        <v>3</v>
      </c>
      <c r="AJ103" s="54">
        <v>0.25</v>
      </c>
      <c r="AK103" s="54">
        <v>21</v>
      </c>
      <c r="AL103" s="81">
        <v>0</v>
      </c>
      <c r="AM103" s="81">
        <v>0</v>
      </c>
      <c r="AN103" s="81">
        <v>0</v>
      </c>
      <c r="AO103" s="54">
        <v>824</v>
      </c>
      <c r="AP103" s="54">
        <v>0</v>
      </c>
      <c r="AQ103" s="54">
        <v>4944</v>
      </c>
      <c r="AR103" s="54">
        <v>0.8</v>
      </c>
      <c r="AS103" s="54">
        <v>0</v>
      </c>
      <c r="AT103" s="81">
        <v>0</v>
      </c>
      <c r="AU103" s="54">
        <v>0.09</v>
      </c>
      <c r="AV103" s="81">
        <v>0</v>
      </c>
      <c r="AW103" s="81">
        <v>0</v>
      </c>
      <c r="AX103" s="81">
        <v>0</v>
      </c>
      <c r="AY103" s="81">
        <v>0</v>
      </c>
      <c r="AZ103" s="81">
        <v>0</v>
      </c>
      <c r="BA103" s="81">
        <v>0</v>
      </c>
      <c r="BB103" s="81">
        <v>0</v>
      </c>
      <c r="BC103" s="54">
        <v>0.03</v>
      </c>
      <c r="BD103" s="82">
        <v>0</v>
      </c>
      <c r="BE103" s="82">
        <v>0</v>
      </c>
      <c r="BF103" s="54">
        <v>0.03</v>
      </c>
      <c r="BG103" s="82">
        <v>0</v>
      </c>
      <c r="BH103" s="82">
        <v>0</v>
      </c>
      <c r="BI103" s="54">
        <v>0.27</v>
      </c>
      <c r="BJ103" s="54">
        <v>0.23</v>
      </c>
      <c r="BK103" s="54">
        <v>0.05</v>
      </c>
      <c r="BL103" s="82">
        <v>0</v>
      </c>
      <c r="BM103" s="82">
        <v>0</v>
      </c>
      <c r="BN103" s="82">
        <v>0</v>
      </c>
      <c r="BO103" s="54">
        <v>0</v>
      </c>
      <c r="BP103" s="56">
        <v>14</v>
      </c>
      <c r="BQ103" s="56">
        <v>66</v>
      </c>
      <c r="BR103" s="56">
        <v>46</v>
      </c>
      <c r="BS103" s="56">
        <v>76</v>
      </c>
      <c r="BT103" s="56">
        <v>92</v>
      </c>
      <c r="BU103" s="56">
        <v>18</v>
      </c>
      <c r="BV103" s="56">
        <v>50</v>
      </c>
      <c r="BW103" s="56">
        <v>52</v>
      </c>
      <c r="BX103" s="56">
        <v>30</v>
      </c>
      <c r="BY103" s="56">
        <v>64</v>
      </c>
      <c r="BZ103" s="56">
        <v>60</v>
      </c>
      <c r="CA103" s="56">
        <v>24</v>
      </c>
      <c r="CB103" s="56">
        <v>58</v>
      </c>
      <c r="CC103" s="56">
        <v>378</v>
      </c>
      <c r="CD103" s="56">
        <v>296</v>
      </c>
      <c r="CE103" s="56">
        <v>62</v>
      </c>
      <c r="CF103" s="56">
        <v>66</v>
      </c>
      <c r="CG103" s="56">
        <v>88</v>
      </c>
      <c r="CH103" s="81">
        <v>0</v>
      </c>
      <c r="CI103" s="81">
        <v>0</v>
      </c>
      <c r="CJ103" s="83">
        <v>0</v>
      </c>
      <c r="CK103" s="81">
        <v>0</v>
      </c>
      <c r="CL103" s="81">
        <v>0</v>
      </c>
      <c r="CM103" s="83">
        <v>0</v>
      </c>
      <c r="CN103">
        <f t="shared" si="2364"/>
        <v>0.3</v>
      </c>
      <c r="CO103">
        <f t="shared" si="2365"/>
        <v>1.25</v>
      </c>
      <c r="CP103">
        <f t="shared" si="2366"/>
        <v>1.8000000000000002E-2</v>
      </c>
      <c r="CQ103">
        <f t="shared" si="2367"/>
        <v>0</v>
      </c>
      <c r="CR103">
        <f t="shared" si="2368"/>
        <v>1.8000000000000002E-2</v>
      </c>
      <c r="CS103">
        <f t="shared" si="2369"/>
        <v>5.0000000000000001E-3</v>
      </c>
      <c r="CT103">
        <f t="shared" si="2370"/>
        <v>0</v>
      </c>
      <c r="CU103">
        <f t="shared" si="2371"/>
        <v>5.0000000000000001E-3</v>
      </c>
      <c r="CV103">
        <f t="shared" si="2372"/>
        <v>0</v>
      </c>
      <c r="CW103">
        <f t="shared" si="2373"/>
        <v>3.7999999999999999E-2</v>
      </c>
      <c r="CX103">
        <f t="shared" si="2374"/>
        <v>2.3E-2</v>
      </c>
      <c r="CY103">
        <f t="shared" si="2375"/>
        <v>1.4999999999999999E-2</v>
      </c>
      <c r="CZ103">
        <f t="shared" si="2376"/>
        <v>1.9E-2</v>
      </c>
      <c r="DA103">
        <f t="shared" si="2377"/>
        <v>0</v>
      </c>
      <c r="DB103">
        <f t="shared" si="2378"/>
        <v>0.878</v>
      </c>
      <c r="DC103">
        <f t="shared" si="2379"/>
        <v>5.0000000000000001E-3</v>
      </c>
      <c r="DD103">
        <f t="shared" si="2380"/>
        <v>0.18</v>
      </c>
      <c r="DE103">
        <f t="shared" si="2381"/>
        <v>0.11</v>
      </c>
      <c r="DF103">
        <f t="shared" si="2382"/>
        <v>3.95</v>
      </c>
      <c r="DG103">
        <f t="shared" si="2383"/>
        <v>0.18</v>
      </c>
      <c r="DH103">
        <f t="shared" si="2384"/>
        <v>2.7000000000000001E-3</v>
      </c>
      <c r="DI103">
        <f t="shared" si="2385"/>
        <v>0</v>
      </c>
      <c r="DJ103">
        <f t="shared" si="2386"/>
        <v>0</v>
      </c>
      <c r="DK103">
        <f t="shared" si="2387"/>
        <v>0</v>
      </c>
      <c r="DL103">
        <f t="shared" si="2388"/>
        <v>0</v>
      </c>
      <c r="DM103">
        <f t="shared" si="2389"/>
        <v>0</v>
      </c>
      <c r="DN103">
        <f t="shared" si="2390"/>
        <v>0</v>
      </c>
      <c r="DO103">
        <f t="shared" si="2391"/>
        <v>0</v>
      </c>
      <c r="DP103">
        <f t="shared" si="2392"/>
        <v>8.9999999999999998E-4</v>
      </c>
      <c r="DQ103">
        <f t="shared" si="2393"/>
        <v>2.3E-3</v>
      </c>
      <c r="DR103">
        <f t="shared" si="2394"/>
        <v>2.29</v>
      </c>
      <c r="DS103">
        <f t="shared" si="2395"/>
        <v>0.03</v>
      </c>
      <c r="DT103">
        <f t="shared" si="2396"/>
        <v>2.5000000000000001E-3</v>
      </c>
      <c r="DU103">
        <f t="shared" si="2397"/>
        <v>0.21</v>
      </c>
      <c r="DV103">
        <f t="shared" si="2398"/>
        <v>0</v>
      </c>
      <c r="DW103">
        <f t="shared" si="2399"/>
        <v>0</v>
      </c>
      <c r="DX103">
        <f t="shared" si="2400"/>
        <v>0</v>
      </c>
      <c r="DY103">
        <f t="shared" si="2401"/>
        <v>8.24</v>
      </c>
      <c r="DZ103">
        <f t="shared" si="2402"/>
        <v>0</v>
      </c>
      <c r="EA103">
        <f t="shared" si="2403"/>
        <v>49.44</v>
      </c>
      <c r="EB103">
        <f t="shared" si="2404"/>
        <v>8.0000000000000002E-3</v>
      </c>
      <c r="EC103">
        <f t="shared" si="2405"/>
        <v>0</v>
      </c>
      <c r="ED103">
        <f t="shared" si="2406"/>
        <v>0</v>
      </c>
      <c r="EE103">
        <f t="shared" si="2407"/>
        <v>8.9999999999999998E-4</v>
      </c>
      <c r="EF103">
        <f t="shared" si="2408"/>
        <v>0</v>
      </c>
      <c r="EG103">
        <f t="shared" si="2409"/>
        <v>0</v>
      </c>
      <c r="EH103">
        <f t="shared" si="2410"/>
        <v>0</v>
      </c>
      <c r="EI103">
        <f t="shared" si="2411"/>
        <v>0</v>
      </c>
      <c r="EJ103">
        <f t="shared" si="2412"/>
        <v>0</v>
      </c>
      <c r="EK103">
        <f t="shared" si="2413"/>
        <v>0</v>
      </c>
      <c r="EL103">
        <f t="shared" si="2414"/>
        <v>0</v>
      </c>
      <c r="EM103">
        <f t="shared" si="2415"/>
        <v>2.9999999999999997E-4</v>
      </c>
      <c r="EN103">
        <f t="shared" si="2416"/>
        <v>0</v>
      </c>
      <c r="EO103">
        <f t="shared" si="2417"/>
        <v>0</v>
      </c>
      <c r="EP103">
        <f t="shared" si="2418"/>
        <v>2.9999999999999997E-4</v>
      </c>
      <c r="EQ103">
        <f t="shared" si="2419"/>
        <v>0</v>
      </c>
      <c r="ER103">
        <f t="shared" si="2420"/>
        <v>0</v>
      </c>
      <c r="ES103">
        <f t="shared" si="2421"/>
        <v>2.7000000000000001E-3</v>
      </c>
      <c r="ET103">
        <f t="shared" si="2422"/>
        <v>2.3E-3</v>
      </c>
      <c r="EU103">
        <f t="shared" si="2423"/>
        <v>5.0000000000000001E-4</v>
      </c>
      <c r="EV103">
        <f t="shared" si="2424"/>
        <v>0</v>
      </c>
      <c r="EW103">
        <f t="shared" si="2425"/>
        <v>0</v>
      </c>
      <c r="EX103">
        <f t="shared" si="2426"/>
        <v>0</v>
      </c>
      <c r="EY103">
        <f t="shared" si="2427"/>
        <v>0</v>
      </c>
      <c r="EZ103">
        <f t="shared" si="2428"/>
        <v>0.14000000000000001</v>
      </c>
      <c r="FA103">
        <f t="shared" si="2429"/>
        <v>0.66</v>
      </c>
      <c r="FB103">
        <f t="shared" si="2430"/>
        <v>0.46</v>
      </c>
      <c r="FC103">
        <f t="shared" si="2431"/>
        <v>0.76</v>
      </c>
      <c r="FD103">
        <f t="shared" si="2432"/>
        <v>0.92</v>
      </c>
      <c r="FE103">
        <f t="shared" si="2433"/>
        <v>0.18</v>
      </c>
      <c r="FF103">
        <f t="shared" si="2434"/>
        <v>0.5</v>
      </c>
      <c r="FG103">
        <f t="shared" si="2435"/>
        <v>0.52</v>
      </c>
      <c r="FH103">
        <f t="shared" si="2436"/>
        <v>0.3</v>
      </c>
      <c r="FI103">
        <f t="shared" si="2437"/>
        <v>0.64</v>
      </c>
      <c r="FJ103">
        <f t="shared" si="2438"/>
        <v>0.6</v>
      </c>
      <c r="FK103">
        <f t="shared" si="2439"/>
        <v>0.24</v>
      </c>
      <c r="FL103">
        <f t="shared" si="2440"/>
        <v>0.57999999999999996</v>
      </c>
      <c r="FM103">
        <f t="shared" si="2441"/>
        <v>3.78</v>
      </c>
      <c r="FN103">
        <f t="shared" si="2442"/>
        <v>2.96</v>
      </c>
      <c r="FO103">
        <f t="shared" si="2443"/>
        <v>0.62</v>
      </c>
      <c r="FP103">
        <f t="shared" si="2444"/>
        <v>0.66</v>
      </c>
      <c r="FQ103">
        <f t="shared" si="2445"/>
        <v>0.88</v>
      </c>
      <c r="FR103">
        <f t="shared" si="2446"/>
        <v>0</v>
      </c>
      <c r="FS103">
        <f t="shared" si="2447"/>
        <v>0</v>
      </c>
      <c r="FT103">
        <f t="shared" si="2448"/>
        <v>0</v>
      </c>
      <c r="FU103">
        <f t="shared" si="2449"/>
        <v>0</v>
      </c>
      <c r="FV103">
        <f t="shared" si="2450"/>
        <v>0</v>
      </c>
      <c r="FW103">
        <f t="shared" si="2451"/>
        <v>0</v>
      </c>
    </row>
    <row r="104" spans="1:179" x14ac:dyDescent="0.35">
      <c r="B104" s="72" t="s">
        <v>253</v>
      </c>
      <c r="C104">
        <v>10</v>
      </c>
      <c r="D104" s="54">
        <v>28</v>
      </c>
      <c r="E104" s="54">
        <v>121</v>
      </c>
      <c r="F104" s="54">
        <v>1</v>
      </c>
      <c r="G104" s="54">
        <v>0</v>
      </c>
      <c r="H104" s="54">
        <v>1</v>
      </c>
      <c r="I104" s="54">
        <v>0.1</v>
      </c>
      <c r="J104" s="54">
        <v>0</v>
      </c>
      <c r="K104" s="54">
        <v>0.1</v>
      </c>
      <c r="L104" s="54">
        <v>0</v>
      </c>
      <c r="M104" s="54">
        <v>5.7</v>
      </c>
      <c r="N104" s="54">
        <v>0</v>
      </c>
      <c r="O104" s="54">
        <v>5.7</v>
      </c>
      <c r="P104" s="54">
        <v>1.1000000000000001</v>
      </c>
      <c r="Q104" s="54">
        <v>0</v>
      </c>
      <c r="R104" s="54">
        <v>92.1</v>
      </c>
      <c r="S104" s="54">
        <v>0.4</v>
      </c>
      <c r="T104" s="54">
        <v>25</v>
      </c>
      <c r="U104" s="54">
        <v>10</v>
      </c>
      <c r="V104" s="54">
        <v>140</v>
      </c>
      <c r="W104" s="54">
        <v>35</v>
      </c>
      <c r="X104" s="54">
        <v>0.3</v>
      </c>
      <c r="Y104" s="81">
        <v>0</v>
      </c>
      <c r="Z104" s="81">
        <v>0</v>
      </c>
      <c r="AA104" s="81">
        <v>0</v>
      </c>
      <c r="AB104" s="81">
        <v>0</v>
      </c>
      <c r="AC104" s="81">
        <v>0</v>
      </c>
      <c r="AD104" s="81">
        <v>0</v>
      </c>
      <c r="AE104" s="81">
        <v>0</v>
      </c>
      <c r="AF104" s="54">
        <v>0.02</v>
      </c>
      <c r="AG104" s="54">
        <v>0.03</v>
      </c>
      <c r="AH104" s="54">
        <v>5</v>
      </c>
      <c r="AI104" s="54">
        <v>0.5</v>
      </c>
      <c r="AJ104" s="54">
        <v>0.14000000000000001</v>
      </c>
      <c r="AK104" s="54">
        <v>12</v>
      </c>
      <c r="AL104" s="81">
        <v>0</v>
      </c>
      <c r="AM104" s="81">
        <v>0</v>
      </c>
      <c r="AN104" s="81">
        <v>0</v>
      </c>
      <c r="AO104" s="54">
        <v>0</v>
      </c>
      <c r="AP104" s="54">
        <v>0</v>
      </c>
      <c r="AQ104" s="54">
        <v>0</v>
      </c>
      <c r="AR104" s="54">
        <v>0.22</v>
      </c>
      <c r="AS104" s="54">
        <v>0</v>
      </c>
      <c r="AT104" s="81">
        <v>0</v>
      </c>
      <c r="AU104" s="54">
        <v>0.02</v>
      </c>
      <c r="AV104" s="81">
        <v>0</v>
      </c>
      <c r="AW104" s="81">
        <v>0</v>
      </c>
      <c r="AX104" s="81">
        <v>0</v>
      </c>
      <c r="AY104" s="81">
        <v>0</v>
      </c>
      <c r="AZ104" s="81">
        <v>0</v>
      </c>
      <c r="BA104" s="81">
        <v>0</v>
      </c>
      <c r="BB104" s="81">
        <v>0</v>
      </c>
      <c r="BC104" s="54">
        <v>0.01</v>
      </c>
      <c r="BD104" s="82">
        <v>0</v>
      </c>
      <c r="BE104" s="82">
        <v>0</v>
      </c>
      <c r="BF104" s="54">
        <v>0.01</v>
      </c>
      <c r="BG104" s="82">
        <v>0</v>
      </c>
      <c r="BH104" s="82">
        <v>0</v>
      </c>
      <c r="BI104" s="54">
        <v>0.03</v>
      </c>
      <c r="BJ104" s="54">
        <v>0.03</v>
      </c>
      <c r="BK104" s="51">
        <v>5.0000000000000001E-3</v>
      </c>
      <c r="BL104" s="82">
        <v>0</v>
      </c>
      <c r="BM104" s="82">
        <v>0</v>
      </c>
      <c r="BN104" s="82">
        <v>0</v>
      </c>
      <c r="BO104" s="54">
        <v>0</v>
      </c>
      <c r="BP104" s="56">
        <v>15</v>
      </c>
      <c r="BQ104" s="56">
        <v>24</v>
      </c>
      <c r="BR104" s="56">
        <v>35</v>
      </c>
      <c r="BS104" s="56">
        <v>35</v>
      </c>
      <c r="BT104" s="56">
        <v>47</v>
      </c>
      <c r="BU104" s="56">
        <v>9</v>
      </c>
      <c r="BV104" s="56">
        <v>18</v>
      </c>
      <c r="BW104" s="56">
        <v>26</v>
      </c>
      <c r="BX104" s="56">
        <v>25</v>
      </c>
      <c r="BY104" s="56">
        <v>23</v>
      </c>
      <c r="BZ104" s="56">
        <v>134</v>
      </c>
      <c r="CA104" s="56">
        <v>16</v>
      </c>
      <c r="CB104" s="56">
        <v>28</v>
      </c>
      <c r="CC104" s="56">
        <v>54</v>
      </c>
      <c r="CD104" s="56">
        <v>161</v>
      </c>
      <c r="CE104" s="56">
        <v>41</v>
      </c>
      <c r="CF104" s="56">
        <v>31</v>
      </c>
      <c r="CG104" s="56">
        <v>29</v>
      </c>
      <c r="CH104" s="81">
        <v>0</v>
      </c>
      <c r="CI104" s="81">
        <v>0</v>
      </c>
      <c r="CJ104" s="83">
        <v>0</v>
      </c>
      <c r="CK104" s="81">
        <v>0</v>
      </c>
      <c r="CL104" s="81">
        <v>0</v>
      </c>
      <c r="CM104" s="83">
        <v>0</v>
      </c>
      <c r="CN104">
        <f t="shared" si="2364"/>
        <v>2.8</v>
      </c>
      <c r="CO104">
        <f t="shared" si="2365"/>
        <v>12.1</v>
      </c>
      <c r="CP104">
        <f t="shared" si="2366"/>
        <v>0.1</v>
      </c>
      <c r="CQ104">
        <f t="shared" si="2367"/>
        <v>0</v>
      </c>
      <c r="CR104">
        <f t="shared" si="2368"/>
        <v>0.1</v>
      </c>
      <c r="CS104">
        <f t="shared" si="2369"/>
        <v>0.01</v>
      </c>
      <c r="CT104">
        <f t="shared" si="2370"/>
        <v>0</v>
      </c>
      <c r="CU104">
        <f t="shared" si="2371"/>
        <v>0.01</v>
      </c>
      <c r="CV104">
        <f t="shared" si="2372"/>
        <v>0</v>
      </c>
      <c r="CW104">
        <f t="shared" si="2373"/>
        <v>0.56999999999999995</v>
      </c>
      <c r="CX104">
        <f t="shared" si="2374"/>
        <v>0</v>
      </c>
      <c r="CY104">
        <f t="shared" si="2375"/>
        <v>0.56999999999999995</v>
      </c>
      <c r="CZ104">
        <f t="shared" si="2376"/>
        <v>0.11</v>
      </c>
      <c r="DA104">
        <f t="shared" si="2377"/>
        <v>0</v>
      </c>
      <c r="DB104">
        <f t="shared" si="2378"/>
        <v>9.2100000000000009</v>
      </c>
      <c r="DC104">
        <f t="shared" si="2379"/>
        <v>0.04</v>
      </c>
      <c r="DD104">
        <f t="shared" si="2380"/>
        <v>2.5</v>
      </c>
      <c r="DE104">
        <f t="shared" si="2381"/>
        <v>1</v>
      </c>
      <c r="DF104">
        <f t="shared" si="2382"/>
        <v>14</v>
      </c>
      <c r="DG104">
        <f t="shared" si="2383"/>
        <v>3.5</v>
      </c>
      <c r="DH104">
        <f t="shared" si="2384"/>
        <v>0.03</v>
      </c>
      <c r="DI104">
        <f t="shared" si="2385"/>
        <v>0</v>
      </c>
      <c r="DJ104">
        <f t="shared" si="2386"/>
        <v>0</v>
      </c>
      <c r="DK104">
        <f t="shared" si="2387"/>
        <v>0</v>
      </c>
      <c r="DL104">
        <f t="shared" si="2388"/>
        <v>0</v>
      </c>
      <c r="DM104">
        <f t="shared" si="2389"/>
        <v>0</v>
      </c>
      <c r="DN104">
        <f t="shared" si="2390"/>
        <v>0</v>
      </c>
      <c r="DO104">
        <f t="shared" si="2391"/>
        <v>0</v>
      </c>
      <c r="DP104">
        <f t="shared" si="2392"/>
        <v>2E-3</v>
      </c>
      <c r="DQ104">
        <f t="shared" si="2393"/>
        <v>3.0000000000000001E-3</v>
      </c>
      <c r="DR104">
        <f t="shared" si="2394"/>
        <v>0.5</v>
      </c>
      <c r="DS104">
        <f t="shared" si="2395"/>
        <v>0.05</v>
      </c>
      <c r="DT104">
        <f t="shared" si="2396"/>
        <v>1.4000000000000002E-2</v>
      </c>
      <c r="DU104">
        <f t="shared" si="2397"/>
        <v>1.2</v>
      </c>
      <c r="DV104">
        <f t="shared" si="2398"/>
        <v>0</v>
      </c>
      <c r="DW104">
        <f t="shared" si="2399"/>
        <v>0</v>
      </c>
      <c r="DX104">
        <f t="shared" si="2400"/>
        <v>0</v>
      </c>
      <c r="DY104">
        <f t="shared" si="2401"/>
        <v>0</v>
      </c>
      <c r="DZ104">
        <f t="shared" si="2402"/>
        <v>0</v>
      </c>
      <c r="EA104">
        <f t="shared" si="2403"/>
        <v>0</v>
      </c>
      <c r="EB104">
        <f t="shared" si="2404"/>
        <v>2.2000000000000002E-2</v>
      </c>
      <c r="EC104">
        <f t="shared" si="2405"/>
        <v>0</v>
      </c>
      <c r="ED104">
        <f t="shared" si="2406"/>
        <v>0</v>
      </c>
      <c r="EE104">
        <f t="shared" si="2407"/>
        <v>2E-3</v>
      </c>
      <c r="EF104">
        <f t="shared" si="2408"/>
        <v>0</v>
      </c>
      <c r="EG104">
        <f t="shared" si="2409"/>
        <v>0</v>
      </c>
      <c r="EH104">
        <f t="shared" si="2410"/>
        <v>0</v>
      </c>
      <c r="EI104">
        <f t="shared" si="2411"/>
        <v>0</v>
      </c>
      <c r="EJ104">
        <f t="shared" si="2412"/>
        <v>0</v>
      </c>
      <c r="EK104">
        <f t="shared" si="2413"/>
        <v>0</v>
      </c>
      <c r="EL104">
        <f t="shared" si="2414"/>
        <v>0</v>
      </c>
      <c r="EM104">
        <f t="shared" si="2415"/>
        <v>1E-3</v>
      </c>
      <c r="EN104">
        <f t="shared" si="2416"/>
        <v>0</v>
      </c>
      <c r="EO104">
        <f t="shared" si="2417"/>
        <v>0</v>
      </c>
      <c r="EP104">
        <f t="shared" si="2418"/>
        <v>1E-3</v>
      </c>
      <c r="EQ104">
        <f t="shared" si="2419"/>
        <v>0</v>
      </c>
      <c r="ER104">
        <f t="shared" si="2420"/>
        <v>0</v>
      </c>
      <c r="ES104">
        <f t="shared" si="2421"/>
        <v>3.0000000000000001E-3</v>
      </c>
      <c r="ET104">
        <f t="shared" si="2422"/>
        <v>3.0000000000000001E-3</v>
      </c>
      <c r="EU104">
        <f t="shared" si="2423"/>
        <v>5.0000000000000001E-4</v>
      </c>
      <c r="EV104">
        <f t="shared" si="2424"/>
        <v>0</v>
      </c>
      <c r="EW104">
        <f t="shared" si="2425"/>
        <v>0</v>
      </c>
      <c r="EX104">
        <f t="shared" si="2426"/>
        <v>0</v>
      </c>
      <c r="EY104">
        <f t="shared" si="2427"/>
        <v>0</v>
      </c>
      <c r="EZ104">
        <f t="shared" si="2428"/>
        <v>1.5</v>
      </c>
      <c r="FA104">
        <f t="shared" si="2429"/>
        <v>2.4</v>
      </c>
      <c r="FB104">
        <f t="shared" si="2430"/>
        <v>3.5</v>
      </c>
      <c r="FC104">
        <f t="shared" si="2431"/>
        <v>3.5</v>
      </c>
      <c r="FD104">
        <f t="shared" si="2432"/>
        <v>4.7</v>
      </c>
      <c r="FE104">
        <f t="shared" si="2433"/>
        <v>0.9</v>
      </c>
      <c r="FF104">
        <f t="shared" si="2434"/>
        <v>1.8</v>
      </c>
      <c r="FG104">
        <f t="shared" si="2435"/>
        <v>2.6</v>
      </c>
      <c r="FH104">
        <f t="shared" si="2436"/>
        <v>2.5</v>
      </c>
      <c r="FI104">
        <f t="shared" si="2437"/>
        <v>2.2999999999999998</v>
      </c>
      <c r="FJ104">
        <f t="shared" si="2438"/>
        <v>13.4</v>
      </c>
      <c r="FK104">
        <f t="shared" si="2439"/>
        <v>1.6</v>
      </c>
      <c r="FL104">
        <f t="shared" si="2440"/>
        <v>2.8</v>
      </c>
      <c r="FM104">
        <f t="shared" si="2441"/>
        <v>5.4</v>
      </c>
      <c r="FN104">
        <f t="shared" si="2442"/>
        <v>16.100000000000001</v>
      </c>
      <c r="FO104">
        <f t="shared" si="2443"/>
        <v>4.0999999999999996</v>
      </c>
      <c r="FP104">
        <f t="shared" si="2444"/>
        <v>3.1</v>
      </c>
      <c r="FQ104">
        <f t="shared" si="2445"/>
        <v>2.9</v>
      </c>
      <c r="FR104">
        <f t="shared" si="2446"/>
        <v>0</v>
      </c>
      <c r="FS104">
        <f t="shared" si="2447"/>
        <v>0</v>
      </c>
      <c r="FT104">
        <f t="shared" si="2448"/>
        <v>0</v>
      </c>
      <c r="FU104">
        <f t="shared" si="2449"/>
        <v>0</v>
      </c>
      <c r="FV104">
        <f t="shared" si="2450"/>
        <v>0</v>
      </c>
      <c r="FW104">
        <f t="shared" si="2451"/>
        <v>0</v>
      </c>
    </row>
    <row r="105" spans="1:179" x14ac:dyDescent="0.35">
      <c r="B105" s="36" t="s">
        <v>450</v>
      </c>
      <c r="C105">
        <v>0.5</v>
      </c>
      <c r="D105" s="54">
        <v>419</v>
      </c>
      <c r="E105" s="54">
        <v>1751</v>
      </c>
      <c r="F105" s="54">
        <v>17.8</v>
      </c>
      <c r="G105" s="54">
        <v>0</v>
      </c>
      <c r="H105" s="54">
        <v>17.8</v>
      </c>
      <c r="I105" s="54">
        <v>22.3</v>
      </c>
      <c r="J105" s="54">
        <v>0</v>
      </c>
      <c r="K105" s="54">
        <v>22.3</v>
      </c>
      <c r="L105" s="54">
        <v>0</v>
      </c>
      <c r="M105" s="54">
        <v>33.700000000000003</v>
      </c>
      <c r="N105" s="54">
        <v>0</v>
      </c>
      <c r="O105" s="54">
        <v>33.700000000000003</v>
      </c>
      <c r="P105" s="54">
        <v>10.5</v>
      </c>
      <c r="Q105" s="54">
        <v>0</v>
      </c>
      <c r="R105" s="54">
        <v>8.1</v>
      </c>
      <c r="S105" s="54">
        <v>66.400000000000006</v>
      </c>
      <c r="T105" s="54">
        <v>931</v>
      </c>
      <c r="U105" s="54">
        <v>168</v>
      </c>
      <c r="V105" s="54">
        <v>1788</v>
      </c>
      <c r="W105" s="54">
        <v>499</v>
      </c>
      <c r="X105" s="54">
        <v>4.8</v>
      </c>
      <c r="Y105" s="81">
        <v>0</v>
      </c>
      <c r="Z105" s="81">
        <v>0</v>
      </c>
      <c r="AA105" s="81">
        <v>0</v>
      </c>
      <c r="AB105" s="81">
        <v>0</v>
      </c>
      <c r="AC105" s="81">
        <v>0</v>
      </c>
      <c r="AD105" s="81">
        <v>0</v>
      </c>
      <c r="AE105" s="54">
        <v>0</v>
      </c>
      <c r="AF105" s="54">
        <v>0.63</v>
      </c>
      <c r="AG105" s="54">
        <v>0.33</v>
      </c>
      <c r="AH105" s="54">
        <v>7.71</v>
      </c>
      <c r="AI105" s="54">
        <v>4.5789999999999997</v>
      </c>
      <c r="AJ105" s="54">
        <v>0.44</v>
      </c>
      <c r="AK105" s="54">
        <v>0</v>
      </c>
      <c r="AL105" s="81">
        <v>0</v>
      </c>
      <c r="AM105" s="81">
        <v>0</v>
      </c>
      <c r="AN105" s="81">
        <v>0</v>
      </c>
      <c r="AO105" s="54">
        <v>127</v>
      </c>
      <c r="AP105" s="54">
        <v>0</v>
      </c>
      <c r="AQ105" s="54">
        <v>762</v>
      </c>
      <c r="AR105" s="54">
        <v>2.72</v>
      </c>
      <c r="AS105" s="54">
        <v>0</v>
      </c>
      <c r="AT105" s="81">
        <v>0</v>
      </c>
      <c r="AU105" s="54">
        <v>0.72</v>
      </c>
      <c r="AV105" s="81">
        <v>0</v>
      </c>
      <c r="AW105" s="81">
        <v>0</v>
      </c>
      <c r="AX105" s="81">
        <v>0</v>
      </c>
      <c r="AY105" s="81">
        <v>0</v>
      </c>
      <c r="AZ105" s="81">
        <v>0</v>
      </c>
      <c r="BA105" s="81">
        <v>0</v>
      </c>
      <c r="BB105" s="81">
        <v>0</v>
      </c>
      <c r="BC105" s="54">
        <v>14.86</v>
      </c>
      <c r="BD105" s="82">
        <v>0</v>
      </c>
      <c r="BE105" s="82">
        <v>0</v>
      </c>
      <c r="BF105" s="54">
        <v>14.86</v>
      </c>
      <c r="BG105" s="82">
        <v>0</v>
      </c>
      <c r="BH105" s="82">
        <v>0</v>
      </c>
      <c r="BI105" s="54">
        <v>2.5299999999999998</v>
      </c>
      <c r="BJ105" s="54">
        <v>2.5299999999999998</v>
      </c>
      <c r="BK105" s="54">
        <v>0</v>
      </c>
      <c r="BL105" s="82">
        <v>0</v>
      </c>
      <c r="BM105" s="82">
        <v>0</v>
      </c>
      <c r="BN105" s="82">
        <v>0</v>
      </c>
      <c r="BO105" s="54">
        <v>0</v>
      </c>
      <c r="BP105" s="56">
        <v>285</v>
      </c>
      <c r="BQ105" s="56">
        <v>678</v>
      </c>
      <c r="BR105" s="56">
        <v>783</v>
      </c>
      <c r="BS105" s="56">
        <v>1122</v>
      </c>
      <c r="BT105" s="56">
        <v>854</v>
      </c>
      <c r="BU105" s="56">
        <v>339</v>
      </c>
      <c r="BV105" s="56">
        <v>250</v>
      </c>
      <c r="BW105" s="56">
        <v>729</v>
      </c>
      <c r="BX105" s="56">
        <v>462</v>
      </c>
      <c r="BY105" s="56">
        <v>1031</v>
      </c>
      <c r="BZ105" s="56">
        <v>766</v>
      </c>
      <c r="CA105" s="56">
        <v>373</v>
      </c>
      <c r="CB105" s="56">
        <v>889</v>
      </c>
      <c r="CC105" s="56">
        <v>2065</v>
      </c>
      <c r="CD105" s="56">
        <v>3330</v>
      </c>
      <c r="CE105" s="56">
        <v>1247</v>
      </c>
      <c r="CF105" s="56">
        <v>1014</v>
      </c>
      <c r="CG105" s="56">
        <v>1014</v>
      </c>
      <c r="CH105" s="81">
        <v>0</v>
      </c>
      <c r="CI105" s="81">
        <v>0</v>
      </c>
      <c r="CJ105" s="83">
        <v>0</v>
      </c>
      <c r="CK105" s="81">
        <v>0</v>
      </c>
      <c r="CL105" s="81">
        <v>0</v>
      </c>
      <c r="CM105" s="83">
        <v>0</v>
      </c>
      <c r="CN105">
        <f t="shared" si="2364"/>
        <v>2.0950000000000002</v>
      </c>
      <c r="CO105">
        <f t="shared" si="2365"/>
        <v>8.7550000000000008</v>
      </c>
      <c r="CP105">
        <f t="shared" si="2366"/>
        <v>8.900000000000001E-2</v>
      </c>
      <c r="CQ105">
        <f t="shared" si="2367"/>
        <v>0</v>
      </c>
      <c r="CR105">
        <f t="shared" si="2368"/>
        <v>8.900000000000001E-2</v>
      </c>
      <c r="CS105">
        <f t="shared" si="2369"/>
        <v>0.1115</v>
      </c>
      <c r="CT105">
        <f t="shared" si="2370"/>
        <v>0</v>
      </c>
      <c r="CU105">
        <f t="shared" si="2371"/>
        <v>0.1115</v>
      </c>
      <c r="CV105">
        <f t="shared" si="2372"/>
        <v>0</v>
      </c>
      <c r="CW105">
        <f t="shared" si="2373"/>
        <v>0.16850000000000001</v>
      </c>
      <c r="CX105">
        <f t="shared" si="2374"/>
        <v>0</v>
      </c>
      <c r="CY105">
        <f t="shared" si="2375"/>
        <v>0.16850000000000001</v>
      </c>
      <c r="CZ105">
        <f t="shared" si="2376"/>
        <v>5.2499999999999998E-2</v>
      </c>
      <c r="DA105">
        <f t="shared" si="2377"/>
        <v>0</v>
      </c>
      <c r="DB105">
        <f t="shared" si="2378"/>
        <v>4.0500000000000001E-2</v>
      </c>
      <c r="DC105">
        <f t="shared" si="2379"/>
        <v>0.33200000000000002</v>
      </c>
      <c r="DD105">
        <f t="shared" si="2380"/>
        <v>4.6550000000000002</v>
      </c>
      <c r="DE105">
        <f t="shared" si="2381"/>
        <v>0.84</v>
      </c>
      <c r="DF105">
        <f t="shared" si="2382"/>
        <v>8.94</v>
      </c>
      <c r="DG105">
        <f t="shared" si="2383"/>
        <v>2.4950000000000001</v>
      </c>
      <c r="DH105">
        <f t="shared" si="2384"/>
        <v>2.4E-2</v>
      </c>
      <c r="DI105">
        <f t="shared" si="2385"/>
        <v>0</v>
      </c>
      <c r="DJ105">
        <f t="shared" si="2386"/>
        <v>0</v>
      </c>
      <c r="DK105">
        <f t="shared" si="2387"/>
        <v>0</v>
      </c>
      <c r="DL105">
        <f t="shared" si="2388"/>
        <v>0</v>
      </c>
      <c r="DM105">
        <f t="shared" si="2389"/>
        <v>0</v>
      </c>
      <c r="DN105">
        <f t="shared" si="2390"/>
        <v>0</v>
      </c>
      <c r="DO105">
        <f t="shared" si="2391"/>
        <v>0</v>
      </c>
      <c r="DP105">
        <f t="shared" si="2392"/>
        <v>3.15E-3</v>
      </c>
      <c r="DQ105">
        <f t="shared" si="2393"/>
        <v>1.65E-3</v>
      </c>
      <c r="DR105">
        <f t="shared" si="2394"/>
        <v>3.8550000000000001E-2</v>
      </c>
      <c r="DS105">
        <f t="shared" si="2395"/>
        <v>2.2894999999999999E-2</v>
      </c>
      <c r="DT105">
        <f t="shared" si="2396"/>
        <v>2.2000000000000001E-3</v>
      </c>
      <c r="DU105">
        <f t="shared" si="2397"/>
        <v>0</v>
      </c>
      <c r="DV105">
        <f t="shared" si="2398"/>
        <v>0</v>
      </c>
      <c r="DW105">
        <f t="shared" si="2399"/>
        <v>0</v>
      </c>
      <c r="DX105">
        <f t="shared" si="2400"/>
        <v>0</v>
      </c>
      <c r="DY105">
        <f t="shared" si="2401"/>
        <v>0.63500000000000001</v>
      </c>
      <c r="DZ105">
        <f t="shared" si="2402"/>
        <v>0</v>
      </c>
      <c r="EA105">
        <f t="shared" si="2403"/>
        <v>3.81</v>
      </c>
      <c r="EB105">
        <f t="shared" si="2404"/>
        <v>1.3600000000000001E-2</v>
      </c>
      <c r="EC105">
        <f t="shared" si="2405"/>
        <v>0</v>
      </c>
      <c r="ED105">
        <f t="shared" si="2406"/>
        <v>0</v>
      </c>
      <c r="EE105">
        <f t="shared" si="2407"/>
        <v>3.5999999999999999E-3</v>
      </c>
      <c r="EF105">
        <f t="shared" si="2408"/>
        <v>0</v>
      </c>
      <c r="EG105">
        <f t="shared" si="2409"/>
        <v>0</v>
      </c>
      <c r="EH105">
        <f t="shared" si="2410"/>
        <v>0</v>
      </c>
      <c r="EI105">
        <f t="shared" si="2411"/>
        <v>0</v>
      </c>
      <c r="EJ105">
        <f t="shared" si="2412"/>
        <v>0</v>
      </c>
      <c r="EK105">
        <f t="shared" si="2413"/>
        <v>0</v>
      </c>
      <c r="EL105">
        <f t="shared" si="2414"/>
        <v>0</v>
      </c>
      <c r="EM105">
        <f t="shared" si="2415"/>
        <v>7.4299999999999991E-2</v>
      </c>
      <c r="EN105">
        <f t="shared" si="2416"/>
        <v>0</v>
      </c>
      <c r="EO105">
        <f t="shared" si="2417"/>
        <v>0</v>
      </c>
      <c r="EP105">
        <f t="shared" si="2418"/>
        <v>7.4299999999999991E-2</v>
      </c>
      <c r="EQ105">
        <f t="shared" si="2419"/>
        <v>0</v>
      </c>
      <c r="ER105">
        <f t="shared" si="2420"/>
        <v>0</v>
      </c>
      <c r="ES105">
        <f t="shared" si="2421"/>
        <v>1.265E-2</v>
      </c>
      <c r="ET105">
        <f t="shared" si="2422"/>
        <v>1.265E-2</v>
      </c>
      <c r="EU105">
        <f t="shared" si="2423"/>
        <v>0</v>
      </c>
      <c r="EV105">
        <f t="shared" si="2424"/>
        <v>0</v>
      </c>
      <c r="EW105">
        <f t="shared" si="2425"/>
        <v>0</v>
      </c>
      <c r="EX105">
        <f t="shared" si="2426"/>
        <v>0</v>
      </c>
      <c r="EY105">
        <f t="shared" si="2427"/>
        <v>0</v>
      </c>
      <c r="EZ105">
        <f t="shared" si="2428"/>
        <v>1.425</v>
      </c>
      <c r="FA105">
        <f t="shared" si="2429"/>
        <v>3.39</v>
      </c>
      <c r="FB105">
        <f t="shared" si="2430"/>
        <v>3.915</v>
      </c>
      <c r="FC105">
        <f t="shared" si="2431"/>
        <v>5.61</v>
      </c>
      <c r="FD105">
        <f t="shared" si="2432"/>
        <v>4.2699999999999996</v>
      </c>
      <c r="FE105">
        <f t="shared" si="2433"/>
        <v>1.6950000000000001</v>
      </c>
      <c r="FF105">
        <f t="shared" si="2434"/>
        <v>1.25</v>
      </c>
      <c r="FG105">
        <f t="shared" si="2435"/>
        <v>3.645</v>
      </c>
      <c r="FH105">
        <f t="shared" si="2436"/>
        <v>2.31</v>
      </c>
      <c r="FI105">
        <f t="shared" si="2437"/>
        <v>5.1550000000000002</v>
      </c>
      <c r="FJ105">
        <f t="shared" si="2438"/>
        <v>3.83</v>
      </c>
      <c r="FK105">
        <f t="shared" si="2439"/>
        <v>1.865</v>
      </c>
      <c r="FL105">
        <f t="shared" si="2440"/>
        <v>4.4450000000000003</v>
      </c>
      <c r="FM105">
        <f t="shared" si="2441"/>
        <v>10.324999999999999</v>
      </c>
      <c r="FN105">
        <f t="shared" si="2442"/>
        <v>16.649999999999999</v>
      </c>
      <c r="FO105">
        <f t="shared" si="2443"/>
        <v>6.2350000000000003</v>
      </c>
      <c r="FP105">
        <f t="shared" si="2444"/>
        <v>5.07</v>
      </c>
      <c r="FQ105">
        <f t="shared" si="2445"/>
        <v>5.07</v>
      </c>
      <c r="FR105">
        <f t="shared" si="2446"/>
        <v>0</v>
      </c>
      <c r="FS105">
        <f t="shared" si="2447"/>
        <v>0</v>
      </c>
      <c r="FT105">
        <f t="shared" si="2448"/>
        <v>0</v>
      </c>
      <c r="FU105">
        <f t="shared" si="2449"/>
        <v>0</v>
      </c>
      <c r="FV105">
        <f t="shared" si="2450"/>
        <v>0</v>
      </c>
      <c r="FW105">
        <f t="shared" si="2451"/>
        <v>0</v>
      </c>
    </row>
    <row r="106" spans="1:179" x14ac:dyDescent="0.35">
      <c r="B106" s="72" t="s">
        <v>237</v>
      </c>
      <c r="C106">
        <v>1</v>
      </c>
      <c r="D106" s="6">
        <v>380</v>
      </c>
      <c r="E106" s="6">
        <v>1622</v>
      </c>
      <c r="F106" s="6">
        <v>0.1</v>
      </c>
      <c r="G106" s="6">
        <v>0</v>
      </c>
      <c r="H106" s="6">
        <v>0.1</v>
      </c>
      <c r="I106" s="6">
        <v>0</v>
      </c>
      <c r="J106" s="6">
        <v>0</v>
      </c>
      <c r="K106" s="6">
        <v>0</v>
      </c>
      <c r="L106" s="6">
        <v>0</v>
      </c>
      <c r="M106" s="6">
        <v>101.3</v>
      </c>
      <c r="N106" s="6">
        <v>0</v>
      </c>
      <c r="O106" s="6">
        <v>101.3</v>
      </c>
      <c r="P106" s="6">
        <v>0</v>
      </c>
      <c r="Q106" s="6">
        <v>0</v>
      </c>
      <c r="R106" s="51">
        <v>0.05</v>
      </c>
      <c r="S106" s="6">
        <v>1.7</v>
      </c>
      <c r="T106" s="6">
        <v>56</v>
      </c>
      <c r="U106" s="6">
        <v>31</v>
      </c>
      <c r="V106" s="6">
        <v>140</v>
      </c>
      <c r="W106" s="6">
        <v>4</v>
      </c>
      <c r="X106" s="6">
        <v>0.1</v>
      </c>
      <c r="Y106" s="6">
        <v>17</v>
      </c>
      <c r="Z106" s="6">
        <v>0.06</v>
      </c>
      <c r="AA106" s="51">
        <v>0.05</v>
      </c>
      <c r="AB106" s="6">
        <v>0</v>
      </c>
      <c r="AC106" s="51">
        <v>0.5</v>
      </c>
      <c r="AD106" s="51">
        <v>5.0000000000000001E-3</v>
      </c>
      <c r="AE106" s="6">
        <v>0</v>
      </c>
      <c r="AF106" s="51">
        <v>5.0000000000000001E-3</v>
      </c>
      <c r="AG106" s="51">
        <v>5.0000000000000001E-3</v>
      </c>
      <c r="AH106" s="6">
        <v>0</v>
      </c>
      <c r="AI106" s="51">
        <v>5.0000000000000001E-3</v>
      </c>
      <c r="AJ106" s="51">
        <v>5.0000000000000001E-3</v>
      </c>
      <c r="AK106" s="51">
        <v>0.5</v>
      </c>
      <c r="AL106" s="51">
        <v>5.0000000000000001E-3</v>
      </c>
      <c r="AM106" s="51">
        <v>0.05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74">
        <v>0.5</v>
      </c>
      <c r="BQ106" s="74">
        <v>0.5</v>
      </c>
      <c r="BR106" s="74">
        <v>0.5</v>
      </c>
      <c r="BS106" s="74">
        <v>0.5</v>
      </c>
      <c r="BT106" s="74">
        <v>0.5</v>
      </c>
      <c r="BU106" s="74">
        <v>0.5</v>
      </c>
      <c r="BV106" s="74">
        <v>0.5</v>
      </c>
      <c r="BW106" s="74">
        <v>0.5</v>
      </c>
      <c r="BX106" s="74">
        <v>0.5</v>
      </c>
      <c r="BY106" s="74">
        <v>0.5</v>
      </c>
      <c r="BZ106" s="74">
        <v>0.5</v>
      </c>
      <c r="CA106" s="74">
        <v>0.5</v>
      </c>
      <c r="CB106" s="74">
        <v>0.5</v>
      </c>
      <c r="CC106" s="74">
        <v>0.5</v>
      </c>
      <c r="CD106" s="74">
        <v>0.5</v>
      </c>
      <c r="CE106" s="74">
        <v>0.5</v>
      </c>
      <c r="CF106" s="74">
        <v>0.5</v>
      </c>
      <c r="CG106" s="74">
        <v>0.5</v>
      </c>
      <c r="CH106" s="6">
        <v>0</v>
      </c>
      <c r="CI106" s="6">
        <v>0</v>
      </c>
      <c r="CJ106" s="6">
        <v>0</v>
      </c>
      <c r="CK106" s="6">
        <v>101.3</v>
      </c>
      <c r="CL106" s="6">
        <v>0</v>
      </c>
      <c r="CM106" s="6">
        <v>0</v>
      </c>
      <c r="CN106">
        <f t="shared" si="2364"/>
        <v>3.8</v>
      </c>
      <c r="CO106">
        <f t="shared" si="2365"/>
        <v>16.22</v>
      </c>
      <c r="CP106">
        <f t="shared" si="2366"/>
        <v>1E-3</v>
      </c>
      <c r="CQ106">
        <f t="shared" si="2367"/>
        <v>0</v>
      </c>
      <c r="CR106">
        <f t="shared" si="2368"/>
        <v>1E-3</v>
      </c>
      <c r="CS106">
        <f t="shared" si="2369"/>
        <v>0</v>
      </c>
      <c r="CT106">
        <f t="shared" si="2370"/>
        <v>0</v>
      </c>
      <c r="CU106">
        <f t="shared" si="2371"/>
        <v>0</v>
      </c>
      <c r="CV106">
        <f t="shared" si="2372"/>
        <v>0</v>
      </c>
      <c r="CW106">
        <f t="shared" si="2373"/>
        <v>1.0129999999999999</v>
      </c>
      <c r="CX106">
        <f t="shared" si="2374"/>
        <v>0</v>
      </c>
      <c r="CY106">
        <f t="shared" si="2375"/>
        <v>1.0129999999999999</v>
      </c>
      <c r="CZ106">
        <f t="shared" si="2376"/>
        <v>0</v>
      </c>
      <c r="DA106">
        <f t="shared" si="2377"/>
        <v>0</v>
      </c>
      <c r="DB106">
        <f t="shared" si="2378"/>
        <v>5.0000000000000001E-4</v>
      </c>
      <c r="DC106">
        <f t="shared" si="2379"/>
        <v>1.7000000000000001E-2</v>
      </c>
      <c r="DD106">
        <f t="shared" si="2380"/>
        <v>0.56000000000000005</v>
      </c>
      <c r="DE106">
        <f t="shared" si="2381"/>
        <v>0.31</v>
      </c>
      <c r="DF106">
        <f t="shared" si="2382"/>
        <v>1.4</v>
      </c>
      <c r="DG106">
        <f t="shared" si="2383"/>
        <v>0.04</v>
      </c>
      <c r="DH106">
        <f t="shared" si="2384"/>
        <v>1E-3</v>
      </c>
      <c r="DI106">
        <f t="shared" si="2385"/>
        <v>0.17</v>
      </c>
      <c r="DJ106">
        <f t="shared" si="2386"/>
        <v>5.9999999999999995E-4</v>
      </c>
      <c r="DK106">
        <f t="shared" si="2387"/>
        <v>5.0000000000000001E-4</v>
      </c>
      <c r="DL106">
        <f t="shared" si="2388"/>
        <v>0</v>
      </c>
      <c r="DM106">
        <f t="shared" si="2389"/>
        <v>5.0000000000000001E-3</v>
      </c>
      <c r="DN106">
        <f t="shared" si="2390"/>
        <v>5.0000000000000002E-5</v>
      </c>
      <c r="DO106">
        <f t="shared" si="2391"/>
        <v>0</v>
      </c>
      <c r="DP106">
        <f t="shared" si="2392"/>
        <v>5.0000000000000002E-5</v>
      </c>
      <c r="DQ106">
        <f t="shared" si="2393"/>
        <v>5.0000000000000002E-5</v>
      </c>
      <c r="DR106">
        <f t="shared" si="2394"/>
        <v>0</v>
      </c>
      <c r="DS106">
        <f t="shared" si="2395"/>
        <v>5.0000000000000002E-5</v>
      </c>
      <c r="DT106">
        <f t="shared" si="2396"/>
        <v>5.0000000000000002E-5</v>
      </c>
      <c r="DU106">
        <f t="shared" si="2397"/>
        <v>5.0000000000000001E-3</v>
      </c>
      <c r="DV106">
        <f t="shared" si="2398"/>
        <v>5.0000000000000002E-5</v>
      </c>
      <c r="DW106">
        <f t="shared" si="2399"/>
        <v>5.0000000000000001E-4</v>
      </c>
      <c r="DX106">
        <f t="shared" si="2400"/>
        <v>0</v>
      </c>
      <c r="DY106">
        <f t="shared" si="2401"/>
        <v>0</v>
      </c>
      <c r="DZ106">
        <f t="shared" si="2402"/>
        <v>0</v>
      </c>
      <c r="EA106">
        <f t="shared" si="2403"/>
        <v>0</v>
      </c>
      <c r="EB106">
        <f t="shared" si="2404"/>
        <v>0</v>
      </c>
      <c r="EC106">
        <f t="shared" si="2405"/>
        <v>0</v>
      </c>
      <c r="ED106">
        <f t="shared" si="2406"/>
        <v>0</v>
      </c>
      <c r="EE106">
        <f t="shared" si="2407"/>
        <v>0</v>
      </c>
      <c r="EF106">
        <f t="shared" si="2408"/>
        <v>0</v>
      </c>
      <c r="EG106">
        <f t="shared" si="2409"/>
        <v>0</v>
      </c>
      <c r="EH106">
        <f t="shared" si="2410"/>
        <v>0</v>
      </c>
      <c r="EI106">
        <f t="shared" si="2411"/>
        <v>0</v>
      </c>
      <c r="EJ106">
        <f t="shared" si="2412"/>
        <v>0</v>
      </c>
      <c r="EK106">
        <f t="shared" si="2413"/>
        <v>0</v>
      </c>
      <c r="EL106">
        <f t="shared" si="2414"/>
        <v>0</v>
      </c>
      <c r="EM106">
        <f t="shared" si="2415"/>
        <v>0</v>
      </c>
      <c r="EN106">
        <f t="shared" si="2416"/>
        <v>0</v>
      </c>
      <c r="EO106">
        <f t="shared" si="2417"/>
        <v>0</v>
      </c>
      <c r="EP106">
        <f t="shared" si="2418"/>
        <v>0</v>
      </c>
      <c r="EQ106">
        <f t="shared" si="2419"/>
        <v>0</v>
      </c>
      <c r="ER106">
        <f t="shared" si="2420"/>
        <v>0</v>
      </c>
      <c r="ES106">
        <f t="shared" si="2421"/>
        <v>0</v>
      </c>
      <c r="ET106">
        <f t="shared" si="2422"/>
        <v>0</v>
      </c>
      <c r="EU106">
        <f t="shared" si="2423"/>
        <v>0</v>
      </c>
      <c r="EV106">
        <f t="shared" si="2424"/>
        <v>0</v>
      </c>
      <c r="EW106">
        <f t="shared" si="2425"/>
        <v>0</v>
      </c>
      <c r="EX106">
        <f t="shared" si="2426"/>
        <v>0</v>
      </c>
      <c r="EY106">
        <f t="shared" si="2427"/>
        <v>0</v>
      </c>
      <c r="EZ106">
        <f t="shared" si="2428"/>
        <v>5.0000000000000001E-3</v>
      </c>
      <c r="FA106">
        <f t="shared" si="2429"/>
        <v>5.0000000000000001E-3</v>
      </c>
      <c r="FB106">
        <f t="shared" si="2430"/>
        <v>5.0000000000000001E-3</v>
      </c>
      <c r="FC106">
        <f t="shared" si="2431"/>
        <v>5.0000000000000001E-3</v>
      </c>
      <c r="FD106">
        <f t="shared" si="2432"/>
        <v>5.0000000000000001E-3</v>
      </c>
      <c r="FE106">
        <f t="shared" si="2433"/>
        <v>5.0000000000000001E-3</v>
      </c>
      <c r="FF106">
        <f t="shared" si="2434"/>
        <v>5.0000000000000001E-3</v>
      </c>
      <c r="FG106">
        <f t="shared" si="2435"/>
        <v>5.0000000000000001E-3</v>
      </c>
      <c r="FH106">
        <f t="shared" si="2436"/>
        <v>5.0000000000000001E-3</v>
      </c>
      <c r="FI106">
        <f t="shared" si="2437"/>
        <v>5.0000000000000001E-3</v>
      </c>
      <c r="FJ106">
        <f t="shared" si="2438"/>
        <v>5.0000000000000001E-3</v>
      </c>
      <c r="FK106">
        <f t="shared" si="2439"/>
        <v>5.0000000000000001E-3</v>
      </c>
      <c r="FL106">
        <f t="shared" si="2440"/>
        <v>5.0000000000000001E-3</v>
      </c>
      <c r="FM106">
        <f t="shared" si="2441"/>
        <v>5.0000000000000001E-3</v>
      </c>
      <c r="FN106">
        <f t="shared" si="2442"/>
        <v>5.0000000000000001E-3</v>
      </c>
      <c r="FO106">
        <f t="shared" si="2443"/>
        <v>5.0000000000000001E-3</v>
      </c>
      <c r="FP106">
        <f t="shared" si="2444"/>
        <v>5.0000000000000001E-3</v>
      </c>
      <c r="FQ106">
        <f t="shared" si="2445"/>
        <v>5.0000000000000001E-3</v>
      </c>
      <c r="FR106">
        <f t="shared" si="2446"/>
        <v>0</v>
      </c>
      <c r="FS106">
        <f t="shared" si="2447"/>
        <v>0</v>
      </c>
      <c r="FT106">
        <f t="shared" si="2448"/>
        <v>0</v>
      </c>
      <c r="FU106">
        <f t="shared" si="2449"/>
        <v>1.0129999999999999</v>
      </c>
      <c r="FV106">
        <f t="shared" si="2450"/>
        <v>0</v>
      </c>
      <c r="FW106">
        <f t="shared" si="2451"/>
        <v>0</v>
      </c>
    </row>
    <row r="107" spans="1:179" x14ac:dyDescent="0.35">
      <c r="B107" s="72" t="s">
        <v>451</v>
      </c>
      <c r="C107">
        <v>25</v>
      </c>
      <c r="D107" s="54">
        <v>58</v>
      </c>
      <c r="E107" s="54">
        <v>243</v>
      </c>
      <c r="F107" s="54">
        <v>4.0999999999999996</v>
      </c>
      <c r="G107" s="54">
        <v>0</v>
      </c>
      <c r="H107" s="54">
        <v>4.0999999999999996</v>
      </c>
      <c r="I107" s="54">
        <v>0.5</v>
      </c>
      <c r="J107" s="54">
        <v>0</v>
      </c>
      <c r="K107" s="54">
        <v>0.5</v>
      </c>
      <c r="L107" s="54">
        <v>0</v>
      </c>
      <c r="M107" s="54">
        <v>6.3</v>
      </c>
      <c r="N107" s="54">
        <v>5.2</v>
      </c>
      <c r="O107" s="54">
        <v>1.1000000000000001</v>
      </c>
      <c r="P107" s="54">
        <v>6.8</v>
      </c>
      <c r="Q107" s="54">
        <v>0</v>
      </c>
      <c r="R107" s="54">
        <v>82</v>
      </c>
      <c r="S107" s="54">
        <v>1.9</v>
      </c>
      <c r="T107" s="54">
        <v>40</v>
      </c>
      <c r="U107" s="54">
        <v>305</v>
      </c>
      <c r="V107" s="54">
        <v>232</v>
      </c>
      <c r="W107" s="54">
        <v>47</v>
      </c>
      <c r="X107" s="54">
        <v>0.6</v>
      </c>
      <c r="Y107" s="81">
        <v>0</v>
      </c>
      <c r="Z107" s="81">
        <v>0</v>
      </c>
      <c r="AA107" s="81">
        <v>0</v>
      </c>
      <c r="AB107" s="81">
        <v>0</v>
      </c>
      <c r="AC107" s="81">
        <v>0</v>
      </c>
      <c r="AD107" s="81">
        <v>0</v>
      </c>
      <c r="AE107" s="81">
        <v>0</v>
      </c>
      <c r="AF107" s="54">
        <v>0.03</v>
      </c>
      <c r="AG107" s="54">
        <v>0.02</v>
      </c>
      <c r="AH107" s="51">
        <v>0.5</v>
      </c>
      <c r="AI107" s="54">
        <v>0.1</v>
      </c>
      <c r="AJ107" s="54">
        <v>0.03</v>
      </c>
      <c r="AK107" s="54">
        <v>8</v>
      </c>
      <c r="AL107" s="81">
        <v>0</v>
      </c>
      <c r="AM107" s="81">
        <v>0</v>
      </c>
      <c r="AN107" s="81">
        <v>0</v>
      </c>
      <c r="AO107" s="51">
        <v>0.5</v>
      </c>
      <c r="AP107" s="54">
        <v>0</v>
      </c>
      <c r="AQ107" s="51">
        <v>0.5</v>
      </c>
      <c r="AR107" s="54">
        <v>0.23</v>
      </c>
      <c r="AS107" s="54">
        <v>0</v>
      </c>
      <c r="AT107" s="81">
        <v>0</v>
      </c>
      <c r="AU107" s="54">
        <v>0.1</v>
      </c>
      <c r="AV107" s="81">
        <v>0</v>
      </c>
      <c r="AW107" s="81">
        <v>0</v>
      </c>
      <c r="AX107" s="81">
        <v>0</v>
      </c>
      <c r="AY107" s="81">
        <v>0</v>
      </c>
      <c r="AZ107" s="81">
        <v>0</v>
      </c>
      <c r="BA107" s="81">
        <v>0</v>
      </c>
      <c r="BB107" s="81">
        <v>0</v>
      </c>
      <c r="BC107" s="54">
        <v>0.04</v>
      </c>
      <c r="BD107" s="82">
        <v>0</v>
      </c>
      <c r="BE107" s="82">
        <v>0</v>
      </c>
      <c r="BF107" s="54">
        <v>0.04</v>
      </c>
      <c r="BG107" s="82">
        <v>0</v>
      </c>
      <c r="BH107" s="82">
        <v>0</v>
      </c>
      <c r="BI107" s="54">
        <v>0.24</v>
      </c>
      <c r="BJ107" s="54">
        <v>0.12</v>
      </c>
      <c r="BK107" s="54">
        <v>0.12</v>
      </c>
      <c r="BL107" s="82">
        <v>0</v>
      </c>
      <c r="BM107" s="82">
        <v>0</v>
      </c>
      <c r="BN107" s="82">
        <v>0</v>
      </c>
      <c r="BO107" s="54">
        <v>0</v>
      </c>
      <c r="BP107" s="56">
        <v>37</v>
      </c>
      <c r="BQ107" s="56">
        <v>160</v>
      </c>
      <c r="BR107" s="56">
        <v>195</v>
      </c>
      <c r="BS107" s="56">
        <v>332</v>
      </c>
      <c r="BT107" s="56">
        <v>280</v>
      </c>
      <c r="BU107" s="56">
        <v>43</v>
      </c>
      <c r="BV107" s="56">
        <v>40</v>
      </c>
      <c r="BW107" s="56">
        <v>234</v>
      </c>
      <c r="BX107" s="56">
        <v>157</v>
      </c>
      <c r="BY107" s="56">
        <v>218</v>
      </c>
      <c r="BZ107" s="56">
        <v>234</v>
      </c>
      <c r="CA107" s="56">
        <v>122</v>
      </c>
      <c r="CB107" s="56">
        <v>171</v>
      </c>
      <c r="CC107" s="56">
        <v>469</v>
      </c>
      <c r="CD107" s="56">
        <v>629</v>
      </c>
      <c r="CE107" s="56">
        <v>162</v>
      </c>
      <c r="CF107" s="56">
        <v>156</v>
      </c>
      <c r="CG107" s="56">
        <v>245</v>
      </c>
      <c r="CH107" s="81">
        <v>0</v>
      </c>
      <c r="CI107" s="81">
        <v>0</v>
      </c>
      <c r="CJ107" s="83">
        <v>0</v>
      </c>
      <c r="CK107" s="81">
        <v>0</v>
      </c>
      <c r="CL107" s="81">
        <v>0</v>
      </c>
      <c r="CM107" s="83">
        <v>0</v>
      </c>
      <c r="CN107">
        <f t="shared" si="2364"/>
        <v>14.5</v>
      </c>
      <c r="CO107">
        <f t="shared" si="2365"/>
        <v>60.75</v>
      </c>
      <c r="CP107">
        <f t="shared" si="2366"/>
        <v>1.0249999999999999</v>
      </c>
      <c r="CQ107">
        <f t="shared" si="2367"/>
        <v>0</v>
      </c>
      <c r="CR107">
        <f t="shared" si="2368"/>
        <v>1.0249999999999999</v>
      </c>
      <c r="CS107">
        <f t="shared" si="2369"/>
        <v>0.125</v>
      </c>
      <c r="CT107">
        <f t="shared" si="2370"/>
        <v>0</v>
      </c>
      <c r="CU107">
        <f t="shared" si="2371"/>
        <v>0.125</v>
      </c>
      <c r="CV107">
        <f t="shared" si="2372"/>
        <v>0</v>
      </c>
      <c r="CW107">
        <f t="shared" si="2373"/>
        <v>1.575</v>
      </c>
      <c r="CX107">
        <f t="shared" si="2374"/>
        <v>1.3</v>
      </c>
      <c r="CY107">
        <f t="shared" si="2375"/>
        <v>0.27500000000000002</v>
      </c>
      <c r="CZ107">
        <f t="shared" si="2376"/>
        <v>1.7</v>
      </c>
      <c r="DA107">
        <f t="shared" si="2377"/>
        <v>0</v>
      </c>
      <c r="DB107">
        <f t="shared" si="2378"/>
        <v>20.5</v>
      </c>
      <c r="DC107">
        <f t="shared" si="2379"/>
        <v>0.47499999999999998</v>
      </c>
      <c r="DD107">
        <f t="shared" si="2380"/>
        <v>10</v>
      </c>
      <c r="DE107">
        <f t="shared" si="2381"/>
        <v>76.25</v>
      </c>
      <c r="DF107">
        <f t="shared" si="2382"/>
        <v>58</v>
      </c>
      <c r="DG107">
        <f t="shared" si="2383"/>
        <v>11.75</v>
      </c>
      <c r="DH107">
        <f t="shared" si="2384"/>
        <v>0.15</v>
      </c>
      <c r="DI107">
        <f t="shared" si="2385"/>
        <v>0</v>
      </c>
      <c r="DJ107">
        <f t="shared" si="2386"/>
        <v>0</v>
      </c>
      <c r="DK107">
        <f t="shared" si="2387"/>
        <v>0</v>
      </c>
      <c r="DL107">
        <f t="shared" si="2388"/>
        <v>0</v>
      </c>
      <c r="DM107">
        <f t="shared" si="2389"/>
        <v>0</v>
      </c>
      <c r="DN107">
        <f t="shared" si="2390"/>
        <v>0</v>
      </c>
      <c r="DO107">
        <f t="shared" si="2391"/>
        <v>0</v>
      </c>
      <c r="DP107">
        <f t="shared" si="2392"/>
        <v>7.4999999999999997E-3</v>
      </c>
      <c r="DQ107">
        <f t="shared" si="2393"/>
        <v>5.0000000000000001E-3</v>
      </c>
      <c r="DR107">
        <f t="shared" si="2394"/>
        <v>0.125</v>
      </c>
      <c r="DS107">
        <f t="shared" si="2395"/>
        <v>2.5000000000000001E-2</v>
      </c>
      <c r="DT107">
        <f t="shared" si="2396"/>
        <v>7.4999999999999997E-3</v>
      </c>
      <c r="DU107">
        <f t="shared" si="2397"/>
        <v>2</v>
      </c>
      <c r="DV107">
        <f t="shared" si="2398"/>
        <v>0</v>
      </c>
      <c r="DW107">
        <f t="shared" si="2399"/>
        <v>0</v>
      </c>
      <c r="DX107">
        <f t="shared" si="2400"/>
        <v>0</v>
      </c>
      <c r="DY107">
        <f t="shared" si="2401"/>
        <v>0.125</v>
      </c>
      <c r="DZ107">
        <f t="shared" si="2402"/>
        <v>0</v>
      </c>
      <c r="EA107">
        <f t="shared" si="2403"/>
        <v>0.125</v>
      </c>
      <c r="EB107">
        <f t="shared" si="2404"/>
        <v>5.7500000000000002E-2</v>
      </c>
      <c r="EC107">
        <f t="shared" si="2405"/>
        <v>0</v>
      </c>
      <c r="ED107">
        <f t="shared" si="2406"/>
        <v>0</v>
      </c>
      <c r="EE107">
        <f t="shared" si="2407"/>
        <v>2.5000000000000001E-2</v>
      </c>
      <c r="EF107">
        <f t="shared" si="2408"/>
        <v>0</v>
      </c>
      <c r="EG107">
        <f t="shared" si="2409"/>
        <v>0</v>
      </c>
      <c r="EH107">
        <f t="shared" si="2410"/>
        <v>0</v>
      </c>
      <c r="EI107">
        <f t="shared" si="2411"/>
        <v>0</v>
      </c>
      <c r="EJ107">
        <f t="shared" si="2412"/>
        <v>0</v>
      </c>
      <c r="EK107">
        <f t="shared" si="2413"/>
        <v>0</v>
      </c>
      <c r="EL107">
        <f t="shared" si="2414"/>
        <v>0</v>
      </c>
      <c r="EM107">
        <f t="shared" si="2415"/>
        <v>0.01</v>
      </c>
      <c r="EN107">
        <f t="shared" si="2416"/>
        <v>0</v>
      </c>
      <c r="EO107">
        <f t="shared" si="2417"/>
        <v>0</v>
      </c>
      <c r="EP107">
        <f t="shared" si="2418"/>
        <v>0.01</v>
      </c>
      <c r="EQ107">
        <f t="shared" si="2419"/>
        <v>0</v>
      </c>
      <c r="ER107">
        <f t="shared" si="2420"/>
        <v>0</v>
      </c>
      <c r="ES107">
        <f t="shared" si="2421"/>
        <v>0.06</v>
      </c>
      <c r="ET107">
        <f t="shared" si="2422"/>
        <v>0.03</v>
      </c>
      <c r="EU107">
        <f t="shared" si="2423"/>
        <v>0.03</v>
      </c>
      <c r="EV107">
        <f t="shared" si="2424"/>
        <v>0</v>
      </c>
      <c r="EW107">
        <f t="shared" si="2425"/>
        <v>0</v>
      </c>
      <c r="EX107">
        <f t="shared" si="2426"/>
        <v>0</v>
      </c>
      <c r="EY107">
        <f t="shared" si="2427"/>
        <v>0</v>
      </c>
      <c r="EZ107">
        <f t="shared" si="2428"/>
        <v>9.25</v>
      </c>
      <c r="FA107">
        <f t="shared" si="2429"/>
        <v>40</v>
      </c>
      <c r="FB107">
        <f t="shared" si="2430"/>
        <v>48.75</v>
      </c>
      <c r="FC107">
        <f t="shared" si="2431"/>
        <v>83</v>
      </c>
      <c r="FD107">
        <f t="shared" si="2432"/>
        <v>70</v>
      </c>
      <c r="FE107">
        <f t="shared" si="2433"/>
        <v>10.75</v>
      </c>
      <c r="FF107">
        <f t="shared" si="2434"/>
        <v>10</v>
      </c>
      <c r="FG107">
        <f t="shared" si="2435"/>
        <v>58.5</v>
      </c>
      <c r="FH107">
        <f t="shared" si="2436"/>
        <v>39.25</v>
      </c>
      <c r="FI107">
        <f t="shared" si="2437"/>
        <v>54.5</v>
      </c>
      <c r="FJ107">
        <f t="shared" si="2438"/>
        <v>58.5</v>
      </c>
      <c r="FK107">
        <f t="shared" si="2439"/>
        <v>30.5</v>
      </c>
      <c r="FL107">
        <f t="shared" si="2440"/>
        <v>42.75</v>
      </c>
      <c r="FM107">
        <f t="shared" si="2441"/>
        <v>117.25</v>
      </c>
      <c r="FN107">
        <f t="shared" si="2442"/>
        <v>157.25</v>
      </c>
      <c r="FO107">
        <f t="shared" si="2443"/>
        <v>40.5</v>
      </c>
      <c r="FP107">
        <f t="shared" si="2444"/>
        <v>39</v>
      </c>
      <c r="FQ107">
        <f t="shared" si="2445"/>
        <v>61.25</v>
      </c>
      <c r="FR107">
        <f t="shared" si="2446"/>
        <v>0</v>
      </c>
      <c r="FS107">
        <f t="shared" si="2447"/>
        <v>0</v>
      </c>
      <c r="FT107">
        <f t="shared" si="2448"/>
        <v>0</v>
      </c>
      <c r="FU107">
        <f t="shared" si="2449"/>
        <v>0</v>
      </c>
      <c r="FV107">
        <f t="shared" si="2450"/>
        <v>0</v>
      </c>
      <c r="FW107">
        <f t="shared" si="2451"/>
        <v>0</v>
      </c>
    </row>
    <row r="108" spans="1:179" x14ac:dyDescent="0.35">
      <c r="B108" s="72" t="s">
        <v>452</v>
      </c>
      <c r="C108">
        <v>15</v>
      </c>
      <c r="D108" s="54">
        <v>55</v>
      </c>
      <c r="E108" s="54">
        <v>231</v>
      </c>
      <c r="F108" s="54">
        <v>0.9</v>
      </c>
      <c r="G108" s="54">
        <v>0</v>
      </c>
      <c r="H108" s="54">
        <v>0.9</v>
      </c>
      <c r="I108" s="54">
        <v>0.4</v>
      </c>
      <c r="J108" s="54">
        <v>0</v>
      </c>
      <c r="K108" s="54">
        <v>0.4</v>
      </c>
      <c r="L108" s="54">
        <v>0</v>
      </c>
      <c r="M108" s="54">
        <v>11.4</v>
      </c>
      <c r="N108" s="54">
        <v>0</v>
      </c>
      <c r="O108" s="54">
        <v>11.4</v>
      </c>
      <c r="P108" s="54">
        <v>2.2999999999999998</v>
      </c>
      <c r="Q108" s="54">
        <v>0</v>
      </c>
      <c r="R108" s="54">
        <v>82</v>
      </c>
      <c r="S108" s="54">
        <v>1</v>
      </c>
      <c r="T108" s="54">
        <v>15</v>
      </c>
      <c r="U108" s="54">
        <v>3</v>
      </c>
      <c r="V108" s="54">
        <v>225</v>
      </c>
      <c r="W108" s="54">
        <v>31</v>
      </c>
      <c r="X108" s="54">
        <v>0.7</v>
      </c>
      <c r="Y108" s="81">
        <v>0</v>
      </c>
      <c r="Z108" s="81">
        <v>0</v>
      </c>
      <c r="AA108" s="81">
        <v>0</v>
      </c>
      <c r="AB108" s="81">
        <v>0</v>
      </c>
      <c r="AC108" s="81">
        <v>0</v>
      </c>
      <c r="AD108" s="81">
        <v>0</v>
      </c>
      <c r="AE108" s="81">
        <v>0</v>
      </c>
      <c r="AF108" s="54">
        <v>7.0000000000000007E-2</v>
      </c>
      <c r="AG108" s="54">
        <v>0.06</v>
      </c>
      <c r="AH108" s="54">
        <v>28</v>
      </c>
      <c r="AI108" s="54">
        <v>0.9</v>
      </c>
      <c r="AJ108" s="54">
        <v>0.44</v>
      </c>
      <c r="AK108" s="54">
        <v>54</v>
      </c>
      <c r="AL108" s="81">
        <v>0</v>
      </c>
      <c r="AM108" s="81">
        <v>0</v>
      </c>
      <c r="AN108" s="81">
        <v>0</v>
      </c>
      <c r="AO108" s="54">
        <v>1083</v>
      </c>
      <c r="AP108" s="54">
        <v>0</v>
      </c>
      <c r="AQ108" s="54">
        <v>6500</v>
      </c>
      <c r="AR108" s="54">
        <v>5.37</v>
      </c>
      <c r="AS108" s="54">
        <v>0</v>
      </c>
      <c r="AT108" s="81">
        <v>0</v>
      </c>
      <c r="AU108" s="54">
        <v>0.06</v>
      </c>
      <c r="AV108" s="81">
        <v>0</v>
      </c>
      <c r="AW108" s="81">
        <v>0</v>
      </c>
      <c r="AX108" s="81">
        <v>0</v>
      </c>
      <c r="AY108" s="81">
        <v>0</v>
      </c>
      <c r="AZ108" s="81">
        <v>0</v>
      </c>
      <c r="BA108" s="81">
        <v>0</v>
      </c>
      <c r="BB108" s="81">
        <v>0</v>
      </c>
      <c r="BC108" s="54">
        <v>0.06</v>
      </c>
      <c r="BD108" s="82">
        <v>0</v>
      </c>
      <c r="BE108" s="82">
        <v>0</v>
      </c>
      <c r="BF108" s="54">
        <v>0.06</v>
      </c>
      <c r="BG108" s="82">
        <v>0</v>
      </c>
      <c r="BH108" s="82">
        <v>0</v>
      </c>
      <c r="BI108" s="54">
        <v>0.16</v>
      </c>
      <c r="BJ108" s="54">
        <v>0.16</v>
      </c>
      <c r="BK108" s="54">
        <v>0.01</v>
      </c>
      <c r="BL108" s="82">
        <v>0</v>
      </c>
      <c r="BM108" s="82">
        <v>0</v>
      </c>
      <c r="BN108" s="82">
        <v>0</v>
      </c>
      <c r="BO108" s="54">
        <v>0</v>
      </c>
      <c r="BP108" s="56">
        <v>8</v>
      </c>
      <c r="BQ108" s="56">
        <v>23</v>
      </c>
      <c r="BR108" s="56">
        <v>18</v>
      </c>
      <c r="BS108" s="56">
        <v>27</v>
      </c>
      <c r="BT108" s="56">
        <v>27</v>
      </c>
      <c r="BU108" s="56">
        <v>6</v>
      </c>
      <c r="BV108" s="56">
        <v>6</v>
      </c>
      <c r="BW108" s="56">
        <v>18</v>
      </c>
      <c r="BX108" s="56">
        <v>13</v>
      </c>
      <c r="BY108" s="56">
        <v>22</v>
      </c>
      <c r="BZ108" s="56">
        <v>22</v>
      </c>
      <c r="CA108" s="56">
        <v>15</v>
      </c>
      <c r="CB108" s="56">
        <v>24</v>
      </c>
      <c r="CC108" s="56">
        <v>116</v>
      </c>
      <c r="CD108" s="56">
        <v>411</v>
      </c>
      <c r="CE108" s="56">
        <v>18</v>
      </c>
      <c r="CF108" s="56">
        <v>16</v>
      </c>
      <c r="CG108" s="56">
        <v>25</v>
      </c>
      <c r="CH108" s="81">
        <v>0</v>
      </c>
      <c r="CI108" s="81">
        <v>0</v>
      </c>
      <c r="CJ108" s="83">
        <v>0</v>
      </c>
      <c r="CK108" s="81">
        <v>0</v>
      </c>
      <c r="CL108" s="81">
        <v>0</v>
      </c>
      <c r="CM108" s="83">
        <v>0</v>
      </c>
      <c r="CN108">
        <f t="shared" si="2364"/>
        <v>8.25</v>
      </c>
      <c r="CO108">
        <f t="shared" si="2365"/>
        <v>34.65</v>
      </c>
      <c r="CP108">
        <f t="shared" si="2366"/>
        <v>0.13500000000000001</v>
      </c>
      <c r="CQ108">
        <f t="shared" si="2367"/>
        <v>0</v>
      </c>
      <c r="CR108">
        <f t="shared" si="2368"/>
        <v>0.13500000000000001</v>
      </c>
      <c r="CS108">
        <f t="shared" si="2369"/>
        <v>0.06</v>
      </c>
      <c r="CT108">
        <f t="shared" si="2370"/>
        <v>0</v>
      </c>
      <c r="CU108">
        <f t="shared" si="2371"/>
        <v>0.06</v>
      </c>
      <c r="CV108">
        <f t="shared" si="2372"/>
        <v>0</v>
      </c>
      <c r="CW108">
        <f t="shared" si="2373"/>
        <v>1.71</v>
      </c>
      <c r="CX108">
        <f t="shared" si="2374"/>
        <v>0</v>
      </c>
      <c r="CY108">
        <f t="shared" si="2375"/>
        <v>1.71</v>
      </c>
      <c r="CZ108">
        <f t="shared" si="2376"/>
        <v>0.34499999999999997</v>
      </c>
      <c r="DA108">
        <f t="shared" si="2377"/>
        <v>0</v>
      </c>
      <c r="DB108">
        <f t="shared" si="2378"/>
        <v>12.3</v>
      </c>
      <c r="DC108">
        <f t="shared" si="2379"/>
        <v>0.15</v>
      </c>
      <c r="DD108">
        <f t="shared" si="2380"/>
        <v>2.25</v>
      </c>
      <c r="DE108">
        <f t="shared" si="2381"/>
        <v>0.45</v>
      </c>
      <c r="DF108">
        <f t="shared" si="2382"/>
        <v>33.75</v>
      </c>
      <c r="DG108">
        <f t="shared" si="2383"/>
        <v>4.6500000000000004</v>
      </c>
      <c r="DH108">
        <f t="shared" si="2384"/>
        <v>0.105</v>
      </c>
      <c r="DI108">
        <f t="shared" si="2385"/>
        <v>0</v>
      </c>
      <c r="DJ108">
        <f t="shared" si="2386"/>
        <v>0</v>
      </c>
      <c r="DK108">
        <f t="shared" si="2387"/>
        <v>0</v>
      </c>
      <c r="DL108">
        <f t="shared" si="2388"/>
        <v>0</v>
      </c>
      <c r="DM108">
        <f t="shared" si="2389"/>
        <v>0</v>
      </c>
      <c r="DN108">
        <f t="shared" si="2390"/>
        <v>0</v>
      </c>
      <c r="DO108">
        <f t="shared" si="2391"/>
        <v>0</v>
      </c>
      <c r="DP108">
        <f t="shared" si="2392"/>
        <v>1.0500000000000001E-2</v>
      </c>
      <c r="DQ108">
        <f t="shared" si="2393"/>
        <v>8.9999999999999993E-3</v>
      </c>
      <c r="DR108">
        <f t="shared" si="2394"/>
        <v>4.2</v>
      </c>
      <c r="DS108">
        <f t="shared" si="2395"/>
        <v>0.13500000000000001</v>
      </c>
      <c r="DT108">
        <f t="shared" si="2396"/>
        <v>6.6000000000000003E-2</v>
      </c>
      <c r="DU108">
        <f t="shared" si="2397"/>
        <v>8.1</v>
      </c>
      <c r="DV108">
        <f t="shared" si="2398"/>
        <v>0</v>
      </c>
      <c r="DW108">
        <f t="shared" si="2399"/>
        <v>0</v>
      </c>
      <c r="DX108">
        <f t="shared" si="2400"/>
        <v>0</v>
      </c>
      <c r="DY108">
        <f t="shared" si="2401"/>
        <v>162.44999999999999</v>
      </c>
      <c r="DZ108">
        <f t="shared" si="2402"/>
        <v>0</v>
      </c>
      <c r="EA108">
        <f t="shared" si="2403"/>
        <v>975</v>
      </c>
      <c r="EB108">
        <f t="shared" si="2404"/>
        <v>0.80549999999999999</v>
      </c>
      <c r="EC108">
        <f t="shared" si="2405"/>
        <v>0</v>
      </c>
      <c r="ED108">
        <f t="shared" si="2406"/>
        <v>0</v>
      </c>
      <c r="EE108">
        <f t="shared" si="2407"/>
        <v>8.9999999999999993E-3</v>
      </c>
      <c r="EF108">
        <f t="shared" si="2408"/>
        <v>0</v>
      </c>
      <c r="EG108">
        <f t="shared" si="2409"/>
        <v>0</v>
      </c>
      <c r="EH108">
        <f t="shared" si="2410"/>
        <v>0</v>
      </c>
      <c r="EI108">
        <f t="shared" si="2411"/>
        <v>0</v>
      </c>
      <c r="EJ108">
        <f t="shared" si="2412"/>
        <v>0</v>
      </c>
      <c r="EK108">
        <f t="shared" si="2413"/>
        <v>0</v>
      </c>
      <c r="EL108">
        <f t="shared" si="2414"/>
        <v>0</v>
      </c>
      <c r="EM108">
        <f t="shared" si="2415"/>
        <v>8.9999999999999993E-3</v>
      </c>
      <c r="EN108">
        <f t="shared" si="2416"/>
        <v>0</v>
      </c>
      <c r="EO108">
        <f t="shared" si="2417"/>
        <v>0</v>
      </c>
      <c r="EP108">
        <f t="shared" si="2418"/>
        <v>8.9999999999999993E-3</v>
      </c>
      <c r="EQ108">
        <f t="shared" si="2419"/>
        <v>0</v>
      </c>
      <c r="ER108">
        <f t="shared" si="2420"/>
        <v>0</v>
      </c>
      <c r="ES108">
        <f t="shared" si="2421"/>
        <v>2.4E-2</v>
      </c>
      <c r="ET108">
        <f t="shared" si="2422"/>
        <v>2.4E-2</v>
      </c>
      <c r="EU108">
        <f t="shared" si="2423"/>
        <v>1.5E-3</v>
      </c>
      <c r="EV108">
        <f t="shared" si="2424"/>
        <v>0</v>
      </c>
      <c r="EW108">
        <f t="shared" si="2425"/>
        <v>0</v>
      </c>
      <c r="EX108">
        <f t="shared" si="2426"/>
        <v>0</v>
      </c>
      <c r="EY108">
        <f t="shared" si="2427"/>
        <v>0</v>
      </c>
      <c r="EZ108">
        <f t="shared" si="2428"/>
        <v>1.2</v>
      </c>
      <c r="FA108">
        <f t="shared" si="2429"/>
        <v>3.45</v>
      </c>
      <c r="FB108">
        <f t="shared" si="2430"/>
        <v>2.7</v>
      </c>
      <c r="FC108">
        <f t="shared" si="2431"/>
        <v>4.05</v>
      </c>
      <c r="FD108">
        <f t="shared" si="2432"/>
        <v>4.05</v>
      </c>
      <c r="FE108">
        <f t="shared" si="2433"/>
        <v>0.9</v>
      </c>
      <c r="FF108">
        <f t="shared" si="2434"/>
        <v>0.9</v>
      </c>
      <c r="FG108">
        <f t="shared" si="2435"/>
        <v>2.7</v>
      </c>
      <c r="FH108">
        <f t="shared" si="2436"/>
        <v>1.95</v>
      </c>
      <c r="FI108">
        <f t="shared" si="2437"/>
        <v>3.3</v>
      </c>
      <c r="FJ108">
        <f t="shared" si="2438"/>
        <v>3.3</v>
      </c>
      <c r="FK108">
        <f t="shared" si="2439"/>
        <v>2.25</v>
      </c>
      <c r="FL108">
        <f t="shared" si="2440"/>
        <v>3.6</v>
      </c>
      <c r="FM108">
        <f t="shared" si="2441"/>
        <v>17.399999999999999</v>
      </c>
      <c r="FN108">
        <f t="shared" si="2442"/>
        <v>61.65</v>
      </c>
      <c r="FO108">
        <f t="shared" si="2443"/>
        <v>2.7</v>
      </c>
      <c r="FP108">
        <f t="shared" si="2444"/>
        <v>2.4</v>
      </c>
      <c r="FQ108">
        <f t="shared" si="2445"/>
        <v>3.75</v>
      </c>
      <c r="FR108">
        <f t="shared" si="2446"/>
        <v>0</v>
      </c>
      <c r="FS108">
        <f t="shared" si="2447"/>
        <v>0</v>
      </c>
      <c r="FT108">
        <f t="shared" si="2448"/>
        <v>0</v>
      </c>
      <c r="FU108">
        <f t="shared" si="2449"/>
        <v>0</v>
      </c>
      <c r="FV108">
        <f t="shared" si="2450"/>
        <v>0</v>
      </c>
      <c r="FW108">
        <f t="shared" si="2451"/>
        <v>0</v>
      </c>
    </row>
    <row r="109" spans="1:179" x14ac:dyDescent="0.35">
      <c r="B109" s="72" t="s">
        <v>233</v>
      </c>
      <c r="C109">
        <v>1</v>
      </c>
      <c r="D109" s="54">
        <v>45</v>
      </c>
      <c r="E109" s="54">
        <v>190</v>
      </c>
      <c r="F109" s="54">
        <v>0.9</v>
      </c>
      <c r="G109" s="54">
        <v>0</v>
      </c>
      <c r="H109" s="54">
        <v>0.9</v>
      </c>
      <c r="I109" s="54">
        <v>0.6</v>
      </c>
      <c r="J109" s="54">
        <v>0</v>
      </c>
      <c r="K109" s="54">
        <v>0.6</v>
      </c>
      <c r="L109" s="54">
        <v>0</v>
      </c>
      <c r="M109" s="54">
        <v>8.4</v>
      </c>
      <c r="N109" s="54">
        <v>0</v>
      </c>
      <c r="O109" s="54">
        <v>8.4</v>
      </c>
      <c r="P109" s="54">
        <v>2.2999999999999998</v>
      </c>
      <c r="Q109" s="54">
        <v>0</v>
      </c>
      <c r="R109" s="54">
        <v>80</v>
      </c>
      <c r="S109" s="54">
        <v>1.5</v>
      </c>
      <c r="T109" s="54">
        <v>14</v>
      </c>
      <c r="U109" s="54">
        <v>2</v>
      </c>
      <c r="V109" s="54">
        <v>347</v>
      </c>
      <c r="W109" s="54">
        <v>63</v>
      </c>
      <c r="X109" s="54">
        <v>0.56000000000000005</v>
      </c>
      <c r="Y109" s="81">
        <v>0</v>
      </c>
      <c r="Z109" s="81">
        <v>0</v>
      </c>
      <c r="AA109" s="81">
        <v>0</v>
      </c>
      <c r="AB109" s="81">
        <v>0</v>
      </c>
      <c r="AC109" s="81">
        <v>0</v>
      </c>
      <c r="AD109" s="81">
        <v>0</v>
      </c>
      <c r="AE109" s="81">
        <v>0</v>
      </c>
      <c r="AF109" s="54">
        <v>0.14000000000000001</v>
      </c>
      <c r="AG109" s="54">
        <v>0.02</v>
      </c>
      <c r="AH109" s="54">
        <v>5</v>
      </c>
      <c r="AI109" s="54">
        <v>1.3</v>
      </c>
      <c r="AJ109" s="54">
        <v>0.21</v>
      </c>
      <c r="AK109" s="54">
        <v>3</v>
      </c>
      <c r="AL109" s="81">
        <v>0</v>
      </c>
      <c r="AM109" s="81">
        <v>0</v>
      </c>
      <c r="AN109" s="81">
        <v>0</v>
      </c>
      <c r="AO109" s="54">
        <v>5</v>
      </c>
      <c r="AP109" s="54">
        <v>0</v>
      </c>
      <c r="AQ109" s="54">
        <v>30</v>
      </c>
      <c r="AR109" s="54">
        <v>0.01</v>
      </c>
      <c r="AS109" s="54">
        <v>0</v>
      </c>
      <c r="AT109" s="81">
        <v>0</v>
      </c>
      <c r="AU109" s="54">
        <v>0.11</v>
      </c>
      <c r="AV109" s="81">
        <v>0</v>
      </c>
      <c r="AW109" s="81">
        <v>0</v>
      </c>
      <c r="AX109" s="81">
        <v>0</v>
      </c>
      <c r="AY109" s="81">
        <v>0</v>
      </c>
      <c r="AZ109" s="81">
        <v>0</v>
      </c>
      <c r="BA109" s="81">
        <v>0</v>
      </c>
      <c r="BB109" s="81">
        <v>0</v>
      </c>
      <c r="BC109" s="54">
        <v>0.01</v>
      </c>
      <c r="BD109" s="82">
        <v>0</v>
      </c>
      <c r="BE109" s="82">
        <v>0</v>
      </c>
      <c r="BF109" s="54">
        <v>0.01</v>
      </c>
      <c r="BG109" s="82">
        <v>0</v>
      </c>
      <c r="BH109" s="82">
        <v>0</v>
      </c>
      <c r="BI109" s="54">
        <v>0.3</v>
      </c>
      <c r="BJ109" s="54">
        <v>0.27</v>
      </c>
      <c r="BK109" s="54">
        <v>0.02</v>
      </c>
      <c r="BL109" s="82">
        <v>0</v>
      </c>
      <c r="BM109" s="82">
        <v>0</v>
      </c>
      <c r="BN109" s="82">
        <v>0</v>
      </c>
      <c r="BO109" s="54">
        <v>0.01</v>
      </c>
      <c r="BP109" s="56">
        <v>9</v>
      </c>
      <c r="BQ109" s="56">
        <v>22</v>
      </c>
      <c r="BR109" s="56">
        <v>31</v>
      </c>
      <c r="BS109" s="56">
        <v>44</v>
      </c>
      <c r="BT109" s="56">
        <v>39</v>
      </c>
      <c r="BU109" s="56">
        <v>11</v>
      </c>
      <c r="BV109" s="56">
        <v>9</v>
      </c>
      <c r="BW109" s="56">
        <v>26</v>
      </c>
      <c r="BX109" s="56">
        <v>11</v>
      </c>
      <c r="BY109" s="56">
        <v>41</v>
      </c>
      <c r="BZ109" s="56">
        <v>90</v>
      </c>
      <c r="CA109" s="56">
        <v>16</v>
      </c>
      <c r="CB109" s="56">
        <v>19</v>
      </c>
      <c r="CC109" s="56">
        <v>69</v>
      </c>
      <c r="CD109" s="56">
        <v>114</v>
      </c>
      <c r="CE109" s="56">
        <v>28</v>
      </c>
      <c r="CF109" s="56">
        <v>14</v>
      </c>
      <c r="CG109" s="56">
        <v>27</v>
      </c>
      <c r="CH109" s="81">
        <v>0</v>
      </c>
      <c r="CI109" s="81">
        <v>0</v>
      </c>
      <c r="CJ109" s="83">
        <v>0</v>
      </c>
      <c r="CK109" s="81">
        <v>0</v>
      </c>
      <c r="CL109" s="81">
        <v>0</v>
      </c>
      <c r="CM109" s="83">
        <v>0</v>
      </c>
      <c r="CN109">
        <f t="shared" si="2364"/>
        <v>0.45</v>
      </c>
      <c r="CO109">
        <f t="shared" si="2365"/>
        <v>1.9</v>
      </c>
      <c r="CP109">
        <f t="shared" si="2366"/>
        <v>9.0000000000000011E-3</v>
      </c>
      <c r="CQ109">
        <f t="shared" si="2367"/>
        <v>0</v>
      </c>
      <c r="CR109">
        <f t="shared" si="2368"/>
        <v>9.0000000000000011E-3</v>
      </c>
      <c r="CS109">
        <f t="shared" si="2369"/>
        <v>6.0000000000000001E-3</v>
      </c>
      <c r="CT109">
        <f t="shared" si="2370"/>
        <v>0</v>
      </c>
      <c r="CU109">
        <f t="shared" si="2371"/>
        <v>6.0000000000000001E-3</v>
      </c>
      <c r="CV109">
        <f t="shared" si="2372"/>
        <v>0</v>
      </c>
      <c r="CW109">
        <f t="shared" si="2373"/>
        <v>8.4000000000000005E-2</v>
      </c>
      <c r="CX109">
        <f t="shared" si="2374"/>
        <v>0</v>
      </c>
      <c r="CY109">
        <f t="shared" si="2375"/>
        <v>8.4000000000000005E-2</v>
      </c>
      <c r="CZ109">
        <f t="shared" si="2376"/>
        <v>2.3E-2</v>
      </c>
      <c r="DA109">
        <f t="shared" si="2377"/>
        <v>0</v>
      </c>
      <c r="DB109">
        <f t="shared" si="2378"/>
        <v>0.8</v>
      </c>
      <c r="DC109">
        <f t="shared" si="2379"/>
        <v>1.4999999999999999E-2</v>
      </c>
      <c r="DD109">
        <f t="shared" si="2380"/>
        <v>0.14000000000000001</v>
      </c>
      <c r="DE109">
        <f t="shared" si="2381"/>
        <v>0.02</v>
      </c>
      <c r="DF109">
        <f t="shared" si="2382"/>
        <v>3.47</v>
      </c>
      <c r="DG109">
        <f t="shared" si="2383"/>
        <v>0.63</v>
      </c>
      <c r="DH109">
        <f t="shared" si="2384"/>
        <v>5.6000000000000008E-3</v>
      </c>
      <c r="DI109">
        <f t="shared" si="2385"/>
        <v>0</v>
      </c>
      <c r="DJ109">
        <f t="shared" si="2386"/>
        <v>0</v>
      </c>
      <c r="DK109">
        <f t="shared" si="2387"/>
        <v>0</v>
      </c>
      <c r="DL109">
        <f t="shared" si="2388"/>
        <v>0</v>
      </c>
      <c r="DM109">
        <f t="shared" si="2389"/>
        <v>0</v>
      </c>
      <c r="DN109">
        <f t="shared" si="2390"/>
        <v>0</v>
      </c>
      <c r="DO109">
        <f t="shared" si="2391"/>
        <v>0</v>
      </c>
      <c r="DP109">
        <f t="shared" si="2392"/>
        <v>1.4000000000000002E-3</v>
      </c>
      <c r="DQ109">
        <f t="shared" si="2393"/>
        <v>2.0000000000000001E-4</v>
      </c>
      <c r="DR109">
        <f t="shared" si="2394"/>
        <v>0.05</v>
      </c>
      <c r="DS109">
        <f t="shared" si="2395"/>
        <v>1.3000000000000001E-2</v>
      </c>
      <c r="DT109">
        <f t="shared" si="2396"/>
        <v>2.0999999999999999E-3</v>
      </c>
      <c r="DU109">
        <f t="shared" si="2397"/>
        <v>0.03</v>
      </c>
      <c r="DV109">
        <f t="shared" si="2398"/>
        <v>0</v>
      </c>
      <c r="DW109">
        <f t="shared" si="2399"/>
        <v>0</v>
      </c>
      <c r="DX109">
        <f t="shared" si="2400"/>
        <v>0</v>
      </c>
      <c r="DY109">
        <f t="shared" si="2401"/>
        <v>0.05</v>
      </c>
      <c r="DZ109">
        <f t="shared" si="2402"/>
        <v>0</v>
      </c>
      <c r="EA109">
        <f t="shared" si="2403"/>
        <v>0.3</v>
      </c>
      <c r="EB109">
        <f t="shared" si="2404"/>
        <v>1E-4</v>
      </c>
      <c r="EC109">
        <f t="shared" si="2405"/>
        <v>0</v>
      </c>
      <c r="ED109">
        <f t="shared" si="2406"/>
        <v>0</v>
      </c>
      <c r="EE109">
        <f t="shared" si="2407"/>
        <v>1.1000000000000001E-3</v>
      </c>
      <c r="EF109">
        <f t="shared" si="2408"/>
        <v>0</v>
      </c>
      <c r="EG109">
        <f t="shared" si="2409"/>
        <v>0</v>
      </c>
      <c r="EH109">
        <f t="shared" si="2410"/>
        <v>0</v>
      </c>
      <c r="EI109">
        <f t="shared" si="2411"/>
        <v>0</v>
      </c>
      <c r="EJ109">
        <f t="shared" si="2412"/>
        <v>0</v>
      </c>
      <c r="EK109">
        <f t="shared" si="2413"/>
        <v>0</v>
      </c>
      <c r="EL109">
        <f t="shared" si="2414"/>
        <v>0</v>
      </c>
      <c r="EM109">
        <f t="shared" si="2415"/>
        <v>1E-4</v>
      </c>
      <c r="EN109">
        <f t="shared" si="2416"/>
        <v>0</v>
      </c>
      <c r="EO109">
        <f t="shared" si="2417"/>
        <v>0</v>
      </c>
      <c r="EP109">
        <f t="shared" si="2418"/>
        <v>1E-4</v>
      </c>
      <c r="EQ109">
        <f t="shared" si="2419"/>
        <v>0</v>
      </c>
      <c r="ER109">
        <f t="shared" si="2420"/>
        <v>0</v>
      </c>
      <c r="ES109">
        <f t="shared" si="2421"/>
        <v>3.0000000000000001E-3</v>
      </c>
      <c r="ET109">
        <f t="shared" si="2422"/>
        <v>2.7000000000000001E-3</v>
      </c>
      <c r="EU109">
        <f t="shared" si="2423"/>
        <v>2.0000000000000001E-4</v>
      </c>
      <c r="EV109">
        <f t="shared" si="2424"/>
        <v>0</v>
      </c>
      <c r="EW109">
        <f t="shared" si="2425"/>
        <v>0</v>
      </c>
      <c r="EX109">
        <f t="shared" si="2426"/>
        <v>0</v>
      </c>
      <c r="EY109">
        <f t="shared" si="2427"/>
        <v>1E-4</v>
      </c>
      <c r="EZ109">
        <f t="shared" si="2428"/>
        <v>0.09</v>
      </c>
      <c r="FA109">
        <f t="shared" si="2429"/>
        <v>0.22</v>
      </c>
      <c r="FB109">
        <f t="shared" si="2430"/>
        <v>0.31</v>
      </c>
      <c r="FC109">
        <f t="shared" si="2431"/>
        <v>0.44</v>
      </c>
      <c r="FD109">
        <f t="shared" si="2432"/>
        <v>0.39</v>
      </c>
      <c r="FE109">
        <f t="shared" si="2433"/>
        <v>0.11</v>
      </c>
      <c r="FF109">
        <f t="shared" si="2434"/>
        <v>0.09</v>
      </c>
      <c r="FG109">
        <f t="shared" si="2435"/>
        <v>0.26</v>
      </c>
      <c r="FH109">
        <f t="shared" si="2436"/>
        <v>0.11</v>
      </c>
      <c r="FI109">
        <f t="shared" si="2437"/>
        <v>0.41</v>
      </c>
      <c r="FJ109">
        <f t="shared" si="2438"/>
        <v>0.9</v>
      </c>
      <c r="FK109">
        <f t="shared" si="2439"/>
        <v>0.16</v>
      </c>
      <c r="FL109">
        <f t="shared" si="2440"/>
        <v>0.19</v>
      </c>
      <c r="FM109">
        <f t="shared" si="2441"/>
        <v>0.69</v>
      </c>
      <c r="FN109">
        <f t="shared" si="2442"/>
        <v>1.1399999999999999</v>
      </c>
      <c r="FO109">
        <f t="shared" si="2443"/>
        <v>0.28000000000000003</v>
      </c>
      <c r="FP109">
        <f t="shared" si="2444"/>
        <v>0.14000000000000001</v>
      </c>
      <c r="FQ109">
        <f t="shared" si="2445"/>
        <v>0.27</v>
      </c>
      <c r="FR109">
        <f t="shared" si="2446"/>
        <v>0</v>
      </c>
      <c r="FS109">
        <f t="shared" si="2447"/>
        <v>0</v>
      </c>
      <c r="FT109">
        <f t="shared" si="2448"/>
        <v>0</v>
      </c>
      <c r="FU109">
        <f t="shared" si="2449"/>
        <v>0</v>
      </c>
      <c r="FV109">
        <f t="shared" si="2450"/>
        <v>0</v>
      </c>
      <c r="FW109">
        <f t="shared" si="2451"/>
        <v>0</v>
      </c>
    </row>
    <row r="110" spans="1:179" x14ac:dyDescent="0.35">
      <c r="B110" s="72" t="s">
        <v>211</v>
      </c>
      <c r="C110" s="8">
        <v>5</v>
      </c>
      <c r="D110" s="6">
        <v>899</v>
      </c>
      <c r="E110" s="6">
        <v>3696</v>
      </c>
      <c r="F110" s="6">
        <v>0</v>
      </c>
      <c r="G110" s="6">
        <v>0</v>
      </c>
      <c r="H110" s="6">
        <v>0</v>
      </c>
      <c r="I110" s="6">
        <v>99.9</v>
      </c>
      <c r="J110" s="6">
        <v>0</v>
      </c>
      <c r="K110" s="6">
        <v>99.9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0.2</v>
      </c>
      <c r="T110" s="6">
        <v>0</v>
      </c>
      <c r="U110" s="51">
        <v>0.5</v>
      </c>
      <c r="V110" s="51">
        <v>0.5</v>
      </c>
      <c r="W110" s="6">
        <v>0</v>
      </c>
      <c r="X110" s="51">
        <v>5.0000000000000001E-3</v>
      </c>
      <c r="Y110" s="51">
        <v>0.5</v>
      </c>
      <c r="Z110" s="6">
        <v>0.01</v>
      </c>
      <c r="AA110" s="51">
        <v>0.05</v>
      </c>
      <c r="AB110" s="51">
        <v>0.5</v>
      </c>
      <c r="AC110" s="51">
        <v>0.5</v>
      </c>
      <c r="AD110" s="51">
        <v>5.0000000000000001E-3</v>
      </c>
      <c r="AE110" s="51">
        <v>0.5</v>
      </c>
      <c r="AF110" s="6">
        <v>0</v>
      </c>
      <c r="AG110" s="6">
        <v>0</v>
      </c>
      <c r="AH110" s="6">
        <v>0</v>
      </c>
      <c r="AI110" s="6">
        <v>0</v>
      </c>
      <c r="AJ110" s="51">
        <v>5.0000000000000001E-3</v>
      </c>
      <c r="AK110" s="51">
        <v>0.5</v>
      </c>
      <c r="AL110" s="51">
        <v>5.0000000000000001E-3</v>
      </c>
      <c r="AM110" s="51">
        <v>0.05</v>
      </c>
      <c r="AN110" s="6">
        <v>0</v>
      </c>
      <c r="AO110" s="6">
        <v>36</v>
      </c>
      <c r="AP110" s="6">
        <v>0</v>
      </c>
      <c r="AQ110" s="6">
        <v>216</v>
      </c>
      <c r="AR110" s="6">
        <v>21.42</v>
      </c>
      <c r="AS110" s="6">
        <v>0</v>
      </c>
      <c r="AT110" s="6">
        <v>57.5</v>
      </c>
      <c r="AU110" s="6">
        <v>14.46</v>
      </c>
      <c r="AV110" s="6">
        <v>0</v>
      </c>
      <c r="AW110" s="6">
        <v>0</v>
      </c>
      <c r="AX110" s="6">
        <v>0</v>
      </c>
      <c r="AY110" s="6">
        <v>10.64</v>
      </c>
      <c r="AZ110" s="6">
        <v>3.06</v>
      </c>
      <c r="BA110" s="6">
        <v>0.76</v>
      </c>
      <c r="BB110" s="6">
        <v>0</v>
      </c>
      <c r="BC110" s="6">
        <v>72.95</v>
      </c>
      <c r="BD110" s="6">
        <v>0</v>
      </c>
      <c r="BE110" s="6">
        <v>0.79</v>
      </c>
      <c r="BF110" s="6">
        <v>71.87</v>
      </c>
      <c r="BG110" s="6">
        <v>0.28999999999999998</v>
      </c>
      <c r="BH110" s="6">
        <v>0</v>
      </c>
      <c r="BI110" s="6">
        <v>7.52</v>
      </c>
      <c r="BJ110" s="6">
        <v>6.79</v>
      </c>
      <c r="BK110" s="6">
        <v>0.73</v>
      </c>
      <c r="BL110" s="6">
        <v>0</v>
      </c>
      <c r="BM110" s="6">
        <v>0</v>
      </c>
      <c r="BN110" s="6">
        <v>0</v>
      </c>
      <c r="BO110" s="6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>
        <f t="shared" si="2364"/>
        <v>44.95</v>
      </c>
      <c r="CO110">
        <f t="shared" si="2365"/>
        <v>184.8</v>
      </c>
      <c r="CP110">
        <f t="shared" si="2366"/>
        <v>0</v>
      </c>
      <c r="CQ110">
        <f t="shared" si="2367"/>
        <v>0</v>
      </c>
      <c r="CR110">
        <f t="shared" si="2368"/>
        <v>0</v>
      </c>
      <c r="CS110">
        <f t="shared" si="2369"/>
        <v>4.9950000000000001</v>
      </c>
      <c r="CT110">
        <f t="shared" si="2370"/>
        <v>0</v>
      </c>
      <c r="CU110">
        <f t="shared" si="2371"/>
        <v>4.9950000000000001</v>
      </c>
      <c r="CV110">
        <f t="shared" si="2372"/>
        <v>0</v>
      </c>
      <c r="CW110">
        <f t="shared" si="2373"/>
        <v>0</v>
      </c>
      <c r="CX110">
        <f t="shared" si="2374"/>
        <v>0</v>
      </c>
      <c r="CY110">
        <f t="shared" si="2375"/>
        <v>0</v>
      </c>
      <c r="CZ110">
        <f t="shared" si="2376"/>
        <v>0</v>
      </c>
      <c r="DA110">
        <f t="shared" si="2377"/>
        <v>0</v>
      </c>
      <c r="DB110">
        <f t="shared" si="2378"/>
        <v>0</v>
      </c>
      <c r="DC110">
        <f t="shared" si="2379"/>
        <v>0.01</v>
      </c>
      <c r="DD110">
        <f t="shared" si="2380"/>
        <v>0</v>
      </c>
      <c r="DE110">
        <f t="shared" si="2381"/>
        <v>2.5000000000000001E-2</v>
      </c>
      <c r="DF110">
        <f t="shared" si="2382"/>
        <v>2.5000000000000001E-2</v>
      </c>
      <c r="DG110">
        <f t="shared" si="2383"/>
        <v>0</v>
      </c>
      <c r="DH110">
        <f t="shared" si="2384"/>
        <v>2.5000000000000001E-4</v>
      </c>
      <c r="DI110">
        <f t="shared" si="2385"/>
        <v>2.5000000000000001E-2</v>
      </c>
      <c r="DJ110">
        <f t="shared" si="2386"/>
        <v>5.0000000000000001E-4</v>
      </c>
      <c r="DK110">
        <f t="shared" si="2387"/>
        <v>2.5000000000000001E-3</v>
      </c>
      <c r="DL110">
        <f t="shared" si="2388"/>
        <v>2.5000000000000001E-2</v>
      </c>
      <c r="DM110">
        <f t="shared" si="2389"/>
        <v>2.5000000000000001E-2</v>
      </c>
      <c r="DN110">
        <f t="shared" si="2390"/>
        <v>2.5000000000000001E-4</v>
      </c>
      <c r="DO110">
        <f t="shared" si="2391"/>
        <v>2.5000000000000001E-2</v>
      </c>
      <c r="DP110">
        <f t="shared" si="2392"/>
        <v>0</v>
      </c>
      <c r="DQ110">
        <f t="shared" si="2393"/>
        <v>0</v>
      </c>
      <c r="DR110">
        <f t="shared" si="2394"/>
        <v>0</v>
      </c>
      <c r="DS110">
        <f t="shared" si="2395"/>
        <v>0</v>
      </c>
      <c r="DT110">
        <f t="shared" si="2396"/>
        <v>2.5000000000000001E-4</v>
      </c>
      <c r="DU110">
        <f t="shared" si="2397"/>
        <v>2.5000000000000001E-2</v>
      </c>
      <c r="DV110">
        <f t="shared" si="2398"/>
        <v>2.5000000000000001E-4</v>
      </c>
      <c r="DW110">
        <f t="shared" si="2399"/>
        <v>2.5000000000000001E-3</v>
      </c>
      <c r="DX110">
        <f t="shared" si="2400"/>
        <v>0</v>
      </c>
      <c r="DY110">
        <f t="shared" si="2401"/>
        <v>1.8</v>
      </c>
      <c r="DZ110">
        <f t="shared" si="2402"/>
        <v>0</v>
      </c>
      <c r="EA110">
        <f t="shared" si="2403"/>
        <v>10.8</v>
      </c>
      <c r="EB110">
        <f t="shared" si="2404"/>
        <v>1.0710000000000002</v>
      </c>
      <c r="EC110">
        <f t="shared" si="2405"/>
        <v>0</v>
      </c>
      <c r="ED110">
        <f t="shared" si="2406"/>
        <v>2.875</v>
      </c>
      <c r="EE110">
        <f t="shared" si="2407"/>
        <v>0.72300000000000009</v>
      </c>
      <c r="EF110">
        <f t="shared" si="2408"/>
        <v>0</v>
      </c>
      <c r="EG110">
        <f t="shared" si="2409"/>
        <v>0</v>
      </c>
      <c r="EH110">
        <f t="shared" si="2410"/>
        <v>0</v>
      </c>
      <c r="EI110">
        <f t="shared" si="2411"/>
        <v>0.53200000000000003</v>
      </c>
      <c r="EJ110">
        <f t="shared" si="2412"/>
        <v>0.153</v>
      </c>
      <c r="EK110">
        <f t="shared" si="2413"/>
        <v>3.7999999999999999E-2</v>
      </c>
      <c r="EL110">
        <f t="shared" si="2414"/>
        <v>0</v>
      </c>
      <c r="EM110">
        <f t="shared" si="2415"/>
        <v>3.6475</v>
      </c>
      <c r="EN110">
        <f t="shared" si="2416"/>
        <v>0</v>
      </c>
      <c r="EO110">
        <f t="shared" si="2417"/>
        <v>3.95E-2</v>
      </c>
      <c r="EP110">
        <f t="shared" si="2418"/>
        <v>3.5935000000000001</v>
      </c>
      <c r="EQ110">
        <f t="shared" si="2419"/>
        <v>1.4499999999999999E-2</v>
      </c>
      <c r="ER110">
        <f t="shared" si="2420"/>
        <v>0</v>
      </c>
      <c r="ES110">
        <f t="shared" si="2421"/>
        <v>0.37599999999999995</v>
      </c>
      <c r="ET110">
        <f t="shared" si="2422"/>
        <v>0.33950000000000002</v>
      </c>
      <c r="EU110">
        <f t="shared" si="2423"/>
        <v>3.6499999999999998E-2</v>
      </c>
      <c r="EV110">
        <f t="shared" si="2424"/>
        <v>0</v>
      </c>
      <c r="EW110">
        <f t="shared" si="2425"/>
        <v>0</v>
      </c>
      <c r="EX110">
        <f t="shared" si="2426"/>
        <v>0</v>
      </c>
      <c r="EY110">
        <f t="shared" si="2427"/>
        <v>0</v>
      </c>
      <c r="EZ110">
        <f t="shared" si="2428"/>
        <v>0</v>
      </c>
      <c r="FA110">
        <f t="shared" si="2429"/>
        <v>0</v>
      </c>
      <c r="FB110">
        <f t="shared" si="2430"/>
        <v>0</v>
      </c>
      <c r="FC110">
        <f t="shared" si="2431"/>
        <v>0</v>
      </c>
      <c r="FD110">
        <f t="shared" si="2432"/>
        <v>0</v>
      </c>
      <c r="FE110">
        <f t="shared" si="2433"/>
        <v>0</v>
      </c>
      <c r="FF110">
        <f t="shared" si="2434"/>
        <v>0</v>
      </c>
      <c r="FG110">
        <f t="shared" si="2435"/>
        <v>0</v>
      </c>
      <c r="FH110">
        <f t="shared" si="2436"/>
        <v>0</v>
      </c>
      <c r="FI110">
        <f t="shared" si="2437"/>
        <v>0</v>
      </c>
      <c r="FJ110">
        <f t="shared" si="2438"/>
        <v>0</v>
      </c>
      <c r="FK110">
        <f t="shared" si="2439"/>
        <v>0</v>
      </c>
      <c r="FL110">
        <f t="shared" si="2440"/>
        <v>0</v>
      </c>
      <c r="FM110">
        <f t="shared" si="2441"/>
        <v>0</v>
      </c>
      <c r="FN110">
        <f t="shared" si="2442"/>
        <v>0</v>
      </c>
      <c r="FO110">
        <f t="shared" si="2443"/>
        <v>0</v>
      </c>
      <c r="FP110">
        <f t="shared" si="2444"/>
        <v>0</v>
      </c>
      <c r="FQ110">
        <f t="shared" si="2445"/>
        <v>0</v>
      </c>
      <c r="FR110">
        <f t="shared" si="2446"/>
        <v>0</v>
      </c>
      <c r="FS110">
        <f t="shared" si="2447"/>
        <v>0</v>
      </c>
      <c r="FT110">
        <f t="shared" si="2448"/>
        <v>0</v>
      </c>
      <c r="FU110">
        <f t="shared" si="2449"/>
        <v>0</v>
      </c>
      <c r="FV110">
        <f t="shared" si="2450"/>
        <v>0</v>
      </c>
      <c r="FW110">
        <f t="shared" si="2451"/>
        <v>0</v>
      </c>
    </row>
    <row r="111" spans="1:179" x14ac:dyDescent="0.35">
      <c r="B111" s="73" t="s">
        <v>405</v>
      </c>
      <c r="C111" s="8">
        <v>0.5</v>
      </c>
      <c r="D111" s="48">
        <v>23</v>
      </c>
      <c r="E111" s="48">
        <v>95</v>
      </c>
      <c r="F111" s="48">
        <v>2.13</v>
      </c>
      <c r="G111" s="49">
        <v>0</v>
      </c>
      <c r="H111" s="49">
        <v>2.13</v>
      </c>
      <c r="I111" s="48">
        <v>0.52</v>
      </c>
      <c r="J111" s="49">
        <v>0</v>
      </c>
      <c r="K111" s="49">
        <v>0.52</v>
      </c>
      <c r="L111" s="48">
        <v>0</v>
      </c>
      <c r="M111" s="48">
        <v>3.67</v>
      </c>
      <c r="N111" s="42">
        <v>0</v>
      </c>
      <c r="O111" s="48">
        <v>0.87</v>
      </c>
      <c r="P111" s="48">
        <v>2.8</v>
      </c>
      <c r="Q111" s="48">
        <v>0</v>
      </c>
      <c r="R111" s="48">
        <v>92.2</v>
      </c>
      <c r="S111" s="48">
        <v>1.77</v>
      </c>
      <c r="T111" s="48">
        <v>67</v>
      </c>
      <c r="U111" s="48">
        <v>46</v>
      </c>
      <c r="V111" s="48">
        <v>521</v>
      </c>
      <c r="W111" s="48">
        <v>48</v>
      </c>
      <c r="X111" s="48">
        <v>0.5</v>
      </c>
      <c r="Y111" s="48">
        <v>26</v>
      </c>
      <c r="Z111" s="48">
        <v>0.22500000000000001</v>
      </c>
      <c r="AA111" s="48">
        <v>0.9</v>
      </c>
      <c r="AB111" s="46">
        <v>0.5</v>
      </c>
      <c r="AC111" s="42">
        <v>6.7</v>
      </c>
      <c r="AD111" s="48">
        <v>0.42599999999999999</v>
      </c>
      <c r="AE111" s="46">
        <v>0.5</v>
      </c>
      <c r="AF111" s="48">
        <v>6.7000000000000004E-2</v>
      </c>
      <c r="AG111" s="48">
        <v>0.16200000000000001</v>
      </c>
      <c r="AH111" s="48">
        <v>27</v>
      </c>
      <c r="AI111" s="48">
        <v>1.1100000000000001</v>
      </c>
      <c r="AJ111" s="48">
        <v>0.14899999999999999</v>
      </c>
      <c r="AK111" s="48">
        <v>62</v>
      </c>
      <c r="AL111" s="48">
        <v>0.56999999999999995</v>
      </c>
      <c r="AM111" s="46">
        <v>0.05</v>
      </c>
      <c r="AN111" s="48">
        <v>0</v>
      </c>
      <c r="AO111" s="48">
        <v>674.83333333333337</v>
      </c>
      <c r="AP111" s="48">
        <v>0</v>
      </c>
      <c r="AQ111" s="48">
        <v>4049</v>
      </c>
      <c r="AR111" s="48">
        <v>2.5</v>
      </c>
      <c r="AS111" s="48">
        <v>0</v>
      </c>
      <c r="AT111" s="48">
        <v>310</v>
      </c>
      <c r="AU111" s="48">
        <v>1.4E-2</v>
      </c>
      <c r="AV111" s="44">
        <v>0</v>
      </c>
      <c r="AW111" s="48">
        <v>0</v>
      </c>
      <c r="AX111" s="48">
        <v>0</v>
      </c>
      <c r="AY111" s="48">
        <v>1.2E-2</v>
      </c>
      <c r="AZ111" s="48">
        <v>1E-3</v>
      </c>
      <c r="BA111" s="42">
        <v>1E-3</v>
      </c>
      <c r="BB111" s="42">
        <v>3.0000000000000001E-3</v>
      </c>
      <c r="BC111" s="48">
        <v>0.27500000000000002</v>
      </c>
      <c r="BD111" s="43">
        <v>0</v>
      </c>
      <c r="BE111" s="48">
        <v>2E-3</v>
      </c>
      <c r="BF111" s="48">
        <v>0.27300000000000002</v>
      </c>
      <c r="BG111" s="48">
        <v>0</v>
      </c>
      <c r="BH111" s="48">
        <v>0</v>
      </c>
      <c r="BI111" s="48">
        <v>0.04</v>
      </c>
      <c r="BJ111" s="43">
        <v>0</v>
      </c>
      <c r="BK111" s="43">
        <v>0</v>
      </c>
      <c r="BL111" s="48">
        <v>0</v>
      </c>
      <c r="BM111" s="48">
        <v>0</v>
      </c>
      <c r="BN111" s="48">
        <v>0</v>
      </c>
      <c r="BO111" s="44">
        <v>0.04</v>
      </c>
      <c r="BP111" s="43">
        <v>6.5500000000000003E-2</v>
      </c>
      <c r="BQ111" s="43">
        <v>0.17399999999999999</v>
      </c>
      <c r="BR111" s="43">
        <v>0.16699999999999998</v>
      </c>
      <c r="BS111" s="43">
        <v>0.38799999999999996</v>
      </c>
      <c r="BT111" s="43">
        <v>0.3795</v>
      </c>
      <c r="BU111" s="43">
        <v>7.3000000000000009E-2</v>
      </c>
      <c r="BV111" s="43">
        <v>6.25E-2</v>
      </c>
      <c r="BW111" s="43">
        <v>0.2525</v>
      </c>
      <c r="BX111" s="43">
        <v>0.16850000000000001</v>
      </c>
      <c r="BY111" s="43">
        <v>0.189</v>
      </c>
      <c r="BZ111" s="43">
        <v>0.36250000000000004</v>
      </c>
      <c r="CA111" s="43">
        <v>0.14100000000000001</v>
      </c>
      <c r="CB111" s="43">
        <v>0.22599999999999998</v>
      </c>
      <c r="CC111" s="43">
        <v>0.73899999999999999</v>
      </c>
      <c r="CD111" s="43">
        <v>1.0309999999999999</v>
      </c>
      <c r="CE111" s="43">
        <v>0.22599999999999998</v>
      </c>
      <c r="CF111" s="43">
        <v>0.34400000000000003</v>
      </c>
      <c r="CG111" s="43">
        <v>0.33600000000000002</v>
      </c>
      <c r="CH111" s="42">
        <v>0.37</v>
      </c>
      <c r="CI111" s="42">
        <v>0.497</v>
      </c>
      <c r="CJ111" s="47">
        <v>0</v>
      </c>
      <c r="CK111" s="42">
        <v>0</v>
      </c>
      <c r="CL111" s="42">
        <v>0</v>
      </c>
      <c r="CM111" s="47">
        <v>0</v>
      </c>
      <c r="CN111">
        <f t="shared" si="2364"/>
        <v>0.115</v>
      </c>
      <c r="CO111">
        <f t="shared" si="2365"/>
        <v>0.47499999999999998</v>
      </c>
      <c r="CP111">
        <f t="shared" si="2366"/>
        <v>1.065E-2</v>
      </c>
      <c r="CQ111">
        <f t="shared" si="2367"/>
        <v>0</v>
      </c>
      <c r="CR111">
        <f t="shared" si="2368"/>
        <v>1.065E-2</v>
      </c>
      <c r="CS111">
        <f t="shared" si="2369"/>
        <v>2.5999999999999999E-3</v>
      </c>
      <c r="CT111">
        <f t="shared" si="2370"/>
        <v>0</v>
      </c>
      <c r="CU111">
        <f t="shared" si="2371"/>
        <v>2.5999999999999999E-3</v>
      </c>
      <c r="CV111">
        <f t="shared" si="2372"/>
        <v>0</v>
      </c>
      <c r="CW111">
        <f t="shared" si="2373"/>
        <v>1.8349999999999998E-2</v>
      </c>
      <c r="CX111">
        <f t="shared" si="2374"/>
        <v>0</v>
      </c>
      <c r="CY111">
        <f t="shared" si="2375"/>
        <v>4.3499999999999997E-3</v>
      </c>
      <c r="CZ111">
        <f t="shared" si="2376"/>
        <v>1.3999999999999999E-2</v>
      </c>
      <c r="DA111">
        <f t="shared" si="2377"/>
        <v>0</v>
      </c>
      <c r="DB111">
        <f t="shared" si="2378"/>
        <v>0.46100000000000002</v>
      </c>
      <c r="DC111">
        <f t="shared" si="2379"/>
        <v>8.8500000000000002E-3</v>
      </c>
      <c r="DD111">
        <f t="shared" si="2380"/>
        <v>0.33500000000000002</v>
      </c>
      <c r="DE111">
        <f t="shared" si="2381"/>
        <v>0.23</v>
      </c>
      <c r="DF111">
        <f t="shared" si="2382"/>
        <v>2.605</v>
      </c>
      <c r="DG111">
        <f t="shared" si="2383"/>
        <v>0.24</v>
      </c>
      <c r="DH111">
        <f t="shared" si="2384"/>
        <v>2.5000000000000001E-3</v>
      </c>
      <c r="DI111">
        <f t="shared" si="2385"/>
        <v>0.13</v>
      </c>
      <c r="DJ111">
        <f t="shared" si="2386"/>
        <v>1.1250000000000001E-3</v>
      </c>
      <c r="DK111">
        <f t="shared" si="2387"/>
        <v>4.5000000000000005E-3</v>
      </c>
      <c r="DL111">
        <f t="shared" si="2388"/>
        <v>2.5000000000000001E-3</v>
      </c>
      <c r="DM111">
        <f t="shared" si="2389"/>
        <v>3.3500000000000002E-2</v>
      </c>
      <c r="DN111">
        <f t="shared" si="2390"/>
        <v>2.1299999999999999E-3</v>
      </c>
      <c r="DO111">
        <f t="shared" si="2391"/>
        <v>2.5000000000000001E-3</v>
      </c>
      <c r="DP111">
        <f t="shared" si="2392"/>
        <v>3.3500000000000001E-4</v>
      </c>
      <c r="DQ111">
        <f t="shared" si="2393"/>
        <v>8.1000000000000006E-4</v>
      </c>
      <c r="DR111">
        <f t="shared" si="2394"/>
        <v>0.13500000000000001</v>
      </c>
      <c r="DS111">
        <f t="shared" si="2395"/>
        <v>5.5500000000000002E-3</v>
      </c>
      <c r="DT111">
        <f t="shared" si="2396"/>
        <v>7.45E-4</v>
      </c>
      <c r="DU111">
        <f t="shared" si="2397"/>
        <v>0.31</v>
      </c>
      <c r="DV111">
        <f t="shared" si="2398"/>
        <v>2.8499999999999997E-3</v>
      </c>
      <c r="DW111">
        <f t="shared" si="2399"/>
        <v>2.5000000000000001E-4</v>
      </c>
      <c r="DX111">
        <f t="shared" si="2400"/>
        <v>0</v>
      </c>
      <c r="DY111">
        <f t="shared" si="2401"/>
        <v>3.374166666666667</v>
      </c>
      <c r="DZ111">
        <f t="shared" si="2402"/>
        <v>0</v>
      </c>
      <c r="EA111">
        <f t="shared" si="2403"/>
        <v>20.245000000000001</v>
      </c>
      <c r="EB111">
        <f t="shared" si="2404"/>
        <v>1.2500000000000001E-2</v>
      </c>
      <c r="EC111">
        <f t="shared" si="2405"/>
        <v>0</v>
      </c>
      <c r="ED111">
        <f t="shared" si="2406"/>
        <v>1.55</v>
      </c>
      <c r="EE111">
        <f t="shared" si="2407"/>
        <v>7.0000000000000007E-5</v>
      </c>
      <c r="EF111">
        <f t="shared" si="2408"/>
        <v>0</v>
      </c>
      <c r="EG111">
        <f t="shared" si="2409"/>
        <v>0</v>
      </c>
      <c r="EH111">
        <f t="shared" si="2410"/>
        <v>0</v>
      </c>
      <c r="EI111">
        <f t="shared" si="2411"/>
        <v>6.0000000000000002E-5</v>
      </c>
      <c r="EJ111">
        <f t="shared" si="2412"/>
        <v>5.0000000000000004E-6</v>
      </c>
      <c r="EK111">
        <f t="shared" si="2413"/>
        <v>5.0000000000000004E-6</v>
      </c>
      <c r="EL111">
        <f t="shared" si="2414"/>
        <v>1.5E-5</v>
      </c>
      <c r="EM111">
        <f t="shared" si="2415"/>
        <v>1.3750000000000001E-3</v>
      </c>
      <c r="EN111">
        <f t="shared" si="2416"/>
        <v>0</v>
      </c>
      <c r="EO111">
        <f t="shared" si="2417"/>
        <v>1.0000000000000001E-5</v>
      </c>
      <c r="EP111">
        <f t="shared" si="2418"/>
        <v>1.3650000000000001E-3</v>
      </c>
      <c r="EQ111">
        <f t="shared" si="2419"/>
        <v>0</v>
      </c>
      <c r="ER111">
        <f t="shared" si="2420"/>
        <v>0</v>
      </c>
      <c r="ES111">
        <f t="shared" si="2421"/>
        <v>2.0000000000000001E-4</v>
      </c>
      <c r="ET111">
        <f t="shared" si="2422"/>
        <v>0</v>
      </c>
      <c r="EU111">
        <f t="shared" si="2423"/>
        <v>0</v>
      </c>
      <c r="EV111">
        <f t="shared" si="2424"/>
        <v>0</v>
      </c>
      <c r="EW111">
        <f t="shared" si="2425"/>
        <v>0</v>
      </c>
      <c r="EX111">
        <f t="shared" si="2426"/>
        <v>0</v>
      </c>
      <c r="EY111">
        <f t="shared" si="2427"/>
        <v>2.0000000000000001E-4</v>
      </c>
      <c r="EZ111">
        <f t="shared" si="2428"/>
        <v>3.2749999999999999E-4</v>
      </c>
      <c r="FA111">
        <f t="shared" si="2429"/>
        <v>8.699999999999999E-4</v>
      </c>
      <c r="FB111">
        <f t="shared" si="2430"/>
        <v>8.3499999999999991E-4</v>
      </c>
      <c r="FC111">
        <f t="shared" si="2431"/>
        <v>1.9399999999999999E-3</v>
      </c>
      <c r="FD111">
        <f t="shared" si="2432"/>
        <v>1.8975000000000001E-3</v>
      </c>
      <c r="FE111">
        <f t="shared" si="2433"/>
        <v>3.6500000000000004E-4</v>
      </c>
      <c r="FF111">
        <f t="shared" si="2434"/>
        <v>3.1250000000000001E-4</v>
      </c>
      <c r="FG111">
        <f t="shared" si="2435"/>
        <v>1.2625E-3</v>
      </c>
      <c r="FH111">
        <f t="shared" si="2436"/>
        <v>8.4250000000000004E-4</v>
      </c>
      <c r="FI111">
        <f t="shared" si="2437"/>
        <v>9.4499999999999998E-4</v>
      </c>
      <c r="FJ111">
        <f t="shared" si="2438"/>
        <v>1.8125000000000003E-3</v>
      </c>
      <c r="FK111">
        <f t="shared" si="2439"/>
        <v>7.0500000000000011E-4</v>
      </c>
      <c r="FL111">
        <f t="shared" si="2440"/>
        <v>1.1299999999999999E-3</v>
      </c>
      <c r="FM111">
        <f t="shared" si="2441"/>
        <v>3.6949999999999999E-3</v>
      </c>
      <c r="FN111">
        <f t="shared" si="2442"/>
        <v>5.1549999999999999E-3</v>
      </c>
      <c r="FO111">
        <f t="shared" si="2443"/>
        <v>1.1299999999999999E-3</v>
      </c>
      <c r="FP111">
        <f t="shared" si="2444"/>
        <v>1.7200000000000002E-3</v>
      </c>
      <c r="FQ111">
        <f t="shared" si="2445"/>
        <v>1.6800000000000001E-3</v>
      </c>
      <c r="FR111">
        <f t="shared" si="2446"/>
        <v>1.8500000000000001E-3</v>
      </c>
      <c r="FS111">
        <f t="shared" si="2447"/>
        <v>2.4849999999999998E-3</v>
      </c>
      <c r="FT111">
        <f t="shared" si="2448"/>
        <v>0</v>
      </c>
      <c r="FU111">
        <f t="shared" si="2449"/>
        <v>0</v>
      </c>
      <c r="FV111">
        <f t="shared" si="2450"/>
        <v>0</v>
      </c>
      <c r="FW111">
        <f t="shared" si="2451"/>
        <v>0</v>
      </c>
    </row>
    <row r="112" spans="1:179" x14ac:dyDescent="0.35">
      <c r="B112" s="71" t="s">
        <v>453</v>
      </c>
      <c r="C112" s="11">
        <v>1</v>
      </c>
      <c r="D112" s="54">
        <v>270</v>
      </c>
      <c r="E112" s="54">
        <v>1132</v>
      </c>
      <c r="F112" s="54">
        <v>10.9</v>
      </c>
      <c r="G112" s="54">
        <v>0</v>
      </c>
      <c r="H112" s="54">
        <v>10.9</v>
      </c>
      <c r="I112" s="54">
        <v>3.3</v>
      </c>
      <c r="J112" s="54">
        <v>0</v>
      </c>
      <c r="K112" s="54">
        <v>3.3</v>
      </c>
      <c r="L112" s="54">
        <v>0</v>
      </c>
      <c r="M112" s="54">
        <v>38.299999999999997</v>
      </c>
      <c r="N112" s="51">
        <v>0.05</v>
      </c>
      <c r="O112" s="54">
        <v>38.299999999999997</v>
      </c>
      <c r="P112" s="54">
        <v>26.5</v>
      </c>
      <c r="Q112" s="54">
        <v>0</v>
      </c>
      <c r="R112" s="54">
        <v>10.5</v>
      </c>
      <c r="S112" s="54">
        <v>28.9</v>
      </c>
      <c r="T112" s="54">
        <v>437</v>
      </c>
      <c r="U112" s="54">
        <v>44</v>
      </c>
      <c r="V112" s="54">
        <v>1259</v>
      </c>
      <c r="W112" s="54">
        <v>173</v>
      </c>
      <c r="X112" s="54">
        <v>1.4</v>
      </c>
      <c r="Y112" s="81">
        <v>0</v>
      </c>
      <c r="Z112" s="81">
        <v>0</v>
      </c>
      <c r="AA112" s="81">
        <v>0</v>
      </c>
      <c r="AB112" s="81">
        <v>0</v>
      </c>
      <c r="AC112" s="81">
        <v>0</v>
      </c>
      <c r="AD112" s="81">
        <v>0</v>
      </c>
      <c r="AE112" s="81">
        <v>0</v>
      </c>
      <c r="AF112" s="54">
        <v>0.11</v>
      </c>
      <c r="AG112" s="54">
        <v>0.24</v>
      </c>
      <c r="AH112" s="54">
        <v>21</v>
      </c>
      <c r="AI112" s="54">
        <v>1.1000000000000001</v>
      </c>
      <c r="AJ112" s="54">
        <v>0.34</v>
      </c>
      <c r="AK112" s="54">
        <v>10</v>
      </c>
      <c r="AL112" s="81">
        <v>0</v>
      </c>
      <c r="AM112" s="81">
        <v>0</v>
      </c>
      <c r="AN112" s="81">
        <v>0</v>
      </c>
      <c r="AO112" s="54">
        <v>19</v>
      </c>
      <c r="AP112" s="54">
        <v>0</v>
      </c>
      <c r="AQ112" s="54">
        <v>114</v>
      </c>
      <c r="AR112" s="54">
        <v>1.03</v>
      </c>
      <c r="AS112" s="54">
        <v>0</v>
      </c>
      <c r="AT112" s="81">
        <v>0</v>
      </c>
      <c r="AU112" s="54">
        <v>0.98</v>
      </c>
      <c r="AV112" s="81">
        <v>0</v>
      </c>
      <c r="AW112" s="81">
        <v>0</v>
      </c>
      <c r="AX112" s="81">
        <v>0</v>
      </c>
      <c r="AY112" s="81">
        <v>0</v>
      </c>
      <c r="AZ112" s="81">
        <v>0</v>
      </c>
      <c r="BA112" s="81">
        <v>0</v>
      </c>
      <c r="BB112" s="81">
        <v>0</v>
      </c>
      <c r="BC112" s="54">
        <v>1.01</v>
      </c>
      <c r="BD112" s="82">
        <v>0</v>
      </c>
      <c r="BE112" s="82">
        <v>0</v>
      </c>
      <c r="BF112" s="54">
        <v>1.01</v>
      </c>
      <c r="BG112" s="82">
        <v>0</v>
      </c>
      <c r="BH112" s="82">
        <v>0</v>
      </c>
      <c r="BI112" s="54">
        <v>1.1299999999999999</v>
      </c>
      <c r="BJ112" s="54">
        <v>0.97</v>
      </c>
      <c r="BK112" s="54">
        <v>0.16</v>
      </c>
      <c r="BL112" s="82">
        <v>0</v>
      </c>
      <c r="BM112" s="82">
        <v>0</v>
      </c>
      <c r="BN112" s="82">
        <v>0</v>
      </c>
      <c r="BO112" s="54">
        <v>0</v>
      </c>
      <c r="BP112" s="88">
        <v>0</v>
      </c>
      <c r="BQ112" s="88">
        <v>0</v>
      </c>
      <c r="BR112" s="88">
        <v>0</v>
      </c>
      <c r="BS112" s="88">
        <v>0</v>
      </c>
      <c r="BT112" s="88">
        <v>0</v>
      </c>
      <c r="BU112" s="88">
        <v>0</v>
      </c>
      <c r="BV112" s="88">
        <v>0</v>
      </c>
      <c r="BW112" s="88">
        <v>0</v>
      </c>
      <c r="BX112" s="88">
        <v>0</v>
      </c>
      <c r="BY112" s="88">
        <v>0</v>
      </c>
      <c r="BZ112" s="88">
        <v>0</v>
      </c>
      <c r="CA112" s="88">
        <v>0</v>
      </c>
      <c r="CB112" s="88">
        <v>0</v>
      </c>
      <c r="CC112" s="88">
        <v>0</v>
      </c>
      <c r="CD112" s="88">
        <v>0</v>
      </c>
      <c r="CE112" s="88">
        <v>0</v>
      </c>
      <c r="CF112" s="88">
        <v>0</v>
      </c>
      <c r="CG112" s="88">
        <v>0</v>
      </c>
      <c r="CH112" s="81">
        <v>0</v>
      </c>
      <c r="CI112" s="81">
        <v>0</v>
      </c>
      <c r="CJ112" s="83">
        <v>0</v>
      </c>
      <c r="CK112" s="81">
        <v>0</v>
      </c>
      <c r="CL112" s="81">
        <v>0</v>
      </c>
      <c r="CM112" s="83">
        <v>0</v>
      </c>
      <c r="CN112">
        <f t="shared" si="2364"/>
        <v>2.7</v>
      </c>
      <c r="CO112">
        <f t="shared" si="2365"/>
        <v>11.32</v>
      </c>
      <c r="CP112">
        <f t="shared" si="2366"/>
        <v>0.109</v>
      </c>
      <c r="CQ112">
        <f t="shared" si="2367"/>
        <v>0</v>
      </c>
      <c r="CR112">
        <f t="shared" si="2368"/>
        <v>0.109</v>
      </c>
      <c r="CS112">
        <f t="shared" si="2369"/>
        <v>3.3000000000000002E-2</v>
      </c>
      <c r="CT112">
        <f t="shared" si="2370"/>
        <v>0</v>
      </c>
      <c r="CU112">
        <f t="shared" si="2371"/>
        <v>3.3000000000000002E-2</v>
      </c>
      <c r="CV112">
        <f t="shared" si="2372"/>
        <v>0</v>
      </c>
      <c r="CW112">
        <f t="shared" si="2373"/>
        <v>0.38299999999999995</v>
      </c>
      <c r="CX112">
        <f t="shared" si="2374"/>
        <v>5.0000000000000001E-4</v>
      </c>
      <c r="CY112">
        <f t="shared" si="2375"/>
        <v>0.38299999999999995</v>
      </c>
      <c r="CZ112">
        <f t="shared" si="2376"/>
        <v>0.26500000000000001</v>
      </c>
      <c r="DA112">
        <f t="shared" si="2377"/>
        <v>0</v>
      </c>
      <c r="DB112">
        <f t="shared" si="2378"/>
        <v>0.105</v>
      </c>
      <c r="DC112">
        <f t="shared" si="2379"/>
        <v>0.28899999999999998</v>
      </c>
      <c r="DD112">
        <f t="shared" si="2380"/>
        <v>4.37</v>
      </c>
      <c r="DE112">
        <f t="shared" si="2381"/>
        <v>0.44</v>
      </c>
      <c r="DF112">
        <f t="shared" si="2382"/>
        <v>12.59</v>
      </c>
      <c r="DG112">
        <f t="shared" si="2383"/>
        <v>1.73</v>
      </c>
      <c r="DH112">
        <f t="shared" si="2384"/>
        <v>1.3999999999999999E-2</v>
      </c>
      <c r="DI112">
        <f t="shared" si="2385"/>
        <v>0</v>
      </c>
      <c r="DJ112">
        <f t="shared" si="2386"/>
        <v>0</v>
      </c>
      <c r="DK112">
        <f t="shared" si="2387"/>
        <v>0</v>
      </c>
      <c r="DL112">
        <f t="shared" si="2388"/>
        <v>0</v>
      </c>
      <c r="DM112">
        <f t="shared" si="2389"/>
        <v>0</v>
      </c>
      <c r="DN112">
        <f t="shared" si="2390"/>
        <v>0</v>
      </c>
      <c r="DO112">
        <f t="shared" si="2391"/>
        <v>0</v>
      </c>
      <c r="DP112">
        <f t="shared" si="2392"/>
        <v>1.1000000000000001E-3</v>
      </c>
      <c r="DQ112">
        <f t="shared" si="2393"/>
        <v>2.3999999999999998E-3</v>
      </c>
      <c r="DR112">
        <f t="shared" si="2394"/>
        <v>0.21</v>
      </c>
      <c r="DS112">
        <f t="shared" si="2395"/>
        <v>1.1000000000000001E-2</v>
      </c>
      <c r="DT112">
        <f t="shared" si="2396"/>
        <v>3.4000000000000002E-3</v>
      </c>
      <c r="DU112">
        <f t="shared" si="2397"/>
        <v>0.1</v>
      </c>
      <c r="DV112">
        <f t="shared" si="2398"/>
        <v>0</v>
      </c>
      <c r="DW112">
        <f t="shared" si="2399"/>
        <v>0</v>
      </c>
      <c r="DX112">
        <f t="shared" si="2400"/>
        <v>0</v>
      </c>
      <c r="DY112">
        <f t="shared" si="2401"/>
        <v>0.19</v>
      </c>
      <c r="DZ112">
        <f t="shared" si="2402"/>
        <v>0</v>
      </c>
      <c r="EA112">
        <f t="shared" si="2403"/>
        <v>1.1399999999999999</v>
      </c>
      <c r="EB112">
        <f t="shared" si="2404"/>
        <v>1.03E-2</v>
      </c>
      <c r="EC112">
        <f t="shared" si="2405"/>
        <v>0</v>
      </c>
      <c r="ED112">
        <f t="shared" si="2406"/>
        <v>0</v>
      </c>
      <c r="EE112">
        <f t="shared" si="2407"/>
        <v>9.7999999999999997E-3</v>
      </c>
      <c r="EF112">
        <f t="shared" si="2408"/>
        <v>0</v>
      </c>
      <c r="EG112">
        <f t="shared" si="2409"/>
        <v>0</v>
      </c>
      <c r="EH112">
        <f t="shared" si="2410"/>
        <v>0</v>
      </c>
      <c r="EI112">
        <f t="shared" si="2411"/>
        <v>0</v>
      </c>
      <c r="EJ112">
        <f t="shared" si="2412"/>
        <v>0</v>
      </c>
      <c r="EK112">
        <f t="shared" si="2413"/>
        <v>0</v>
      </c>
      <c r="EL112">
        <f t="shared" si="2414"/>
        <v>0</v>
      </c>
      <c r="EM112">
        <f t="shared" si="2415"/>
        <v>1.01E-2</v>
      </c>
      <c r="EN112">
        <f t="shared" si="2416"/>
        <v>0</v>
      </c>
      <c r="EO112">
        <f t="shared" si="2417"/>
        <v>0</v>
      </c>
      <c r="EP112">
        <f t="shared" si="2418"/>
        <v>1.01E-2</v>
      </c>
      <c r="EQ112">
        <f t="shared" si="2419"/>
        <v>0</v>
      </c>
      <c r="ER112">
        <f t="shared" si="2420"/>
        <v>0</v>
      </c>
      <c r="ES112">
        <f t="shared" si="2421"/>
        <v>1.1299999999999999E-2</v>
      </c>
      <c r="ET112">
        <f t="shared" si="2422"/>
        <v>9.7000000000000003E-3</v>
      </c>
      <c r="EU112">
        <f t="shared" si="2423"/>
        <v>1.6000000000000001E-3</v>
      </c>
      <c r="EV112">
        <f t="shared" si="2424"/>
        <v>0</v>
      </c>
      <c r="EW112">
        <f t="shared" si="2425"/>
        <v>0</v>
      </c>
      <c r="EX112">
        <f t="shared" si="2426"/>
        <v>0</v>
      </c>
      <c r="EY112">
        <f t="shared" si="2427"/>
        <v>0</v>
      </c>
      <c r="EZ112">
        <f t="shared" si="2428"/>
        <v>0</v>
      </c>
      <c r="FA112">
        <f t="shared" si="2429"/>
        <v>0</v>
      </c>
      <c r="FB112">
        <f t="shared" si="2430"/>
        <v>0</v>
      </c>
      <c r="FC112">
        <f t="shared" si="2431"/>
        <v>0</v>
      </c>
      <c r="FD112">
        <f t="shared" si="2432"/>
        <v>0</v>
      </c>
      <c r="FE112">
        <f t="shared" si="2433"/>
        <v>0</v>
      </c>
      <c r="FF112">
        <f t="shared" si="2434"/>
        <v>0</v>
      </c>
      <c r="FG112">
        <f t="shared" si="2435"/>
        <v>0</v>
      </c>
      <c r="FH112">
        <f t="shared" si="2436"/>
        <v>0</v>
      </c>
      <c r="FI112">
        <f t="shared" si="2437"/>
        <v>0</v>
      </c>
      <c r="FJ112">
        <f t="shared" si="2438"/>
        <v>0</v>
      </c>
      <c r="FK112">
        <f t="shared" si="2439"/>
        <v>0</v>
      </c>
      <c r="FL112">
        <f t="shared" si="2440"/>
        <v>0</v>
      </c>
      <c r="FM112">
        <f t="shared" si="2441"/>
        <v>0</v>
      </c>
      <c r="FN112">
        <f t="shared" si="2442"/>
        <v>0</v>
      </c>
      <c r="FO112">
        <f t="shared" si="2443"/>
        <v>0</v>
      </c>
      <c r="FP112">
        <f t="shared" si="2444"/>
        <v>0</v>
      </c>
      <c r="FQ112">
        <f t="shared" si="2445"/>
        <v>0</v>
      </c>
      <c r="FR112">
        <f t="shared" si="2446"/>
        <v>0</v>
      </c>
      <c r="FS112">
        <f t="shared" si="2447"/>
        <v>0</v>
      </c>
      <c r="FT112">
        <f t="shared" si="2448"/>
        <v>0</v>
      </c>
      <c r="FU112">
        <f t="shared" si="2449"/>
        <v>0</v>
      </c>
      <c r="FV112">
        <f t="shared" si="2450"/>
        <v>0</v>
      </c>
      <c r="FW112">
        <f t="shared" si="2451"/>
        <v>0</v>
      </c>
    </row>
    <row r="113" spans="1:179" x14ac:dyDescent="0.35">
      <c r="C113">
        <f>SUM(C101:C112)</f>
        <v>100</v>
      </c>
      <c r="CN113">
        <f>SUM(CN101:CN112)</f>
        <v>130.56</v>
      </c>
      <c r="CO113">
        <f t="shared" ref="CO113:EZ113" si="2452">SUM(CO101:CO112)</f>
        <v>543.81999999999994</v>
      </c>
      <c r="CP113">
        <f t="shared" si="2452"/>
        <v>7.316650000000001</v>
      </c>
      <c r="CQ113">
        <f t="shared" si="2452"/>
        <v>5.73</v>
      </c>
      <c r="CR113">
        <f t="shared" si="2452"/>
        <v>1.5866499999999999</v>
      </c>
      <c r="CS113">
        <f t="shared" si="2452"/>
        <v>8.168099999999999</v>
      </c>
      <c r="CT113">
        <f t="shared" si="2452"/>
        <v>2.79</v>
      </c>
      <c r="CU113">
        <f t="shared" si="2452"/>
        <v>5.3781000000000008</v>
      </c>
      <c r="CV113">
        <f t="shared" si="2452"/>
        <v>21</v>
      </c>
      <c r="CW113">
        <f t="shared" si="2452"/>
        <v>5.9798499999999999</v>
      </c>
      <c r="CX113">
        <f t="shared" si="2452"/>
        <v>1.3234999999999999</v>
      </c>
      <c r="CY113">
        <f t="shared" si="2452"/>
        <v>4.6428499999999993</v>
      </c>
      <c r="CZ113">
        <f t="shared" si="2452"/>
        <v>2.7185000000000001</v>
      </c>
      <c r="DA113">
        <f t="shared" si="2452"/>
        <v>0</v>
      </c>
      <c r="DB113">
        <f t="shared" si="2452"/>
        <v>74.405000000000001</v>
      </c>
      <c r="DC113">
        <f t="shared" si="2452"/>
        <v>2.0418499999999997</v>
      </c>
      <c r="DD113">
        <f t="shared" si="2452"/>
        <v>29.69</v>
      </c>
      <c r="DE113">
        <f t="shared" si="2452"/>
        <v>95.174999999999997</v>
      </c>
      <c r="DF113">
        <f t="shared" si="2452"/>
        <v>258.72999999999996</v>
      </c>
      <c r="DG113">
        <f t="shared" si="2452"/>
        <v>79.614999999999995</v>
      </c>
      <c r="DH113">
        <f t="shared" si="2452"/>
        <v>1.4950499999999998</v>
      </c>
      <c r="DI113">
        <f t="shared" si="2452"/>
        <v>4.5250000000000004</v>
      </c>
      <c r="DJ113">
        <f t="shared" si="2452"/>
        <v>2.0225E-2</v>
      </c>
      <c r="DK113">
        <f t="shared" si="2452"/>
        <v>0.90749999999999986</v>
      </c>
      <c r="DL113">
        <f t="shared" si="2452"/>
        <v>15.6275</v>
      </c>
      <c r="DM113">
        <f t="shared" si="2452"/>
        <v>3.0634999999999999</v>
      </c>
      <c r="DN113">
        <f t="shared" si="2452"/>
        <v>3.9299999999999995E-3</v>
      </c>
      <c r="DO113">
        <f t="shared" si="2452"/>
        <v>54.027499999999996</v>
      </c>
      <c r="DP113">
        <f t="shared" si="2452"/>
        <v>6.1934999999999997E-2</v>
      </c>
      <c r="DQ113">
        <f t="shared" si="2452"/>
        <v>6.7409999999999998E-2</v>
      </c>
      <c r="DR113">
        <f t="shared" si="2452"/>
        <v>22.648550000000004</v>
      </c>
      <c r="DS113">
        <f t="shared" si="2452"/>
        <v>1.602495</v>
      </c>
      <c r="DT113">
        <f t="shared" si="2452"/>
        <v>0.28774500000000003</v>
      </c>
      <c r="DU113">
        <f t="shared" si="2452"/>
        <v>19.18</v>
      </c>
      <c r="DV113">
        <f t="shared" si="2452"/>
        <v>0.23415</v>
      </c>
      <c r="DW113">
        <f t="shared" si="2452"/>
        <v>0.30324999999999996</v>
      </c>
      <c r="DX113">
        <f t="shared" si="2452"/>
        <v>0.6</v>
      </c>
      <c r="DY113">
        <f t="shared" si="2452"/>
        <v>190.91416666666669</v>
      </c>
      <c r="DZ113">
        <f t="shared" si="2452"/>
        <v>0.15</v>
      </c>
      <c r="EA113">
        <f t="shared" si="2452"/>
        <v>1144.26</v>
      </c>
      <c r="EB113">
        <f t="shared" si="2452"/>
        <v>2.1105</v>
      </c>
      <c r="EC113">
        <f t="shared" si="2452"/>
        <v>0.15</v>
      </c>
      <c r="ED113">
        <f t="shared" si="2452"/>
        <v>4.9050000000000002</v>
      </c>
      <c r="EE113">
        <f t="shared" si="2452"/>
        <v>1.6575700000000002</v>
      </c>
      <c r="EF113">
        <f t="shared" si="2452"/>
        <v>0</v>
      </c>
      <c r="EG113">
        <f t="shared" si="2452"/>
        <v>0</v>
      </c>
      <c r="EH113">
        <f t="shared" si="2452"/>
        <v>6.0299999999999999E-2</v>
      </c>
      <c r="EI113">
        <f t="shared" si="2452"/>
        <v>0.98625999999999991</v>
      </c>
      <c r="EJ113">
        <f t="shared" si="2452"/>
        <v>0.47040500000000002</v>
      </c>
      <c r="EK113">
        <f t="shared" si="2452"/>
        <v>3.8004999999999997E-2</v>
      </c>
      <c r="EL113">
        <f t="shared" si="2452"/>
        <v>1.5E-5</v>
      </c>
      <c r="EM113">
        <f t="shared" si="2452"/>
        <v>4.6610750000000003</v>
      </c>
      <c r="EN113">
        <f t="shared" si="2452"/>
        <v>8.7599999999999997E-2</v>
      </c>
      <c r="EO113">
        <f t="shared" si="2452"/>
        <v>9.9809999999999996E-2</v>
      </c>
      <c r="EP113">
        <f t="shared" si="2452"/>
        <v>4.3169650000000006</v>
      </c>
      <c r="EQ113">
        <f t="shared" si="2452"/>
        <v>1.4499999999999999E-2</v>
      </c>
      <c r="ER113">
        <f t="shared" si="2452"/>
        <v>6.5700000000000008E-2</v>
      </c>
      <c r="ES113">
        <f t="shared" si="2452"/>
        <v>1.1298500000000002</v>
      </c>
      <c r="ET113">
        <f t="shared" si="2452"/>
        <v>0.74685000000000001</v>
      </c>
      <c r="EU113">
        <f t="shared" si="2452"/>
        <v>0.12840000000000001</v>
      </c>
      <c r="EV113">
        <f t="shared" si="2452"/>
        <v>9.3000000000000013E-2</v>
      </c>
      <c r="EW113">
        <f t="shared" si="2452"/>
        <v>3.5699999999999996E-2</v>
      </c>
      <c r="EX113">
        <f t="shared" si="2452"/>
        <v>3.5699999999999996E-2</v>
      </c>
      <c r="EY113">
        <f t="shared" si="2452"/>
        <v>9.3300000000000022E-2</v>
      </c>
      <c r="EZ113">
        <f t="shared" si="2452"/>
        <v>76.710327500000005</v>
      </c>
      <c r="FA113">
        <f t="shared" ref="FA113:FW113" si="2453">SUM(FA101:FA112)</f>
        <v>289.22587000000004</v>
      </c>
      <c r="FB113">
        <f t="shared" si="2453"/>
        <v>310.34083500000003</v>
      </c>
      <c r="FC113">
        <f t="shared" si="2453"/>
        <v>583.26694000000009</v>
      </c>
      <c r="FD113">
        <f t="shared" si="2453"/>
        <v>607.03689750000001</v>
      </c>
      <c r="FE113">
        <f t="shared" si="2453"/>
        <v>181.34036500000002</v>
      </c>
      <c r="FF113">
        <f t="shared" si="2453"/>
        <v>77.345312500000006</v>
      </c>
      <c r="FG113">
        <f t="shared" si="2453"/>
        <v>301.83126249999998</v>
      </c>
      <c r="FH113">
        <f t="shared" si="2453"/>
        <v>242.6258425</v>
      </c>
      <c r="FI113">
        <f t="shared" si="2453"/>
        <v>339.21094499999998</v>
      </c>
      <c r="FJ113">
        <f t="shared" si="2453"/>
        <v>440.23681249999998</v>
      </c>
      <c r="FK113">
        <f t="shared" si="2453"/>
        <v>259.82070499999998</v>
      </c>
      <c r="FL113">
        <f t="shared" si="2453"/>
        <v>412.77112999999997</v>
      </c>
      <c r="FM113">
        <f t="shared" si="2453"/>
        <v>733.55369499999995</v>
      </c>
      <c r="FN113">
        <f t="shared" si="2453"/>
        <v>1224.8601550000003</v>
      </c>
      <c r="FO113">
        <f t="shared" si="2453"/>
        <v>359.64113000000003</v>
      </c>
      <c r="FP113">
        <f t="shared" si="2453"/>
        <v>296.97671999999994</v>
      </c>
      <c r="FQ113">
        <f t="shared" si="2453"/>
        <v>306.82668000000001</v>
      </c>
      <c r="FR113">
        <f t="shared" si="2453"/>
        <v>1.8500000000000001E-3</v>
      </c>
      <c r="FS113">
        <f t="shared" si="2453"/>
        <v>2.4849999999999998E-3</v>
      </c>
      <c r="FT113">
        <f t="shared" si="2453"/>
        <v>0</v>
      </c>
      <c r="FU113">
        <f t="shared" si="2453"/>
        <v>1.0129999999999999</v>
      </c>
      <c r="FV113">
        <f t="shared" si="2453"/>
        <v>0</v>
      </c>
      <c r="FW113">
        <f t="shared" si="2453"/>
        <v>0</v>
      </c>
    </row>
    <row r="115" spans="1:179" x14ac:dyDescent="0.35">
      <c r="A115" s="80" t="s">
        <v>250</v>
      </c>
      <c r="B115" s="72" t="s">
        <v>261</v>
      </c>
      <c r="C115">
        <v>65</v>
      </c>
      <c r="D115" s="54">
        <v>66</v>
      </c>
      <c r="E115" s="54">
        <v>278</v>
      </c>
      <c r="F115" s="54">
        <v>3.8</v>
      </c>
      <c r="G115" s="54">
        <v>3.8</v>
      </c>
      <c r="H115" s="54">
        <v>0</v>
      </c>
      <c r="I115" s="54">
        <v>3.9</v>
      </c>
      <c r="J115" s="54">
        <v>3.9</v>
      </c>
      <c r="K115" s="54">
        <v>0</v>
      </c>
      <c r="L115" s="54">
        <v>11</v>
      </c>
      <c r="M115" s="54">
        <v>4.3</v>
      </c>
      <c r="N115" s="54">
        <v>0</v>
      </c>
      <c r="O115" s="54">
        <v>4.3</v>
      </c>
      <c r="P115" s="54">
        <v>0</v>
      </c>
      <c r="Q115" s="54">
        <v>0</v>
      </c>
      <c r="R115" s="54">
        <v>87</v>
      </c>
      <c r="S115" s="54">
        <v>0.1</v>
      </c>
      <c r="T115" s="54">
        <v>125</v>
      </c>
      <c r="U115" s="54">
        <v>48</v>
      </c>
      <c r="V115" s="54">
        <v>170</v>
      </c>
      <c r="W115" s="54">
        <v>105</v>
      </c>
      <c r="X115" s="54">
        <v>0.41</v>
      </c>
      <c r="Y115" s="54">
        <v>12</v>
      </c>
      <c r="Z115" s="51">
        <v>5.0000000000000001E-3</v>
      </c>
      <c r="AA115" s="54">
        <v>2</v>
      </c>
      <c r="AB115" s="54">
        <v>170</v>
      </c>
      <c r="AC115" s="54">
        <v>63</v>
      </c>
      <c r="AD115" s="51">
        <v>5.0000000000000001E-3</v>
      </c>
      <c r="AE115" s="54">
        <v>53</v>
      </c>
      <c r="AF115" s="54">
        <v>0.04</v>
      </c>
      <c r="AG115" s="54">
        <v>0.19</v>
      </c>
      <c r="AH115" s="54">
        <v>1</v>
      </c>
      <c r="AI115" s="54">
        <v>0.11</v>
      </c>
      <c r="AJ115" s="54">
        <v>0.1</v>
      </c>
      <c r="AK115" s="54">
        <v>18</v>
      </c>
      <c r="AL115" s="54">
        <v>0.5</v>
      </c>
      <c r="AM115" s="54">
        <v>2.6</v>
      </c>
      <c r="AN115" s="54">
        <v>0.2</v>
      </c>
      <c r="AO115" s="54">
        <v>34</v>
      </c>
      <c r="AP115" s="54">
        <v>31</v>
      </c>
      <c r="AQ115" s="54">
        <v>16</v>
      </c>
      <c r="AR115" s="54">
        <v>0.08</v>
      </c>
      <c r="AS115" s="54">
        <v>0.04</v>
      </c>
      <c r="AT115" s="55">
        <v>0.2</v>
      </c>
      <c r="AU115" s="54">
        <v>2.0699999999999998</v>
      </c>
      <c r="AV115" s="54">
        <v>0.33</v>
      </c>
      <c r="AW115" s="54">
        <v>0.12</v>
      </c>
      <c r="AX115" s="54">
        <v>0.36</v>
      </c>
      <c r="AY115" s="54">
        <v>0.92</v>
      </c>
      <c r="AZ115" s="54">
        <v>0.34</v>
      </c>
      <c r="BA115" s="65">
        <v>0</v>
      </c>
      <c r="BB115" s="65">
        <v>0</v>
      </c>
      <c r="BC115" s="54">
        <v>0.84</v>
      </c>
      <c r="BD115" s="54">
        <v>0</v>
      </c>
      <c r="BE115" s="54">
        <v>0.01</v>
      </c>
      <c r="BF115" s="54">
        <v>0.83</v>
      </c>
      <c r="BG115" s="65">
        <v>0</v>
      </c>
      <c r="BH115" s="65">
        <v>0</v>
      </c>
      <c r="BI115" s="54">
        <v>0.13</v>
      </c>
      <c r="BJ115" s="54">
        <v>0.08</v>
      </c>
      <c r="BK115" s="54">
        <v>0.05</v>
      </c>
      <c r="BL115" s="54">
        <v>0</v>
      </c>
      <c r="BM115" s="65">
        <v>0</v>
      </c>
      <c r="BN115" s="65">
        <v>0</v>
      </c>
      <c r="BO115" s="54">
        <v>0</v>
      </c>
      <c r="BP115" s="56">
        <v>40</v>
      </c>
      <c r="BQ115" s="56">
        <v>140</v>
      </c>
      <c r="BR115" s="56">
        <v>160</v>
      </c>
      <c r="BS115" s="56">
        <v>300</v>
      </c>
      <c r="BT115" s="56">
        <v>260</v>
      </c>
      <c r="BU115" s="56">
        <v>90</v>
      </c>
      <c r="BV115" s="56">
        <v>30</v>
      </c>
      <c r="BW115" s="56">
        <v>170</v>
      </c>
      <c r="BX115" s="56">
        <v>190</v>
      </c>
      <c r="BY115" s="56">
        <v>210</v>
      </c>
      <c r="BZ115" s="56">
        <v>110</v>
      </c>
      <c r="CA115" s="56">
        <v>90</v>
      </c>
      <c r="CB115" s="56">
        <v>110</v>
      </c>
      <c r="CC115" s="56">
        <v>260</v>
      </c>
      <c r="CD115" s="56">
        <v>640</v>
      </c>
      <c r="CE115" s="56">
        <v>70</v>
      </c>
      <c r="CF115" s="56">
        <v>300</v>
      </c>
      <c r="CG115" s="56">
        <v>180</v>
      </c>
      <c r="CH115" s="54">
        <v>0</v>
      </c>
      <c r="CI115" s="54">
        <v>0</v>
      </c>
      <c r="CJ115" s="54">
        <v>1.7</v>
      </c>
      <c r="CK115" s="54">
        <v>0</v>
      </c>
      <c r="CL115" s="54">
        <v>0</v>
      </c>
      <c r="CM115" s="54">
        <v>2.6</v>
      </c>
      <c r="CN115">
        <f t="shared" ref="CN115:CN118" si="2454">($C115*D115)/100</f>
        <v>42.9</v>
      </c>
      <c r="CO115">
        <f t="shared" ref="CO115:CO118" si="2455">($C115*E115)/100</f>
        <v>180.7</v>
      </c>
      <c r="CP115">
        <f t="shared" ref="CP115:CP118" si="2456">($C115*F115)/100</f>
        <v>2.4700000000000002</v>
      </c>
      <c r="CQ115">
        <f t="shared" ref="CQ115:CQ118" si="2457">($C115*G115)/100</f>
        <v>2.4700000000000002</v>
      </c>
      <c r="CR115">
        <f t="shared" ref="CR115:CR118" si="2458">($C115*H115)/100</f>
        <v>0</v>
      </c>
      <c r="CS115">
        <f t="shared" ref="CS115:CS118" si="2459">($C115*I115)/100</f>
        <v>2.5350000000000001</v>
      </c>
      <c r="CT115">
        <f t="shared" ref="CT115:CT118" si="2460">($C115*J115)/100</f>
        <v>2.5350000000000001</v>
      </c>
      <c r="CU115">
        <f t="shared" ref="CU115:CU118" si="2461">($C115*K115)/100</f>
        <v>0</v>
      </c>
      <c r="CV115">
        <f t="shared" ref="CV115:CV118" si="2462">($C115*L115)/100</f>
        <v>7.15</v>
      </c>
      <c r="CW115">
        <f t="shared" ref="CW115:CW118" si="2463">($C115*M115)/100</f>
        <v>2.7949999999999999</v>
      </c>
      <c r="CX115">
        <f t="shared" ref="CX115:CX118" si="2464">($C115*N115)/100</f>
        <v>0</v>
      </c>
      <c r="CY115">
        <f t="shared" ref="CY115:CY118" si="2465">($C115*O115)/100</f>
        <v>2.7949999999999999</v>
      </c>
      <c r="CZ115">
        <f t="shared" ref="CZ115:CZ118" si="2466">($C115*P115)/100</f>
        <v>0</v>
      </c>
      <c r="DA115">
        <f t="shared" ref="DA115:DA118" si="2467">($C115*Q115)/100</f>
        <v>0</v>
      </c>
      <c r="DB115">
        <f t="shared" ref="DB115:DB118" si="2468">($C115*R115)/100</f>
        <v>56.55</v>
      </c>
      <c r="DC115">
        <f t="shared" ref="DC115:DC118" si="2469">($C115*S115)/100</f>
        <v>6.5000000000000002E-2</v>
      </c>
      <c r="DD115">
        <f t="shared" ref="DD115:DD118" si="2470">($C115*T115)/100</f>
        <v>81.25</v>
      </c>
      <c r="DE115">
        <f t="shared" ref="DE115:DE118" si="2471">($C115*U115)/100</f>
        <v>31.2</v>
      </c>
      <c r="DF115">
        <f t="shared" ref="DF115:DF118" si="2472">($C115*V115)/100</f>
        <v>110.5</v>
      </c>
      <c r="DG115">
        <f t="shared" ref="DG115:DG118" si="2473">($C115*W115)/100</f>
        <v>68.25</v>
      </c>
      <c r="DH115">
        <f t="shared" ref="DH115:DH118" si="2474">($C115*X115)/100</f>
        <v>0.26649999999999996</v>
      </c>
      <c r="DI115">
        <f t="shared" ref="DI115:DI118" si="2475">($C115*Y115)/100</f>
        <v>7.8</v>
      </c>
      <c r="DJ115">
        <f t="shared" ref="DJ115:DJ118" si="2476">($C115*Z115)/100</f>
        <v>3.2500000000000003E-3</v>
      </c>
      <c r="DK115">
        <f t="shared" ref="DK115:DK118" si="2477">($C115*AA115)/100</f>
        <v>1.3</v>
      </c>
      <c r="DL115">
        <f t="shared" ref="DL115:DL118" si="2478">($C115*AB115)/100</f>
        <v>110.5</v>
      </c>
      <c r="DM115">
        <f t="shared" ref="DM115:DM118" si="2479">($C115*AC115)/100</f>
        <v>40.950000000000003</v>
      </c>
      <c r="DN115">
        <f t="shared" ref="DN115:DN118" si="2480">($C115*AD115)/100</f>
        <v>3.2500000000000003E-3</v>
      </c>
      <c r="DO115">
        <f t="shared" ref="DO115:DO118" si="2481">($C115*AE115)/100</f>
        <v>34.450000000000003</v>
      </c>
      <c r="DP115">
        <f t="shared" ref="DP115:DP118" si="2482">($C115*AF115)/100</f>
        <v>2.6000000000000002E-2</v>
      </c>
      <c r="DQ115">
        <f t="shared" ref="DQ115:DQ118" si="2483">($C115*AG115)/100</f>
        <v>0.1235</v>
      </c>
      <c r="DR115">
        <f t="shared" ref="DR115:DR118" si="2484">($C115*AH115)/100</f>
        <v>0.65</v>
      </c>
      <c r="DS115">
        <f t="shared" ref="DS115:DS118" si="2485">($C115*AI115)/100</f>
        <v>7.1500000000000008E-2</v>
      </c>
      <c r="DT115">
        <f t="shared" ref="DT115:DT118" si="2486">($C115*AJ115)/100</f>
        <v>6.5000000000000002E-2</v>
      </c>
      <c r="DU115">
        <f t="shared" ref="DU115:DU118" si="2487">($C115*AK115)/100</f>
        <v>11.7</v>
      </c>
      <c r="DV115">
        <f t="shared" ref="DV115:DV118" si="2488">($C115*AL115)/100</f>
        <v>0.32500000000000001</v>
      </c>
      <c r="DW115">
        <f t="shared" ref="DW115:DW118" si="2489">($C115*AM115)/100</f>
        <v>1.69</v>
      </c>
      <c r="DX115">
        <f t="shared" ref="DX115:DX118" si="2490">($C115*AN115)/100</f>
        <v>0.13</v>
      </c>
      <c r="DY115">
        <f t="shared" ref="DY115:DY118" si="2491">($C115*AO115)/100</f>
        <v>22.1</v>
      </c>
      <c r="DZ115">
        <f t="shared" ref="DZ115:DZ118" si="2492">($C115*AP115)/100</f>
        <v>20.149999999999999</v>
      </c>
      <c r="EA115">
        <f t="shared" ref="EA115:EA118" si="2493">($C115*AQ115)/100</f>
        <v>10.4</v>
      </c>
      <c r="EB115">
        <f t="shared" ref="EB115:EB118" si="2494">($C115*AR115)/100</f>
        <v>5.2000000000000005E-2</v>
      </c>
      <c r="EC115">
        <f t="shared" ref="EC115:EC118" si="2495">($C115*AS115)/100</f>
        <v>2.6000000000000002E-2</v>
      </c>
      <c r="ED115">
        <f t="shared" ref="ED115:ED118" si="2496">($C115*AT115)/100</f>
        <v>0.13</v>
      </c>
      <c r="EE115">
        <f t="shared" ref="EE115:EE118" si="2497">($C115*AU115)/100</f>
        <v>1.3454999999999999</v>
      </c>
      <c r="EF115">
        <f t="shared" ref="EF115:EF118" si="2498">($C115*AV115)/100</f>
        <v>0.2145</v>
      </c>
      <c r="EG115">
        <f t="shared" ref="EG115:EG118" si="2499">($C115*AW115)/100</f>
        <v>7.8E-2</v>
      </c>
      <c r="EH115">
        <f t="shared" ref="EH115:EH118" si="2500">($C115*AX115)/100</f>
        <v>0.23399999999999999</v>
      </c>
      <c r="EI115">
        <f t="shared" ref="EI115:EI118" si="2501">($C115*AY115)/100</f>
        <v>0.59800000000000009</v>
      </c>
      <c r="EJ115">
        <f t="shared" ref="EJ115:EJ118" si="2502">($C115*AZ115)/100</f>
        <v>0.221</v>
      </c>
      <c r="EK115">
        <f t="shared" ref="EK115:EK118" si="2503">($C115*BA115)/100</f>
        <v>0</v>
      </c>
      <c r="EL115">
        <f t="shared" ref="EL115:EL118" si="2504">($C115*BB115)/100</f>
        <v>0</v>
      </c>
      <c r="EM115">
        <f t="shared" ref="EM115:EM118" si="2505">($C115*BC115)/100</f>
        <v>0.54600000000000004</v>
      </c>
      <c r="EN115">
        <f t="shared" ref="EN115:EN118" si="2506">($C115*BD115)/100</f>
        <v>0</v>
      </c>
      <c r="EO115">
        <f t="shared" ref="EO115:EO118" si="2507">($C115*BE115)/100</f>
        <v>6.5000000000000006E-3</v>
      </c>
      <c r="EP115">
        <f t="shared" ref="EP115:EP118" si="2508">($C115*BF115)/100</f>
        <v>0.53949999999999998</v>
      </c>
      <c r="EQ115">
        <f t="shared" ref="EQ115:EQ118" si="2509">($C115*BG115)/100</f>
        <v>0</v>
      </c>
      <c r="ER115">
        <f t="shared" ref="ER115:ER118" si="2510">($C115*BH115)/100</f>
        <v>0</v>
      </c>
      <c r="ES115">
        <f t="shared" ref="ES115:ES118" si="2511">($C115*BI115)/100</f>
        <v>8.4500000000000006E-2</v>
      </c>
      <c r="ET115">
        <f t="shared" ref="ET115:ET118" si="2512">($C115*BJ115)/100</f>
        <v>5.2000000000000005E-2</v>
      </c>
      <c r="EU115">
        <f t="shared" ref="EU115:EU118" si="2513">($C115*BK115)/100</f>
        <v>3.2500000000000001E-2</v>
      </c>
      <c r="EV115">
        <f t="shared" ref="EV115:EV118" si="2514">($C115*BL115)/100</f>
        <v>0</v>
      </c>
      <c r="EW115">
        <f t="shared" ref="EW115:EW118" si="2515">($C115*BM115)/100</f>
        <v>0</v>
      </c>
      <c r="EX115">
        <f t="shared" ref="EX115:EX118" si="2516">($C115*BN115)/100</f>
        <v>0</v>
      </c>
      <c r="EY115">
        <f t="shared" ref="EY115:EY118" si="2517">($C115*BO115)/100</f>
        <v>0</v>
      </c>
      <c r="EZ115">
        <f t="shared" ref="EZ115:EZ118" si="2518">($C115*BP115)/100</f>
        <v>26</v>
      </c>
      <c r="FA115">
        <f t="shared" ref="FA115:FA118" si="2519">($C115*BQ115)/100</f>
        <v>91</v>
      </c>
      <c r="FB115">
        <f t="shared" ref="FB115:FB118" si="2520">($C115*BR115)/100</f>
        <v>104</v>
      </c>
      <c r="FC115">
        <f t="shared" ref="FC115:FC118" si="2521">($C115*BS115)/100</f>
        <v>195</v>
      </c>
      <c r="FD115">
        <f t="shared" ref="FD115:FD118" si="2522">($C115*BT115)/100</f>
        <v>169</v>
      </c>
      <c r="FE115">
        <f t="shared" ref="FE115:FE118" si="2523">($C115*BU115)/100</f>
        <v>58.5</v>
      </c>
      <c r="FF115">
        <f t="shared" ref="FF115:FF118" si="2524">($C115*BV115)/100</f>
        <v>19.5</v>
      </c>
      <c r="FG115">
        <f t="shared" ref="FG115:FG118" si="2525">($C115*BW115)/100</f>
        <v>110.5</v>
      </c>
      <c r="FH115">
        <f t="shared" ref="FH115:FH118" si="2526">($C115*BX115)/100</f>
        <v>123.5</v>
      </c>
      <c r="FI115">
        <f t="shared" ref="FI115:FI118" si="2527">($C115*BY115)/100</f>
        <v>136.5</v>
      </c>
      <c r="FJ115">
        <f t="shared" ref="FJ115:FJ118" si="2528">($C115*BZ115)/100</f>
        <v>71.5</v>
      </c>
      <c r="FK115">
        <f t="shared" ref="FK115:FK118" si="2529">($C115*CA115)/100</f>
        <v>58.5</v>
      </c>
      <c r="FL115">
        <f t="shared" ref="FL115:FL118" si="2530">($C115*CB115)/100</f>
        <v>71.5</v>
      </c>
      <c r="FM115">
        <f t="shared" ref="FM115:FM118" si="2531">($C115*CC115)/100</f>
        <v>169</v>
      </c>
      <c r="FN115">
        <f t="shared" ref="FN115:FN118" si="2532">($C115*CD115)/100</f>
        <v>416</v>
      </c>
      <c r="FO115">
        <f t="shared" ref="FO115:FO118" si="2533">($C115*CE115)/100</f>
        <v>45.5</v>
      </c>
      <c r="FP115">
        <f t="shared" ref="FP115:FP118" si="2534">($C115*CF115)/100</f>
        <v>195</v>
      </c>
      <c r="FQ115">
        <f t="shared" ref="FQ115:FQ118" si="2535">($C115*CG115)/100</f>
        <v>117</v>
      </c>
      <c r="FR115">
        <f t="shared" ref="FR115:FR118" si="2536">($C115*CH115)/100</f>
        <v>0</v>
      </c>
      <c r="FS115">
        <f t="shared" ref="FS115:FS118" si="2537">($C115*CI115)/100</f>
        <v>0</v>
      </c>
      <c r="FT115">
        <f t="shared" ref="FT115:FT118" si="2538">($C115*CJ115)/100</f>
        <v>1.105</v>
      </c>
      <c r="FU115">
        <f t="shared" ref="FU115:FU118" si="2539">($C115*CK115)/100</f>
        <v>0</v>
      </c>
      <c r="FV115">
        <f t="shared" ref="FV115:FV118" si="2540">($C115*CL115)/100</f>
        <v>0</v>
      </c>
      <c r="FW115">
        <f t="shared" ref="FW115:FW118" si="2541">($C115*CM115)/100</f>
        <v>1.69</v>
      </c>
    </row>
    <row r="116" spans="1:179" x14ac:dyDescent="0.35">
      <c r="B116" s="72" t="s">
        <v>260</v>
      </c>
      <c r="C116">
        <v>20</v>
      </c>
      <c r="D116" s="6">
        <v>206</v>
      </c>
      <c r="E116" s="6">
        <v>850</v>
      </c>
      <c r="F116" s="6">
        <v>2.8</v>
      </c>
      <c r="G116" s="6">
        <v>2.8</v>
      </c>
      <c r="H116" s="6">
        <v>0</v>
      </c>
      <c r="I116" s="6">
        <v>20</v>
      </c>
      <c r="J116" s="6">
        <v>20</v>
      </c>
      <c r="K116" s="6">
        <v>0</v>
      </c>
      <c r="L116" s="6">
        <v>66</v>
      </c>
      <c r="M116" s="6">
        <v>3.9</v>
      </c>
      <c r="N116" s="6">
        <v>0</v>
      </c>
      <c r="O116" s="6">
        <v>3.9</v>
      </c>
      <c r="P116" s="6">
        <v>0</v>
      </c>
      <c r="Q116" s="6">
        <v>0</v>
      </c>
      <c r="R116" s="6">
        <v>72</v>
      </c>
      <c r="S116" s="6">
        <v>0.1</v>
      </c>
      <c r="T116" s="6">
        <v>87</v>
      </c>
      <c r="U116" s="6">
        <v>34</v>
      </c>
      <c r="V116" s="6">
        <v>91</v>
      </c>
      <c r="W116" s="6">
        <v>59</v>
      </c>
      <c r="X116" s="6">
        <v>0.5</v>
      </c>
      <c r="Y116" s="6">
        <v>9</v>
      </c>
      <c r="Z116" s="51">
        <v>5.0000000000000001E-3</v>
      </c>
      <c r="AA116" s="51">
        <v>0.05</v>
      </c>
      <c r="AB116" s="6">
        <v>80</v>
      </c>
      <c r="AC116" s="6">
        <v>3</v>
      </c>
      <c r="AD116" s="51">
        <v>5.0000000000000001E-3</v>
      </c>
      <c r="AE116" s="6">
        <v>24</v>
      </c>
      <c r="AF116" s="6">
        <v>0.03</v>
      </c>
      <c r="AG116" s="6">
        <v>0.14000000000000001</v>
      </c>
      <c r="AH116" s="6">
        <v>1</v>
      </c>
      <c r="AI116" s="6">
        <v>0.1</v>
      </c>
      <c r="AJ116" s="6">
        <v>0.05</v>
      </c>
      <c r="AK116" s="6">
        <v>7</v>
      </c>
      <c r="AL116" s="6">
        <v>0.28000000000000003</v>
      </c>
      <c r="AM116" s="6">
        <v>1.8</v>
      </c>
      <c r="AN116" s="6">
        <v>0.3</v>
      </c>
      <c r="AO116" s="6">
        <v>218</v>
      </c>
      <c r="AP116" s="6">
        <v>200</v>
      </c>
      <c r="AQ116" s="6">
        <v>110</v>
      </c>
      <c r="AR116" s="6">
        <v>0.4</v>
      </c>
      <c r="AS116" s="6">
        <v>0.14000000000000001</v>
      </c>
      <c r="AT116" s="6">
        <v>1.7</v>
      </c>
      <c r="AU116" s="6">
        <v>11.64</v>
      </c>
      <c r="AV116" s="6">
        <v>1.69</v>
      </c>
      <c r="AW116" s="6">
        <v>0.64400000000000002</v>
      </c>
      <c r="AX116" s="6">
        <v>2.0670000000000002</v>
      </c>
      <c r="AY116" s="6">
        <v>4.7869999999999999</v>
      </c>
      <c r="AZ116" s="6">
        <v>2.0670000000000002</v>
      </c>
      <c r="BA116" s="6">
        <v>0</v>
      </c>
      <c r="BB116" s="6">
        <v>0</v>
      </c>
      <c r="BC116" s="6">
        <v>6.2009999999999996</v>
      </c>
      <c r="BD116" s="6">
        <v>0.25900000000000001</v>
      </c>
      <c r="BE116" s="6">
        <v>0.49399999999999999</v>
      </c>
      <c r="BF116" s="6">
        <v>5.1210000000000004</v>
      </c>
      <c r="BG116" s="6">
        <v>0</v>
      </c>
      <c r="BH116" s="6">
        <v>0</v>
      </c>
      <c r="BI116" s="6">
        <v>0.53600000000000003</v>
      </c>
      <c r="BJ116" s="6">
        <v>0.25900000000000001</v>
      </c>
      <c r="BK116" s="6">
        <v>0.27600000000000002</v>
      </c>
      <c r="BL116" s="6">
        <v>0</v>
      </c>
      <c r="BM116" s="6">
        <v>0</v>
      </c>
      <c r="BN116" s="6">
        <v>0</v>
      </c>
      <c r="BO116" s="6">
        <v>0</v>
      </c>
      <c r="BP116" s="7">
        <v>42</v>
      </c>
      <c r="BQ116" s="7">
        <v>139</v>
      </c>
      <c r="BR116" s="7">
        <v>163</v>
      </c>
      <c r="BS116" s="7">
        <v>301</v>
      </c>
      <c r="BT116" s="7">
        <v>231</v>
      </c>
      <c r="BU116" s="7">
        <v>69</v>
      </c>
      <c r="BV116" s="7">
        <v>31</v>
      </c>
      <c r="BW116" s="7">
        <v>149</v>
      </c>
      <c r="BX116" s="7">
        <v>120</v>
      </c>
      <c r="BY116" s="7">
        <v>198</v>
      </c>
      <c r="BZ116" s="7">
        <v>89</v>
      </c>
      <c r="CA116" s="7">
        <v>79</v>
      </c>
      <c r="CB116" s="7">
        <v>101</v>
      </c>
      <c r="CC116" s="7">
        <v>228</v>
      </c>
      <c r="CD116" s="7">
        <v>654</v>
      </c>
      <c r="CE116" s="7">
        <v>59</v>
      </c>
      <c r="CF116" s="7">
        <v>315</v>
      </c>
      <c r="CG116" s="7">
        <v>172</v>
      </c>
      <c r="CH116" s="6">
        <v>0</v>
      </c>
      <c r="CI116" s="6">
        <v>0</v>
      </c>
      <c r="CJ116" s="6">
        <v>0</v>
      </c>
      <c r="CK116" s="6">
        <v>0</v>
      </c>
      <c r="CL116" s="6">
        <v>0</v>
      </c>
      <c r="CM116" s="6">
        <v>3.9</v>
      </c>
      <c r="CN116">
        <f t="shared" si="2454"/>
        <v>41.2</v>
      </c>
      <c r="CO116">
        <f t="shared" si="2455"/>
        <v>170</v>
      </c>
      <c r="CP116">
        <f t="shared" si="2456"/>
        <v>0.56000000000000005</v>
      </c>
      <c r="CQ116">
        <f t="shared" si="2457"/>
        <v>0.56000000000000005</v>
      </c>
      <c r="CR116">
        <f t="shared" si="2458"/>
        <v>0</v>
      </c>
      <c r="CS116">
        <f t="shared" si="2459"/>
        <v>4</v>
      </c>
      <c r="CT116">
        <f t="shared" si="2460"/>
        <v>4</v>
      </c>
      <c r="CU116">
        <f t="shared" si="2461"/>
        <v>0</v>
      </c>
      <c r="CV116">
        <f t="shared" si="2462"/>
        <v>13.2</v>
      </c>
      <c r="CW116">
        <f t="shared" si="2463"/>
        <v>0.78</v>
      </c>
      <c r="CX116">
        <f t="shared" si="2464"/>
        <v>0</v>
      </c>
      <c r="CY116">
        <f t="shared" si="2465"/>
        <v>0.78</v>
      </c>
      <c r="CZ116">
        <f t="shared" si="2466"/>
        <v>0</v>
      </c>
      <c r="DA116">
        <f t="shared" si="2467"/>
        <v>0</v>
      </c>
      <c r="DB116">
        <f t="shared" si="2468"/>
        <v>14.4</v>
      </c>
      <c r="DC116">
        <f t="shared" si="2469"/>
        <v>0.02</v>
      </c>
      <c r="DD116">
        <f t="shared" si="2470"/>
        <v>17.399999999999999</v>
      </c>
      <c r="DE116">
        <f t="shared" si="2471"/>
        <v>6.8</v>
      </c>
      <c r="DF116">
        <f t="shared" si="2472"/>
        <v>18.2</v>
      </c>
      <c r="DG116">
        <f t="shared" si="2473"/>
        <v>11.8</v>
      </c>
      <c r="DH116">
        <f t="shared" si="2474"/>
        <v>0.1</v>
      </c>
      <c r="DI116">
        <f t="shared" si="2475"/>
        <v>1.8</v>
      </c>
      <c r="DJ116">
        <f t="shared" si="2476"/>
        <v>1E-3</v>
      </c>
      <c r="DK116">
        <f t="shared" si="2477"/>
        <v>0.01</v>
      </c>
      <c r="DL116">
        <f t="shared" si="2478"/>
        <v>16</v>
      </c>
      <c r="DM116">
        <f t="shared" si="2479"/>
        <v>0.6</v>
      </c>
      <c r="DN116">
        <f t="shared" si="2480"/>
        <v>1E-3</v>
      </c>
      <c r="DO116">
        <f t="shared" si="2481"/>
        <v>4.8</v>
      </c>
      <c r="DP116">
        <f t="shared" si="2482"/>
        <v>6.0000000000000001E-3</v>
      </c>
      <c r="DQ116">
        <f t="shared" si="2483"/>
        <v>2.8000000000000004E-2</v>
      </c>
      <c r="DR116">
        <f t="shared" si="2484"/>
        <v>0.2</v>
      </c>
      <c r="DS116">
        <f t="shared" si="2485"/>
        <v>0.02</v>
      </c>
      <c r="DT116">
        <f t="shared" si="2486"/>
        <v>0.01</v>
      </c>
      <c r="DU116">
        <f t="shared" si="2487"/>
        <v>1.4</v>
      </c>
      <c r="DV116">
        <f t="shared" si="2488"/>
        <v>5.6000000000000008E-2</v>
      </c>
      <c r="DW116">
        <f t="shared" si="2489"/>
        <v>0.36</v>
      </c>
      <c r="DX116">
        <f t="shared" si="2490"/>
        <v>0.06</v>
      </c>
      <c r="DY116">
        <f t="shared" si="2491"/>
        <v>43.6</v>
      </c>
      <c r="DZ116">
        <f t="shared" si="2492"/>
        <v>40</v>
      </c>
      <c r="EA116">
        <f t="shared" si="2493"/>
        <v>22</v>
      </c>
      <c r="EB116">
        <f t="shared" si="2494"/>
        <v>0.08</v>
      </c>
      <c r="EC116">
        <f t="shared" si="2495"/>
        <v>2.8000000000000004E-2</v>
      </c>
      <c r="ED116">
        <f t="shared" si="2496"/>
        <v>0.34</v>
      </c>
      <c r="EE116">
        <f t="shared" si="2497"/>
        <v>2.3280000000000003</v>
      </c>
      <c r="EF116">
        <f t="shared" si="2498"/>
        <v>0.33799999999999997</v>
      </c>
      <c r="EG116">
        <f t="shared" si="2499"/>
        <v>0.1288</v>
      </c>
      <c r="EH116">
        <f t="shared" si="2500"/>
        <v>0.41340000000000005</v>
      </c>
      <c r="EI116">
        <f t="shared" si="2501"/>
        <v>0.95739999999999992</v>
      </c>
      <c r="EJ116">
        <f t="shared" si="2502"/>
        <v>0.41340000000000005</v>
      </c>
      <c r="EK116">
        <f t="shared" si="2503"/>
        <v>0</v>
      </c>
      <c r="EL116">
        <f t="shared" si="2504"/>
        <v>0</v>
      </c>
      <c r="EM116">
        <f t="shared" si="2505"/>
        <v>1.2402</v>
      </c>
      <c r="EN116">
        <f t="shared" si="2506"/>
        <v>5.1799999999999999E-2</v>
      </c>
      <c r="EO116">
        <f t="shared" si="2507"/>
        <v>9.8799999999999985E-2</v>
      </c>
      <c r="EP116">
        <f t="shared" si="2508"/>
        <v>1.0242000000000002</v>
      </c>
      <c r="EQ116">
        <f t="shared" si="2509"/>
        <v>0</v>
      </c>
      <c r="ER116">
        <f t="shared" si="2510"/>
        <v>0</v>
      </c>
      <c r="ES116">
        <f t="shared" si="2511"/>
        <v>0.1072</v>
      </c>
      <c r="ET116">
        <f t="shared" si="2512"/>
        <v>5.1799999999999999E-2</v>
      </c>
      <c r="EU116">
        <f t="shared" si="2513"/>
        <v>5.5200000000000006E-2</v>
      </c>
      <c r="EV116">
        <f t="shared" si="2514"/>
        <v>0</v>
      </c>
      <c r="EW116">
        <f t="shared" si="2515"/>
        <v>0</v>
      </c>
      <c r="EX116">
        <f t="shared" si="2516"/>
        <v>0</v>
      </c>
      <c r="EY116">
        <f t="shared" si="2517"/>
        <v>0</v>
      </c>
      <c r="EZ116">
        <f t="shared" si="2518"/>
        <v>8.4</v>
      </c>
      <c r="FA116">
        <f t="shared" si="2519"/>
        <v>27.8</v>
      </c>
      <c r="FB116">
        <f t="shared" si="2520"/>
        <v>32.6</v>
      </c>
      <c r="FC116">
        <f t="shared" si="2521"/>
        <v>60.2</v>
      </c>
      <c r="FD116">
        <f t="shared" si="2522"/>
        <v>46.2</v>
      </c>
      <c r="FE116">
        <f t="shared" si="2523"/>
        <v>13.8</v>
      </c>
      <c r="FF116">
        <f t="shared" si="2524"/>
        <v>6.2</v>
      </c>
      <c r="FG116">
        <f t="shared" si="2525"/>
        <v>29.8</v>
      </c>
      <c r="FH116">
        <f t="shared" si="2526"/>
        <v>24</v>
      </c>
      <c r="FI116">
        <f t="shared" si="2527"/>
        <v>39.6</v>
      </c>
      <c r="FJ116">
        <f t="shared" si="2528"/>
        <v>17.8</v>
      </c>
      <c r="FK116">
        <f t="shared" si="2529"/>
        <v>15.8</v>
      </c>
      <c r="FL116">
        <f t="shared" si="2530"/>
        <v>20.2</v>
      </c>
      <c r="FM116">
        <f t="shared" si="2531"/>
        <v>45.6</v>
      </c>
      <c r="FN116">
        <f t="shared" si="2532"/>
        <v>130.80000000000001</v>
      </c>
      <c r="FO116">
        <f t="shared" si="2533"/>
        <v>11.8</v>
      </c>
      <c r="FP116">
        <f t="shared" si="2534"/>
        <v>63</v>
      </c>
      <c r="FQ116">
        <f t="shared" si="2535"/>
        <v>34.4</v>
      </c>
      <c r="FR116">
        <f t="shared" si="2536"/>
        <v>0</v>
      </c>
      <c r="FS116">
        <f t="shared" si="2537"/>
        <v>0</v>
      </c>
      <c r="FT116">
        <f t="shared" si="2538"/>
        <v>0</v>
      </c>
      <c r="FU116">
        <f t="shared" si="2539"/>
        <v>0</v>
      </c>
      <c r="FV116">
        <f t="shared" si="2540"/>
        <v>0</v>
      </c>
      <c r="FW116">
        <f t="shared" si="2541"/>
        <v>0.78</v>
      </c>
    </row>
    <row r="117" spans="1:179" x14ac:dyDescent="0.35">
      <c r="B117" s="72" t="s">
        <v>446</v>
      </c>
      <c r="C117">
        <v>10</v>
      </c>
      <c r="D117" s="6">
        <v>392</v>
      </c>
      <c r="E117" s="6">
        <v>1672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104.5</v>
      </c>
      <c r="N117" s="6">
        <v>0</v>
      </c>
      <c r="O117" s="6">
        <v>104.5</v>
      </c>
      <c r="P117" s="6">
        <v>0</v>
      </c>
      <c r="Q117" s="6">
        <v>0</v>
      </c>
      <c r="R117" s="6">
        <v>0.5</v>
      </c>
      <c r="S117" s="6">
        <v>0.3</v>
      </c>
      <c r="T117" s="6">
        <v>1</v>
      </c>
      <c r="U117" s="6">
        <v>1</v>
      </c>
      <c r="V117" s="6">
        <v>2</v>
      </c>
      <c r="W117" s="6">
        <v>1</v>
      </c>
      <c r="X117" s="6">
        <v>0.1</v>
      </c>
      <c r="Y117" s="6">
        <v>2</v>
      </c>
      <c r="Z117" s="6">
        <v>0.12</v>
      </c>
      <c r="AA117" s="51">
        <v>0.05</v>
      </c>
      <c r="AB117" s="51">
        <v>0.5</v>
      </c>
      <c r="AC117" s="51">
        <v>0.5</v>
      </c>
      <c r="AD117" s="51">
        <v>5.0000000000000001E-3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6">
        <v>0</v>
      </c>
      <c r="CI117" s="6">
        <v>0</v>
      </c>
      <c r="CJ117" s="6">
        <v>0</v>
      </c>
      <c r="CK117" s="6">
        <v>104.5</v>
      </c>
      <c r="CL117" s="6">
        <v>0</v>
      </c>
      <c r="CM117" s="6">
        <v>0</v>
      </c>
      <c r="CN117">
        <f t="shared" si="2454"/>
        <v>39.200000000000003</v>
      </c>
      <c r="CO117">
        <f t="shared" si="2455"/>
        <v>167.2</v>
      </c>
      <c r="CP117">
        <f t="shared" si="2456"/>
        <v>0</v>
      </c>
      <c r="CQ117">
        <f t="shared" si="2457"/>
        <v>0</v>
      </c>
      <c r="CR117">
        <f t="shared" si="2458"/>
        <v>0</v>
      </c>
      <c r="CS117">
        <f t="shared" si="2459"/>
        <v>0</v>
      </c>
      <c r="CT117">
        <f t="shared" si="2460"/>
        <v>0</v>
      </c>
      <c r="CU117">
        <f t="shared" si="2461"/>
        <v>0</v>
      </c>
      <c r="CV117">
        <f t="shared" si="2462"/>
        <v>0</v>
      </c>
      <c r="CW117">
        <f t="shared" si="2463"/>
        <v>10.45</v>
      </c>
      <c r="CX117">
        <f t="shared" si="2464"/>
        <v>0</v>
      </c>
      <c r="CY117">
        <f t="shared" si="2465"/>
        <v>10.45</v>
      </c>
      <c r="CZ117">
        <f t="shared" si="2466"/>
        <v>0</v>
      </c>
      <c r="DA117">
        <f t="shared" si="2467"/>
        <v>0</v>
      </c>
      <c r="DB117">
        <f t="shared" si="2468"/>
        <v>0.05</v>
      </c>
      <c r="DC117">
        <f t="shared" si="2469"/>
        <v>0.03</v>
      </c>
      <c r="DD117">
        <f t="shared" si="2470"/>
        <v>0.1</v>
      </c>
      <c r="DE117">
        <f t="shared" si="2471"/>
        <v>0.1</v>
      </c>
      <c r="DF117">
        <f t="shared" si="2472"/>
        <v>0.2</v>
      </c>
      <c r="DG117">
        <f t="shared" si="2473"/>
        <v>0.1</v>
      </c>
      <c r="DH117">
        <f t="shared" si="2474"/>
        <v>0.01</v>
      </c>
      <c r="DI117">
        <f t="shared" si="2475"/>
        <v>0.2</v>
      </c>
      <c r="DJ117">
        <f t="shared" si="2476"/>
        <v>1.2E-2</v>
      </c>
      <c r="DK117">
        <f t="shared" si="2477"/>
        <v>5.0000000000000001E-3</v>
      </c>
      <c r="DL117">
        <f t="shared" si="2478"/>
        <v>0.05</v>
      </c>
      <c r="DM117">
        <f t="shared" si="2479"/>
        <v>0.05</v>
      </c>
      <c r="DN117">
        <f t="shared" si="2480"/>
        <v>5.0000000000000001E-4</v>
      </c>
      <c r="DO117">
        <f t="shared" si="2481"/>
        <v>0</v>
      </c>
      <c r="DP117">
        <f t="shared" si="2482"/>
        <v>0</v>
      </c>
      <c r="DQ117">
        <f t="shared" si="2483"/>
        <v>0</v>
      </c>
      <c r="DR117">
        <f t="shared" si="2484"/>
        <v>0</v>
      </c>
      <c r="DS117">
        <f t="shared" si="2485"/>
        <v>0</v>
      </c>
      <c r="DT117">
        <f t="shared" si="2486"/>
        <v>0</v>
      </c>
      <c r="DU117">
        <f t="shared" si="2487"/>
        <v>0</v>
      </c>
      <c r="DV117">
        <f t="shared" si="2488"/>
        <v>0</v>
      </c>
      <c r="DW117">
        <f t="shared" si="2489"/>
        <v>0</v>
      </c>
      <c r="DX117">
        <f t="shared" si="2490"/>
        <v>0</v>
      </c>
      <c r="DY117">
        <f t="shared" si="2491"/>
        <v>0</v>
      </c>
      <c r="DZ117">
        <f t="shared" si="2492"/>
        <v>0</v>
      </c>
      <c r="EA117">
        <f t="shared" si="2493"/>
        <v>0</v>
      </c>
      <c r="EB117">
        <f t="shared" si="2494"/>
        <v>0</v>
      </c>
      <c r="EC117">
        <f t="shared" si="2495"/>
        <v>0</v>
      </c>
      <c r="ED117">
        <f t="shared" si="2496"/>
        <v>0</v>
      </c>
      <c r="EE117">
        <f t="shared" si="2497"/>
        <v>0</v>
      </c>
      <c r="EF117">
        <f t="shared" si="2498"/>
        <v>0</v>
      </c>
      <c r="EG117">
        <f t="shared" si="2499"/>
        <v>0</v>
      </c>
      <c r="EH117">
        <f t="shared" si="2500"/>
        <v>0</v>
      </c>
      <c r="EI117">
        <f t="shared" si="2501"/>
        <v>0</v>
      </c>
      <c r="EJ117">
        <f t="shared" si="2502"/>
        <v>0</v>
      </c>
      <c r="EK117">
        <f t="shared" si="2503"/>
        <v>0</v>
      </c>
      <c r="EL117">
        <f t="shared" si="2504"/>
        <v>0</v>
      </c>
      <c r="EM117">
        <f t="shared" si="2505"/>
        <v>0</v>
      </c>
      <c r="EN117">
        <f t="shared" si="2506"/>
        <v>0</v>
      </c>
      <c r="EO117">
        <f t="shared" si="2507"/>
        <v>0</v>
      </c>
      <c r="EP117">
        <f t="shared" si="2508"/>
        <v>0</v>
      </c>
      <c r="EQ117">
        <f t="shared" si="2509"/>
        <v>0</v>
      </c>
      <c r="ER117">
        <f t="shared" si="2510"/>
        <v>0</v>
      </c>
      <c r="ES117">
        <f t="shared" si="2511"/>
        <v>0</v>
      </c>
      <c r="ET117">
        <f t="shared" si="2512"/>
        <v>0</v>
      </c>
      <c r="EU117">
        <f t="shared" si="2513"/>
        <v>0</v>
      </c>
      <c r="EV117">
        <f t="shared" si="2514"/>
        <v>0</v>
      </c>
      <c r="EW117">
        <f t="shared" si="2515"/>
        <v>0</v>
      </c>
      <c r="EX117">
        <f t="shared" si="2516"/>
        <v>0</v>
      </c>
      <c r="EY117">
        <f t="shared" si="2517"/>
        <v>0</v>
      </c>
      <c r="EZ117">
        <f t="shared" si="2518"/>
        <v>0</v>
      </c>
      <c r="FA117">
        <f t="shared" si="2519"/>
        <v>0</v>
      </c>
      <c r="FB117">
        <f t="shared" si="2520"/>
        <v>0</v>
      </c>
      <c r="FC117">
        <f t="shared" si="2521"/>
        <v>0</v>
      </c>
      <c r="FD117">
        <f t="shared" si="2522"/>
        <v>0</v>
      </c>
      <c r="FE117">
        <f t="shared" si="2523"/>
        <v>0</v>
      </c>
      <c r="FF117">
        <f t="shared" si="2524"/>
        <v>0</v>
      </c>
      <c r="FG117">
        <f t="shared" si="2525"/>
        <v>0</v>
      </c>
      <c r="FH117">
        <f t="shared" si="2526"/>
        <v>0</v>
      </c>
      <c r="FI117">
        <f t="shared" si="2527"/>
        <v>0</v>
      </c>
      <c r="FJ117">
        <f t="shared" si="2528"/>
        <v>0</v>
      </c>
      <c r="FK117">
        <f t="shared" si="2529"/>
        <v>0</v>
      </c>
      <c r="FL117">
        <f t="shared" si="2530"/>
        <v>0</v>
      </c>
      <c r="FM117">
        <f t="shared" si="2531"/>
        <v>0</v>
      </c>
      <c r="FN117">
        <f t="shared" si="2532"/>
        <v>0</v>
      </c>
      <c r="FO117">
        <f t="shared" si="2533"/>
        <v>0</v>
      </c>
      <c r="FP117">
        <f t="shared" si="2534"/>
        <v>0</v>
      </c>
      <c r="FQ117">
        <f t="shared" si="2535"/>
        <v>0</v>
      </c>
      <c r="FR117">
        <f t="shared" si="2536"/>
        <v>0</v>
      </c>
      <c r="FS117">
        <f t="shared" si="2537"/>
        <v>0</v>
      </c>
      <c r="FT117">
        <f t="shared" si="2538"/>
        <v>0</v>
      </c>
      <c r="FU117">
        <f t="shared" si="2539"/>
        <v>10.45</v>
      </c>
      <c r="FV117">
        <f t="shared" si="2540"/>
        <v>0</v>
      </c>
      <c r="FW117">
        <f t="shared" si="2541"/>
        <v>0</v>
      </c>
    </row>
    <row r="118" spans="1:179" x14ac:dyDescent="0.35">
      <c r="B118" s="72" t="s">
        <v>447</v>
      </c>
      <c r="C118">
        <v>5</v>
      </c>
      <c r="D118" s="6">
        <v>552</v>
      </c>
      <c r="E118" s="6">
        <v>2301</v>
      </c>
      <c r="F118" s="6">
        <v>7.3</v>
      </c>
      <c r="G118" s="6">
        <v>4.9000000000000004</v>
      </c>
      <c r="H118" s="6">
        <v>2.4</v>
      </c>
      <c r="I118" s="6">
        <v>36.299999999999997</v>
      </c>
      <c r="J118" s="6">
        <v>5.5</v>
      </c>
      <c r="K118" s="6">
        <v>30.8</v>
      </c>
      <c r="L118" s="6">
        <v>10</v>
      </c>
      <c r="M118" s="6">
        <v>50.5</v>
      </c>
      <c r="N118" s="51">
        <v>0.05</v>
      </c>
      <c r="O118" s="6">
        <v>50.5</v>
      </c>
      <c r="P118" s="6">
        <v>3.2</v>
      </c>
      <c r="Q118" s="6">
        <v>0</v>
      </c>
      <c r="R118" s="6">
        <v>0.8</v>
      </c>
      <c r="S118" s="6">
        <v>3</v>
      </c>
      <c r="T118" s="6">
        <v>262</v>
      </c>
      <c r="U118" s="6">
        <v>120</v>
      </c>
      <c r="V118" s="6">
        <v>420</v>
      </c>
      <c r="W118" s="6">
        <v>207</v>
      </c>
      <c r="X118" s="6">
        <v>1.1000000000000001</v>
      </c>
      <c r="Y118" s="6">
        <v>57</v>
      </c>
      <c r="Z118" s="6">
        <v>0.31</v>
      </c>
      <c r="AA118" s="6">
        <v>3</v>
      </c>
      <c r="AB118" s="6">
        <v>190</v>
      </c>
      <c r="AC118" s="6">
        <v>51</v>
      </c>
      <c r="AD118" s="6">
        <v>0.3</v>
      </c>
      <c r="AE118" s="6">
        <v>33</v>
      </c>
      <c r="AF118" s="6">
        <v>0.09</v>
      </c>
      <c r="AG118" s="6">
        <v>0.39</v>
      </c>
      <c r="AH118" s="6">
        <v>0</v>
      </c>
      <c r="AI118" s="6">
        <v>0.6</v>
      </c>
      <c r="AJ118" s="6">
        <v>0.21</v>
      </c>
      <c r="AK118" s="6">
        <v>9</v>
      </c>
      <c r="AL118" s="6">
        <v>0.73</v>
      </c>
      <c r="AM118" s="6">
        <v>2.4</v>
      </c>
      <c r="AN118" s="6">
        <v>2.1</v>
      </c>
      <c r="AO118" s="6">
        <v>25</v>
      </c>
      <c r="AP118" s="6">
        <v>24</v>
      </c>
      <c r="AQ118" s="6">
        <v>8</v>
      </c>
      <c r="AR118" s="6">
        <v>1.6</v>
      </c>
      <c r="AS118" s="51">
        <v>5.0000000000000001E-3</v>
      </c>
      <c r="AT118" s="6">
        <v>5.7</v>
      </c>
      <c r="AU118" s="6">
        <v>21.86</v>
      </c>
      <c r="AV118" s="6">
        <v>0.69</v>
      </c>
      <c r="AW118" s="6">
        <v>0.21</v>
      </c>
      <c r="AX118" s="6">
        <v>0.66</v>
      </c>
      <c r="AY118" s="6">
        <v>9.1999999999999993</v>
      </c>
      <c r="AZ118" s="6">
        <v>10.38</v>
      </c>
      <c r="BA118" s="6">
        <v>0.31</v>
      </c>
      <c r="BB118" s="6">
        <v>7.0000000000000007E-2</v>
      </c>
      <c r="BC118" s="6">
        <v>11.49</v>
      </c>
      <c r="BD118" s="6">
        <v>7.0000000000000007E-2</v>
      </c>
      <c r="BE118" s="6">
        <v>0.17</v>
      </c>
      <c r="BF118" s="6">
        <v>11.14</v>
      </c>
      <c r="BG118" s="6">
        <v>0.03</v>
      </c>
      <c r="BH118" s="6">
        <v>0</v>
      </c>
      <c r="BI118" s="6">
        <v>1.28</v>
      </c>
      <c r="BJ118" s="6">
        <v>1.1100000000000001</v>
      </c>
      <c r="BK118" s="6">
        <v>0.1</v>
      </c>
      <c r="BL118" s="6">
        <v>0</v>
      </c>
      <c r="BM118" s="6">
        <v>0</v>
      </c>
      <c r="BN118" s="6">
        <v>0</v>
      </c>
      <c r="BO118" s="6">
        <v>7.0000000000000007E-2</v>
      </c>
      <c r="BP118" s="7">
        <v>75.056338028168994</v>
      </c>
      <c r="BQ118" s="7">
        <v>209.746478873239</v>
      </c>
      <c r="BR118" s="7">
        <v>361.91549295774598</v>
      </c>
      <c r="BS118" s="7">
        <v>666.25352112676103</v>
      </c>
      <c r="BT118" s="7">
        <v>666.25352112676103</v>
      </c>
      <c r="BU118" s="7">
        <v>163.47887323943701</v>
      </c>
      <c r="BV118" s="7">
        <v>32.901408450704203</v>
      </c>
      <c r="BW118" s="7">
        <v>350.60563380281701</v>
      </c>
      <c r="BX118" s="7">
        <v>233.39436619718299</v>
      </c>
      <c r="BY118" s="7">
        <v>490.43661971831</v>
      </c>
      <c r="BZ118" s="7">
        <v>245.73239436619701</v>
      </c>
      <c r="CA118" s="7">
        <v>174.78873239436601</v>
      </c>
      <c r="CB118" s="7">
        <v>233.39436619718299</v>
      </c>
      <c r="CC118" s="7">
        <v>584</v>
      </c>
      <c r="CD118" s="7">
        <v>1336.61971830986</v>
      </c>
      <c r="CE118" s="7">
        <v>174.78873239436601</v>
      </c>
      <c r="CF118" s="7">
        <v>701.21126760563402</v>
      </c>
      <c r="CG118" s="7">
        <v>396.87323943662</v>
      </c>
      <c r="CH118" s="51">
        <v>0.05</v>
      </c>
      <c r="CI118" s="51">
        <v>0.05</v>
      </c>
      <c r="CJ118" s="6">
        <v>0</v>
      </c>
      <c r="CK118" s="6">
        <v>42.2</v>
      </c>
      <c r="CL118" s="51">
        <v>0.05</v>
      </c>
      <c r="CM118" s="6">
        <v>8.3000000000000007</v>
      </c>
      <c r="CN118">
        <f t="shared" si="2454"/>
        <v>27.6</v>
      </c>
      <c r="CO118">
        <f t="shared" si="2455"/>
        <v>115.05</v>
      </c>
      <c r="CP118">
        <f t="shared" si="2456"/>
        <v>0.36499999999999999</v>
      </c>
      <c r="CQ118">
        <f t="shared" si="2457"/>
        <v>0.245</v>
      </c>
      <c r="CR118">
        <f t="shared" si="2458"/>
        <v>0.12</v>
      </c>
      <c r="CS118">
        <f t="shared" si="2459"/>
        <v>1.8149999999999999</v>
      </c>
      <c r="CT118">
        <f t="shared" si="2460"/>
        <v>0.27500000000000002</v>
      </c>
      <c r="CU118">
        <f t="shared" si="2461"/>
        <v>1.54</v>
      </c>
      <c r="CV118">
        <f t="shared" si="2462"/>
        <v>0.5</v>
      </c>
      <c r="CW118">
        <f t="shared" si="2463"/>
        <v>2.5249999999999999</v>
      </c>
      <c r="CX118">
        <f t="shared" si="2464"/>
        <v>2.5000000000000001E-3</v>
      </c>
      <c r="CY118">
        <f t="shared" si="2465"/>
        <v>2.5249999999999999</v>
      </c>
      <c r="CZ118">
        <f t="shared" si="2466"/>
        <v>0.16</v>
      </c>
      <c r="DA118">
        <f t="shared" si="2467"/>
        <v>0</v>
      </c>
      <c r="DB118">
        <f t="shared" si="2468"/>
        <v>0.04</v>
      </c>
      <c r="DC118">
        <f t="shared" si="2469"/>
        <v>0.15</v>
      </c>
      <c r="DD118">
        <f t="shared" si="2470"/>
        <v>13.1</v>
      </c>
      <c r="DE118">
        <f t="shared" si="2471"/>
        <v>6</v>
      </c>
      <c r="DF118">
        <f t="shared" si="2472"/>
        <v>21</v>
      </c>
      <c r="DG118">
        <f t="shared" si="2473"/>
        <v>10.35</v>
      </c>
      <c r="DH118">
        <f t="shared" si="2474"/>
        <v>5.5E-2</v>
      </c>
      <c r="DI118">
        <f t="shared" si="2475"/>
        <v>2.85</v>
      </c>
      <c r="DJ118">
        <f t="shared" si="2476"/>
        <v>1.55E-2</v>
      </c>
      <c r="DK118">
        <f t="shared" si="2477"/>
        <v>0.15</v>
      </c>
      <c r="DL118">
        <f t="shared" si="2478"/>
        <v>9.5</v>
      </c>
      <c r="DM118">
        <f t="shared" si="2479"/>
        <v>2.5499999999999998</v>
      </c>
      <c r="DN118">
        <f t="shared" si="2480"/>
        <v>1.4999999999999999E-2</v>
      </c>
      <c r="DO118">
        <f t="shared" si="2481"/>
        <v>1.65</v>
      </c>
      <c r="DP118">
        <f t="shared" si="2482"/>
        <v>4.4999999999999997E-3</v>
      </c>
      <c r="DQ118">
        <f t="shared" si="2483"/>
        <v>1.9500000000000003E-2</v>
      </c>
      <c r="DR118">
        <f t="shared" si="2484"/>
        <v>0</v>
      </c>
      <c r="DS118">
        <f t="shared" si="2485"/>
        <v>0.03</v>
      </c>
      <c r="DT118">
        <f t="shared" si="2486"/>
        <v>1.0500000000000001E-2</v>
      </c>
      <c r="DU118">
        <f t="shared" si="2487"/>
        <v>0.45</v>
      </c>
      <c r="DV118">
        <f t="shared" si="2488"/>
        <v>3.6499999999999998E-2</v>
      </c>
      <c r="DW118">
        <f t="shared" si="2489"/>
        <v>0.12</v>
      </c>
      <c r="DX118">
        <f t="shared" si="2490"/>
        <v>0.105</v>
      </c>
      <c r="DY118">
        <f t="shared" si="2491"/>
        <v>1.25</v>
      </c>
      <c r="DZ118">
        <f t="shared" si="2492"/>
        <v>1.2</v>
      </c>
      <c r="EA118">
        <f t="shared" si="2493"/>
        <v>0.4</v>
      </c>
      <c r="EB118">
        <f t="shared" si="2494"/>
        <v>0.08</v>
      </c>
      <c r="EC118">
        <f t="shared" si="2495"/>
        <v>2.5000000000000001E-4</v>
      </c>
      <c r="ED118">
        <f t="shared" si="2496"/>
        <v>0.28499999999999998</v>
      </c>
      <c r="EE118">
        <f t="shared" si="2497"/>
        <v>1.093</v>
      </c>
      <c r="EF118">
        <f t="shared" si="2498"/>
        <v>3.4499999999999996E-2</v>
      </c>
      <c r="EG118">
        <f t="shared" si="2499"/>
        <v>1.0500000000000001E-2</v>
      </c>
      <c r="EH118">
        <f t="shared" si="2500"/>
        <v>3.3000000000000002E-2</v>
      </c>
      <c r="EI118">
        <f t="shared" si="2501"/>
        <v>0.46</v>
      </c>
      <c r="EJ118">
        <f t="shared" si="2502"/>
        <v>0.51900000000000002</v>
      </c>
      <c r="EK118">
        <f t="shared" si="2503"/>
        <v>1.55E-2</v>
      </c>
      <c r="EL118">
        <f t="shared" si="2504"/>
        <v>3.5000000000000005E-3</v>
      </c>
      <c r="EM118">
        <f t="shared" si="2505"/>
        <v>0.57450000000000001</v>
      </c>
      <c r="EN118">
        <f t="shared" si="2506"/>
        <v>3.5000000000000005E-3</v>
      </c>
      <c r="EO118">
        <f t="shared" si="2507"/>
        <v>8.5000000000000006E-3</v>
      </c>
      <c r="EP118">
        <f t="shared" si="2508"/>
        <v>0.55700000000000005</v>
      </c>
      <c r="EQ118">
        <f t="shared" si="2509"/>
        <v>1.5E-3</v>
      </c>
      <c r="ER118">
        <f t="shared" si="2510"/>
        <v>0</v>
      </c>
      <c r="ES118">
        <f t="shared" si="2511"/>
        <v>6.4000000000000001E-2</v>
      </c>
      <c r="ET118">
        <f t="shared" si="2512"/>
        <v>5.5500000000000008E-2</v>
      </c>
      <c r="EU118">
        <f t="shared" si="2513"/>
        <v>5.0000000000000001E-3</v>
      </c>
      <c r="EV118">
        <f t="shared" si="2514"/>
        <v>0</v>
      </c>
      <c r="EW118">
        <f t="shared" si="2515"/>
        <v>0</v>
      </c>
      <c r="EX118">
        <f t="shared" si="2516"/>
        <v>0</v>
      </c>
      <c r="EY118">
        <f t="shared" si="2517"/>
        <v>3.5000000000000005E-3</v>
      </c>
      <c r="EZ118">
        <f t="shared" si="2518"/>
        <v>3.7528169014084494</v>
      </c>
      <c r="FA118">
        <f t="shared" si="2519"/>
        <v>10.48732394366195</v>
      </c>
      <c r="FB118">
        <f t="shared" si="2520"/>
        <v>18.0957746478873</v>
      </c>
      <c r="FC118">
        <f t="shared" si="2521"/>
        <v>33.312676056338049</v>
      </c>
      <c r="FD118">
        <f t="shared" si="2522"/>
        <v>33.312676056338049</v>
      </c>
      <c r="FE118">
        <f t="shared" si="2523"/>
        <v>8.1739436619718511</v>
      </c>
      <c r="FF118">
        <f t="shared" si="2524"/>
        <v>1.64507042253521</v>
      </c>
      <c r="FG118">
        <f t="shared" si="2525"/>
        <v>17.53028169014085</v>
      </c>
      <c r="FH118">
        <f t="shared" si="2526"/>
        <v>11.669718309859149</v>
      </c>
      <c r="FI118">
        <f t="shared" si="2527"/>
        <v>24.5218309859155</v>
      </c>
      <c r="FJ118">
        <f t="shared" si="2528"/>
        <v>12.286619718309851</v>
      </c>
      <c r="FK118">
        <f t="shared" si="2529"/>
        <v>8.7394366197182993</v>
      </c>
      <c r="FL118">
        <f t="shared" si="2530"/>
        <v>11.669718309859149</v>
      </c>
      <c r="FM118">
        <f t="shared" si="2531"/>
        <v>29.2</v>
      </c>
      <c r="FN118">
        <f t="shared" si="2532"/>
        <v>66.830985915493002</v>
      </c>
      <c r="FO118">
        <f t="shared" si="2533"/>
        <v>8.7394366197182993</v>
      </c>
      <c r="FP118">
        <f t="shared" si="2534"/>
        <v>35.0605633802817</v>
      </c>
      <c r="FQ118">
        <f t="shared" si="2535"/>
        <v>19.843661971831001</v>
      </c>
      <c r="FR118">
        <f t="shared" si="2536"/>
        <v>2.5000000000000001E-3</v>
      </c>
      <c r="FS118">
        <f t="shared" si="2537"/>
        <v>2.5000000000000001E-3</v>
      </c>
      <c r="FT118">
        <f t="shared" si="2538"/>
        <v>0</v>
      </c>
      <c r="FU118">
        <f t="shared" si="2539"/>
        <v>2.11</v>
      </c>
      <c r="FV118">
        <f t="shared" si="2540"/>
        <v>2.5000000000000001E-3</v>
      </c>
      <c r="FW118">
        <f t="shared" si="2541"/>
        <v>0.41499999999999998</v>
      </c>
    </row>
    <row r="119" spans="1:179" x14ac:dyDescent="0.35">
      <c r="C119">
        <f>SUM(C115:C118)</f>
        <v>100</v>
      </c>
      <c r="CN119">
        <f>SUM(CN115:CN118)</f>
        <v>150.9</v>
      </c>
      <c r="CO119">
        <f t="shared" ref="CO119:EZ119" si="2542">SUM(CO115:CO118)</f>
        <v>632.94999999999993</v>
      </c>
      <c r="CP119">
        <f t="shared" si="2542"/>
        <v>3.3950000000000005</v>
      </c>
      <c r="CQ119">
        <f t="shared" si="2542"/>
        <v>3.2750000000000004</v>
      </c>
      <c r="CR119">
        <f t="shared" si="2542"/>
        <v>0.12</v>
      </c>
      <c r="CS119">
        <f t="shared" si="2542"/>
        <v>8.35</v>
      </c>
      <c r="CT119">
        <f t="shared" si="2542"/>
        <v>6.8100000000000005</v>
      </c>
      <c r="CU119">
        <f t="shared" si="2542"/>
        <v>1.54</v>
      </c>
      <c r="CV119">
        <f t="shared" si="2542"/>
        <v>20.85</v>
      </c>
      <c r="CW119">
        <f t="shared" si="2542"/>
        <v>16.549999999999997</v>
      </c>
      <c r="CX119">
        <f t="shared" si="2542"/>
        <v>2.5000000000000001E-3</v>
      </c>
      <c r="CY119">
        <f t="shared" si="2542"/>
        <v>16.549999999999997</v>
      </c>
      <c r="CZ119">
        <f t="shared" si="2542"/>
        <v>0.16</v>
      </c>
      <c r="DA119">
        <f t="shared" si="2542"/>
        <v>0</v>
      </c>
      <c r="DB119">
        <f t="shared" si="2542"/>
        <v>71.040000000000006</v>
      </c>
      <c r="DC119">
        <f t="shared" si="2542"/>
        <v>0.26500000000000001</v>
      </c>
      <c r="DD119">
        <f t="shared" si="2542"/>
        <v>111.85</v>
      </c>
      <c r="DE119">
        <f t="shared" si="2542"/>
        <v>44.1</v>
      </c>
      <c r="DF119">
        <f t="shared" si="2542"/>
        <v>149.89999999999998</v>
      </c>
      <c r="DG119">
        <f t="shared" si="2542"/>
        <v>90.499999999999986</v>
      </c>
      <c r="DH119">
        <f t="shared" si="2542"/>
        <v>0.43149999999999994</v>
      </c>
      <c r="DI119">
        <f t="shared" si="2542"/>
        <v>12.649999999999999</v>
      </c>
      <c r="DJ119">
        <f t="shared" si="2542"/>
        <v>3.175E-2</v>
      </c>
      <c r="DK119">
        <f t="shared" si="2542"/>
        <v>1.4649999999999999</v>
      </c>
      <c r="DL119">
        <f t="shared" si="2542"/>
        <v>136.05000000000001</v>
      </c>
      <c r="DM119">
        <f t="shared" si="2542"/>
        <v>44.15</v>
      </c>
      <c r="DN119">
        <f t="shared" si="2542"/>
        <v>1.975E-2</v>
      </c>
      <c r="DO119">
        <f t="shared" si="2542"/>
        <v>40.9</v>
      </c>
      <c r="DP119">
        <f t="shared" si="2542"/>
        <v>3.6499999999999998E-2</v>
      </c>
      <c r="DQ119">
        <f t="shared" si="2542"/>
        <v>0.17099999999999999</v>
      </c>
      <c r="DR119">
        <f t="shared" si="2542"/>
        <v>0.85000000000000009</v>
      </c>
      <c r="DS119">
        <f t="shared" si="2542"/>
        <v>0.12150000000000001</v>
      </c>
      <c r="DT119">
        <f t="shared" si="2542"/>
        <v>8.5499999999999993E-2</v>
      </c>
      <c r="DU119">
        <f t="shared" si="2542"/>
        <v>13.549999999999999</v>
      </c>
      <c r="DV119">
        <f t="shared" si="2542"/>
        <v>0.41749999999999998</v>
      </c>
      <c r="DW119">
        <f t="shared" si="2542"/>
        <v>2.17</v>
      </c>
      <c r="DX119">
        <f t="shared" si="2542"/>
        <v>0.29499999999999998</v>
      </c>
      <c r="DY119">
        <f t="shared" si="2542"/>
        <v>66.95</v>
      </c>
      <c r="DZ119">
        <f t="shared" si="2542"/>
        <v>61.35</v>
      </c>
      <c r="EA119">
        <f t="shared" si="2542"/>
        <v>32.799999999999997</v>
      </c>
      <c r="EB119">
        <f t="shared" si="2542"/>
        <v>0.21200000000000002</v>
      </c>
      <c r="EC119">
        <f t="shared" si="2542"/>
        <v>5.4250000000000007E-2</v>
      </c>
      <c r="ED119">
        <f t="shared" si="2542"/>
        <v>0.755</v>
      </c>
      <c r="EE119">
        <f t="shared" si="2542"/>
        <v>4.7665000000000006</v>
      </c>
      <c r="EF119">
        <f t="shared" si="2542"/>
        <v>0.58699999999999997</v>
      </c>
      <c r="EG119">
        <f t="shared" si="2542"/>
        <v>0.21729999999999999</v>
      </c>
      <c r="EH119">
        <f t="shared" si="2542"/>
        <v>0.6804</v>
      </c>
      <c r="EI119">
        <f t="shared" si="2542"/>
        <v>2.0154000000000001</v>
      </c>
      <c r="EJ119">
        <f t="shared" si="2542"/>
        <v>1.1534</v>
      </c>
      <c r="EK119">
        <f t="shared" si="2542"/>
        <v>1.55E-2</v>
      </c>
      <c r="EL119">
        <f t="shared" si="2542"/>
        <v>3.5000000000000005E-3</v>
      </c>
      <c r="EM119">
        <f t="shared" si="2542"/>
        <v>2.3607</v>
      </c>
      <c r="EN119">
        <f t="shared" si="2542"/>
        <v>5.5300000000000002E-2</v>
      </c>
      <c r="EO119">
        <f t="shared" si="2542"/>
        <v>0.11379999999999998</v>
      </c>
      <c r="EP119">
        <f t="shared" si="2542"/>
        <v>2.1207000000000003</v>
      </c>
      <c r="EQ119">
        <f t="shared" si="2542"/>
        <v>1.5E-3</v>
      </c>
      <c r="ER119">
        <f t="shared" si="2542"/>
        <v>0</v>
      </c>
      <c r="ES119">
        <f t="shared" si="2542"/>
        <v>0.25570000000000004</v>
      </c>
      <c r="ET119">
        <f t="shared" si="2542"/>
        <v>0.1593</v>
      </c>
      <c r="EU119">
        <f t="shared" si="2542"/>
        <v>9.2700000000000005E-2</v>
      </c>
      <c r="EV119">
        <f t="shared" si="2542"/>
        <v>0</v>
      </c>
      <c r="EW119">
        <f t="shared" si="2542"/>
        <v>0</v>
      </c>
      <c r="EX119">
        <f t="shared" si="2542"/>
        <v>0</v>
      </c>
      <c r="EY119">
        <f t="shared" si="2542"/>
        <v>3.5000000000000005E-3</v>
      </c>
      <c r="EZ119">
        <f t="shared" si="2542"/>
        <v>38.15281690140845</v>
      </c>
      <c r="FA119">
        <f t="shared" ref="FA119:FW119" si="2543">SUM(FA115:FA118)</f>
        <v>129.28732394366196</v>
      </c>
      <c r="FB119">
        <f t="shared" si="2543"/>
        <v>154.6957746478873</v>
      </c>
      <c r="FC119">
        <f t="shared" si="2543"/>
        <v>288.51267605633802</v>
      </c>
      <c r="FD119">
        <f t="shared" si="2543"/>
        <v>248.51267605633802</v>
      </c>
      <c r="FE119">
        <f t="shared" si="2543"/>
        <v>80.473943661971845</v>
      </c>
      <c r="FF119">
        <f t="shared" si="2543"/>
        <v>27.345070422535208</v>
      </c>
      <c r="FG119">
        <f t="shared" si="2543"/>
        <v>157.83028169014085</v>
      </c>
      <c r="FH119">
        <f t="shared" si="2543"/>
        <v>159.16971830985915</v>
      </c>
      <c r="FI119">
        <f t="shared" si="2543"/>
        <v>200.62183098591549</v>
      </c>
      <c r="FJ119">
        <f t="shared" si="2543"/>
        <v>101.58661971830985</v>
      </c>
      <c r="FK119">
        <f t="shared" si="2543"/>
        <v>83.039436619718302</v>
      </c>
      <c r="FL119">
        <f t="shared" si="2543"/>
        <v>103.36971830985915</v>
      </c>
      <c r="FM119">
        <f t="shared" si="2543"/>
        <v>243.79999999999998</v>
      </c>
      <c r="FN119">
        <f t="shared" si="2543"/>
        <v>613.63098591549294</v>
      </c>
      <c r="FO119">
        <f t="shared" si="2543"/>
        <v>66.039436619718302</v>
      </c>
      <c r="FP119">
        <f t="shared" si="2543"/>
        <v>293.06056338028168</v>
      </c>
      <c r="FQ119">
        <f t="shared" si="2543"/>
        <v>171.24366197183102</v>
      </c>
      <c r="FR119">
        <f t="shared" si="2543"/>
        <v>2.5000000000000001E-3</v>
      </c>
      <c r="FS119">
        <f t="shared" si="2543"/>
        <v>2.5000000000000001E-3</v>
      </c>
      <c r="FT119">
        <f t="shared" si="2543"/>
        <v>1.105</v>
      </c>
      <c r="FU119">
        <f t="shared" si="2543"/>
        <v>12.559999999999999</v>
      </c>
      <c r="FV119">
        <f t="shared" si="2543"/>
        <v>2.5000000000000001E-3</v>
      </c>
      <c r="FW119">
        <f t="shared" si="2543"/>
        <v>2.8849999999999998</v>
      </c>
    </row>
    <row r="121" spans="1:179" x14ac:dyDescent="0.35">
      <c r="A121" s="80" t="s">
        <v>251</v>
      </c>
      <c r="B121" s="72" t="s">
        <v>210</v>
      </c>
      <c r="C121">
        <v>65</v>
      </c>
      <c r="D121" s="54">
        <v>80</v>
      </c>
      <c r="E121" s="54">
        <v>340</v>
      </c>
      <c r="F121" s="54">
        <v>2.1</v>
      </c>
      <c r="G121" s="54">
        <v>0</v>
      </c>
      <c r="H121" s="54">
        <v>2.1</v>
      </c>
      <c r="I121" s="54">
        <v>0.1</v>
      </c>
      <c r="J121" s="54">
        <v>0</v>
      </c>
      <c r="K121" s="54">
        <v>0.1</v>
      </c>
      <c r="L121" s="54">
        <v>0</v>
      </c>
      <c r="M121" s="54">
        <v>18</v>
      </c>
      <c r="N121" s="54">
        <v>17.600000000000001</v>
      </c>
      <c r="O121" s="54">
        <v>0.4</v>
      </c>
      <c r="P121" s="54">
        <v>1.6</v>
      </c>
      <c r="Q121" s="54">
        <v>0</v>
      </c>
      <c r="R121" s="54">
        <v>78.5</v>
      </c>
      <c r="S121" s="54">
        <v>0.6</v>
      </c>
      <c r="T121" s="54">
        <v>10</v>
      </c>
      <c r="U121" s="54">
        <v>7</v>
      </c>
      <c r="V121" s="54">
        <v>570</v>
      </c>
      <c r="W121" s="54">
        <v>54</v>
      </c>
      <c r="X121" s="54">
        <v>0.27</v>
      </c>
      <c r="Y121" s="81">
        <v>0</v>
      </c>
      <c r="Z121" s="81">
        <v>0</v>
      </c>
      <c r="AA121" s="81">
        <v>0</v>
      </c>
      <c r="AB121" s="81">
        <v>0</v>
      </c>
      <c r="AC121" s="81">
        <v>0</v>
      </c>
      <c r="AD121" s="81">
        <v>0</v>
      </c>
      <c r="AE121" s="81">
        <v>0</v>
      </c>
      <c r="AF121" s="54">
        <v>0.1</v>
      </c>
      <c r="AG121" s="54">
        <v>0.04</v>
      </c>
      <c r="AH121" s="54">
        <v>15</v>
      </c>
      <c r="AI121" s="54">
        <v>2.5</v>
      </c>
      <c r="AJ121" s="54">
        <v>0.44</v>
      </c>
      <c r="AK121" s="54">
        <v>35</v>
      </c>
      <c r="AL121" s="81">
        <v>0</v>
      </c>
      <c r="AM121" s="81">
        <v>0</v>
      </c>
      <c r="AN121" s="81">
        <v>0</v>
      </c>
      <c r="AO121" s="54">
        <v>3</v>
      </c>
      <c r="AP121" s="54">
        <v>0</v>
      </c>
      <c r="AQ121" s="54">
        <v>18</v>
      </c>
      <c r="AR121" s="54">
        <v>0.06</v>
      </c>
      <c r="AS121" s="54">
        <v>0</v>
      </c>
      <c r="AT121" s="81">
        <v>0</v>
      </c>
      <c r="AU121" s="54">
        <v>0.03</v>
      </c>
      <c r="AV121" s="81">
        <v>0</v>
      </c>
      <c r="AW121" s="81">
        <v>0</v>
      </c>
      <c r="AX121" s="81">
        <v>0</v>
      </c>
      <c r="AY121" s="81">
        <v>0</v>
      </c>
      <c r="AZ121" s="81">
        <v>0</v>
      </c>
      <c r="BA121" s="81">
        <v>0</v>
      </c>
      <c r="BB121" s="81">
        <v>0</v>
      </c>
      <c r="BC121" s="54">
        <v>0.01</v>
      </c>
      <c r="BD121" s="82">
        <v>0</v>
      </c>
      <c r="BE121" s="82">
        <v>0</v>
      </c>
      <c r="BF121" s="54">
        <v>0.01</v>
      </c>
      <c r="BG121" s="82">
        <v>0</v>
      </c>
      <c r="BH121" s="82">
        <v>0</v>
      </c>
      <c r="BI121" s="54">
        <v>0.01</v>
      </c>
      <c r="BJ121" s="54">
        <v>0.01</v>
      </c>
      <c r="BK121" s="51">
        <v>5.0000000000000001E-3</v>
      </c>
      <c r="BL121" s="82">
        <v>0</v>
      </c>
      <c r="BM121" s="82">
        <v>0</v>
      </c>
      <c r="BN121" s="82">
        <v>0</v>
      </c>
      <c r="BO121" s="54">
        <v>0</v>
      </c>
      <c r="BP121" s="56">
        <v>28</v>
      </c>
      <c r="BQ121" s="56">
        <v>83</v>
      </c>
      <c r="BR121" s="56">
        <v>92</v>
      </c>
      <c r="BS121" s="56">
        <v>122</v>
      </c>
      <c r="BT121" s="56">
        <v>115</v>
      </c>
      <c r="BU121" s="56">
        <v>34</v>
      </c>
      <c r="BV121" s="56">
        <v>22</v>
      </c>
      <c r="BW121" s="56">
        <v>93</v>
      </c>
      <c r="BX121" s="56">
        <v>61</v>
      </c>
      <c r="BY121" s="56">
        <v>116</v>
      </c>
      <c r="BZ121" s="56">
        <v>104</v>
      </c>
      <c r="CA121" s="56">
        <v>36</v>
      </c>
      <c r="CB121" s="56">
        <v>92</v>
      </c>
      <c r="CC121" s="56">
        <v>334</v>
      </c>
      <c r="CD121" s="56">
        <v>348</v>
      </c>
      <c r="CE121" s="56">
        <v>58</v>
      </c>
      <c r="CF121" s="56">
        <v>76</v>
      </c>
      <c r="CG121" s="56">
        <v>76</v>
      </c>
      <c r="CH121" s="81">
        <v>0</v>
      </c>
      <c r="CI121" s="81">
        <v>0</v>
      </c>
      <c r="CJ121" s="83">
        <v>0</v>
      </c>
      <c r="CK121" s="81">
        <v>0</v>
      </c>
      <c r="CL121" s="81">
        <v>0</v>
      </c>
      <c r="CM121" s="83">
        <v>0</v>
      </c>
      <c r="CN121">
        <f t="shared" ref="CN121:CN124" si="2544">($C121*D121)/100</f>
        <v>52</v>
      </c>
      <c r="CO121">
        <f t="shared" ref="CO121:CO124" si="2545">($C121*E121)/100</f>
        <v>221</v>
      </c>
      <c r="CP121">
        <f t="shared" ref="CP121:CP124" si="2546">($C121*F121)/100</f>
        <v>1.365</v>
      </c>
      <c r="CQ121">
        <f t="shared" ref="CQ121:CQ124" si="2547">($C121*G121)/100</f>
        <v>0</v>
      </c>
      <c r="CR121">
        <f t="shared" ref="CR121:CR124" si="2548">($C121*H121)/100</f>
        <v>1.365</v>
      </c>
      <c r="CS121">
        <f t="shared" ref="CS121:CS124" si="2549">($C121*I121)/100</f>
        <v>6.5000000000000002E-2</v>
      </c>
      <c r="CT121">
        <f t="shared" ref="CT121:CT124" si="2550">($C121*J121)/100</f>
        <v>0</v>
      </c>
      <c r="CU121">
        <f t="shared" ref="CU121:CU124" si="2551">($C121*K121)/100</f>
        <v>6.5000000000000002E-2</v>
      </c>
      <c r="CV121">
        <f t="shared" ref="CV121:CV124" si="2552">($C121*L121)/100</f>
        <v>0</v>
      </c>
      <c r="CW121">
        <f t="shared" ref="CW121:CW124" si="2553">($C121*M121)/100</f>
        <v>11.7</v>
      </c>
      <c r="CX121">
        <f t="shared" ref="CX121:CX124" si="2554">($C121*N121)/100</f>
        <v>11.44</v>
      </c>
      <c r="CY121">
        <f t="shared" ref="CY121:CY124" si="2555">($C121*O121)/100</f>
        <v>0.26</v>
      </c>
      <c r="CZ121">
        <f t="shared" ref="CZ121:CZ124" si="2556">($C121*P121)/100</f>
        <v>1.04</v>
      </c>
      <c r="DA121">
        <f t="shared" ref="DA121:DA124" si="2557">($C121*Q121)/100</f>
        <v>0</v>
      </c>
      <c r="DB121">
        <f t="shared" ref="DB121:DB124" si="2558">($C121*R121)/100</f>
        <v>51.024999999999999</v>
      </c>
      <c r="DC121">
        <f t="shared" ref="DC121:DC124" si="2559">($C121*S121)/100</f>
        <v>0.39</v>
      </c>
      <c r="DD121">
        <f t="shared" ref="DD121:DD124" si="2560">($C121*T121)/100</f>
        <v>6.5</v>
      </c>
      <c r="DE121">
        <f t="shared" ref="DE121:DE124" si="2561">($C121*U121)/100</f>
        <v>4.55</v>
      </c>
      <c r="DF121">
        <f t="shared" ref="DF121:DF124" si="2562">($C121*V121)/100</f>
        <v>370.5</v>
      </c>
      <c r="DG121">
        <f t="shared" ref="DG121:DG124" si="2563">($C121*W121)/100</f>
        <v>35.1</v>
      </c>
      <c r="DH121">
        <f t="shared" ref="DH121:DH124" si="2564">($C121*X121)/100</f>
        <v>0.17550000000000002</v>
      </c>
      <c r="DI121">
        <f t="shared" ref="DI121:DI124" si="2565">($C121*Y121)/100</f>
        <v>0</v>
      </c>
      <c r="DJ121">
        <f t="shared" ref="DJ121:DJ124" si="2566">($C121*Z121)/100</f>
        <v>0</v>
      </c>
      <c r="DK121">
        <f t="shared" ref="DK121:DK124" si="2567">($C121*AA121)/100</f>
        <v>0</v>
      </c>
      <c r="DL121">
        <f t="shared" ref="DL121:DL124" si="2568">($C121*AB121)/100</f>
        <v>0</v>
      </c>
      <c r="DM121">
        <f t="shared" ref="DM121:DM124" si="2569">($C121*AC121)/100</f>
        <v>0</v>
      </c>
      <c r="DN121">
        <f t="shared" ref="DN121:DN124" si="2570">($C121*AD121)/100</f>
        <v>0</v>
      </c>
      <c r="DO121">
        <f t="shared" ref="DO121:DO124" si="2571">($C121*AE121)/100</f>
        <v>0</v>
      </c>
      <c r="DP121">
        <f t="shared" ref="DP121:DP124" si="2572">($C121*AF121)/100</f>
        <v>6.5000000000000002E-2</v>
      </c>
      <c r="DQ121">
        <f t="shared" ref="DQ121:DQ124" si="2573">($C121*AG121)/100</f>
        <v>2.6000000000000002E-2</v>
      </c>
      <c r="DR121">
        <f t="shared" ref="DR121:DR124" si="2574">($C121*AH121)/100</f>
        <v>9.75</v>
      </c>
      <c r="DS121">
        <f t="shared" ref="DS121:DS124" si="2575">($C121*AI121)/100</f>
        <v>1.625</v>
      </c>
      <c r="DT121">
        <f t="shared" ref="DT121:DT124" si="2576">($C121*AJ121)/100</f>
        <v>0.28600000000000003</v>
      </c>
      <c r="DU121">
        <f t="shared" ref="DU121:DU124" si="2577">($C121*AK121)/100</f>
        <v>22.75</v>
      </c>
      <c r="DV121">
        <f t="shared" ref="DV121:DV124" si="2578">($C121*AL121)/100</f>
        <v>0</v>
      </c>
      <c r="DW121">
        <f t="shared" ref="DW121:DW124" si="2579">($C121*AM121)/100</f>
        <v>0</v>
      </c>
      <c r="DX121">
        <f t="shared" ref="DX121:DX124" si="2580">($C121*AN121)/100</f>
        <v>0</v>
      </c>
      <c r="DY121">
        <f t="shared" ref="DY121:DY124" si="2581">($C121*AO121)/100</f>
        <v>1.95</v>
      </c>
      <c r="DZ121">
        <f t="shared" ref="DZ121:DZ124" si="2582">($C121*AP121)/100</f>
        <v>0</v>
      </c>
      <c r="EA121">
        <f t="shared" ref="EA121:EA124" si="2583">($C121*AQ121)/100</f>
        <v>11.7</v>
      </c>
      <c r="EB121">
        <f t="shared" ref="EB121:EB124" si="2584">($C121*AR121)/100</f>
        <v>3.9E-2</v>
      </c>
      <c r="EC121">
        <f t="shared" ref="EC121:EC124" si="2585">($C121*AS121)/100</f>
        <v>0</v>
      </c>
      <c r="ED121">
        <f t="shared" ref="ED121:ED124" si="2586">($C121*AT121)/100</f>
        <v>0</v>
      </c>
      <c r="EE121">
        <f t="shared" ref="EE121:EE124" si="2587">($C121*AU121)/100</f>
        <v>1.95E-2</v>
      </c>
      <c r="EF121">
        <f t="shared" ref="EF121:EF124" si="2588">($C121*AV121)/100</f>
        <v>0</v>
      </c>
      <c r="EG121">
        <f t="shared" ref="EG121:EG124" si="2589">($C121*AW121)/100</f>
        <v>0</v>
      </c>
      <c r="EH121">
        <f t="shared" ref="EH121:EH124" si="2590">($C121*AX121)/100</f>
        <v>0</v>
      </c>
      <c r="EI121">
        <f t="shared" ref="EI121:EI124" si="2591">($C121*AY121)/100</f>
        <v>0</v>
      </c>
      <c r="EJ121">
        <f t="shared" ref="EJ121:EJ124" si="2592">($C121*AZ121)/100</f>
        <v>0</v>
      </c>
      <c r="EK121">
        <f t="shared" ref="EK121:EK124" si="2593">($C121*BA121)/100</f>
        <v>0</v>
      </c>
      <c r="EL121">
        <f t="shared" ref="EL121:EL124" si="2594">($C121*BB121)/100</f>
        <v>0</v>
      </c>
      <c r="EM121">
        <f t="shared" ref="EM121:EM124" si="2595">($C121*BC121)/100</f>
        <v>6.5000000000000006E-3</v>
      </c>
      <c r="EN121">
        <f t="shared" ref="EN121:EN124" si="2596">($C121*BD121)/100</f>
        <v>0</v>
      </c>
      <c r="EO121">
        <f t="shared" ref="EO121:EO124" si="2597">($C121*BE121)/100</f>
        <v>0</v>
      </c>
      <c r="EP121">
        <f t="shared" ref="EP121:EP124" si="2598">($C121*BF121)/100</f>
        <v>6.5000000000000006E-3</v>
      </c>
      <c r="EQ121">
        <f t="shared" ref="EQ121:EQ124" si="2599">($C121*BG121)/100</f>
        <v>0</v>
      </c>
      <c r="ER121">
        <f t="shared" ref="ER121:ER124" si="2600">($C121*BH121)/100</f>
        <v>0</v>
      </c>
      <c r="ES121">
        <f t="shared" ref="ES121:ES124" si="2601">($C121*BI121)/100</f>
        <v>6.5000000000000006E-3</v>
      </c>
      <c r="ET121">
        <f t="shared" ref="ET121:ET124" si="2602">($C121*BJ121)/100</f>
        <v>6.5000000000000006E-3</v>
      </c>
      <c r="EU121">
        <f t="shared" ref="EU121:EU124" si="2603">($C121*BK121)/100</f>
        <v>3.2500000000000003E-3</v>
      </c>
      <c r="EV121">
        <f t="shared" ref="EV121:EV124" si="2604">($C121*BL121)/100</f>
        <v>0</v>
      </c>
      <c r="EW121">
        <f t="shared" ref="EW121:EW124" si="2605">($C121*BM121)/100</f>
        <v>0</v>
      </c>
      <c r="EX121">
        <f t="shared" ref="EX121:EX124" si="2606">($C121*BN121)/100</f>
        <v>0</v>
      </c>
      <c r="EY121">
        <f t="shared" ref="EY121:EY124" si="2607">($C121*BO121)/100</f>
        <v>0</v>
      </c>
      <c r="EZ121">
        <f t="shared" ref="EZ121:EZ124" si="2608">($C121*BP121)/100</f>
        <v>18.2</v>
      </c>
      <c r="FA121">
        <f t="shared" ref="FA121:FA124" si="2609">($C121*BQ121)/100</f>
        <v>53.95</v>
      </c>
      <c r="FB121">
        <f t="shared" ref="FB121:FB124" si="2610">($C121*BR121)/100</f>
        <v>59.8</v>
      </c>
      <c r="FC121">
        <f t="shared" ref="FC121:FC124" si="2611">($C121*BS121)/100</f>
        <v>79.3</v>
      </c>
      <c r="FD121">
        <f t="shared" ref="FD121:FD124" si="2612">($C121*BT121)/100</f>
        <v>74.75</v>
      </c>
      <c r="FE121">
        <f t="shared" ref="FE121:FE124" si="2613">($C121*BU121)/100</f>
        <v>22.1</v>
      </c>
      <c r="FF121">
        <f t="shared" ref="FF121:FF124" si="2614">($C121*BV121)/100</f>
        <v>14.3</v>
      </c>
      <c r="FG121">
        <f t="shared" ref="FG121:FG124" si="2615">($C121*BW121)/100</f>
        <v>60.45</v>
      </c>
      <c r="FH121">
        <f t="shared" ref="FH121:FH124" si="2616">($C121*BX121)/100</f>
        <v>39.65</v>
      </c>
      <c r="FI121">
        <f t="shared" ref="FI121:FI124" si="2617">($C121*BY121)/100</f>
        <v>75.400000000000006</v>
      </c>
      <c r="FJ121">
        <f t="shared" ref="FJ121:FJ124" si="2618">($C121*BZ121)/100</f>
        <v>67.599999999999994</v>
      </c>
      <c r="FK121">
        <f t="shared" ref="FK121:FK124" si="2619">($C121*CA121)/100</f>
        <v>23.4</v>
      </c>
      <c r="FL121">
        <f t="shared" ref="FL121:FL124" si="2620">($C121*CB121)/100</f>
        <v>59.8</v>
      </c>
      <c r="FM121">
        <f t="shared" ref="FM121:FM124" si="2621">($C121*CC121)/100</f>
        <v>217.1</v>
      </c>
      <c r="FN121">
        <f t="shared" ref="FN121:FN124" si="2622">($C121*CD121)/100</f>
        <v>226.2</v>
      </c>
      <c r="FO121">
        <f t="shared" ref="FO121:FO124" si="2623">($C121*CE121)/100</f>
        <v>37.700000000000003</v>
      </c>
      <c r="FP121">
        <f t="shared" ref="FP121:FP124" si="2624">($C121*CF121)/100</f>
        <v>49.4</v>
      </c>
      <c r="FQ121">
        <f t="shared" ref="FQ121:FQ124" si="2625">($C121*CG121)/100</f>
        <v>49.4</v>
      </c>
      <c r="FR121">
        <f t="shared" ref="FR121:FR124" si="2626">($C121*CH121)/100</f>
        <v>0</v>
      </c>
      <c r="FS121">
        <f t="shared" ref="FS121:FS124" si="2627">($C121*CI121)/100</f>
        <v>0</v>
      </c>
      <c r="FT121">
        <f t="shared" ref="FT121:FT124" si="2628">($C121*CJ121)/100</f>
        <v>0</v>
      </c>
      <c r="FU121">
        <f t="shared" ref="FU121:FU124" si="2629">($C121*CK121)/100</f>
        <v>0</v>
      </c>
      <c r="FV121">
        <f t="shared" ref="FV121:FV124" si="2630">($C121*CL121)/100</f>
        <v>0</v>
      </c>
      <c r="FW121">
        <f t="shared" ref="FW121:FW124" si="2631">($C121*CM121)/100</f>
        <v>0</v>
      </c>
    </row>
    <row r="122" spans="1:179" x14ac:dyDescent="0.35">
      <c r="B122" s="72" t="s">
        <v>252</v>
      </c>
      <c r="C122">
        <v>5</v>
      </c>
      <c r="D122" s="54">
        <v>349</v>
      </c>
      <c r="E122" s="54">
        <v>1488</v>
      </c>
      <c r="F122" s="54">
        <v>1.4</v>
      </c>
      <c r="G122" s="54">
        <v>0</v>
      </c>
      <c r="H122" s="54">
        <v>1.4</v>
      </c>
      <c r="I122" s="54">
        <v>0</v>
      </c>
      <c r="J122" s="54">
        <v>0</v>
      </c>
      <c r="K122" s="54">
        <v>0</v>
      </c>
      <c r="L122" s="54">
        <v>0</v>
      </c>
      <c r="M122" s="54">
        <v>91.5</v>
      </c>
      <c r="N122" s="54">
        <v>91.5</v>
      </c>
      <c r="O122" s="54">
        <v>0</v>
      </c>
      <c r="P122" s="54">
        <v>0</v>
      </c>
      <c r="Q122" s="54">
        <v>0</v>
      </c>
      <c r="R122" s="54">
        <v>16.100000000000001</v>
      </c>
      <c r="S122" s="54">
        <v>0.3</v>
      </c>
      <c r="T122" s="54">
        <v>10</v>
      </c>
      <c r="U122" s="54">
        <v>31</v>
      </c>
      <c r="V122" s="54">
        <v>1580</v>
      </c>
      <c r="W122" s="54">
        <v>27</v>
      </c>
      <c r="X122" s="54">
        <v>1.3</v>
      </c>
      <c r="Y122" s="81">
        <v>0</v>
      </c>
      <c r="Z122" s="81">
        <v>0</v>
      </c>
      <c r="AA122" s="81">
        <v>0</v>
      </c>
      <c r="AB122" s="81">
        <v>0</v>
      </c>
      <c r="AC122" s="81">
        <v>0</v>
      </c>
      <c r="AD122" s="81">
        <v>0</v>
      </c>
      <c r="AE122" s="81">
        <v>0</v>
      </c>
      <c r="AF122" s="51">
        <v>5.0000000000000001E-3</v>
      </c>
      <c r="AG122" s="51">
        <v>5.0000000000000001E-3</v>
      </c>
      <c r="AH122" s="54">
        <v>0</v>
      </c>
      <c r="AI122" s="51">
        <v>5.0000000000000001E-3</v>
      </c>
      <c r="AJ122" s="54">
        <v>0.01</v>
      </c>
      <c r="AK122" s="54">
        <v>51</v>
      </c>
      <c r="AL122" s="81">
        <v>0</v>
      </c>
      <c r="AM122" s="81">
        <v>0</v>
      </c>
      <c r="AN122" s="81">
        <v>0</v>
      </c>
      <c r="AO122" s="54">
        <v>0</v>
      </c>
      <c r="AP122" s="54">
        <v>0</v>
      </c>
      <c r="AQ122" s="54">
        <v>0</v>
      </c>
      <c r="AR122" s="54">
        <v>0.26</v>
      </c>
      <c r="AS122" s="54">
        <v>0</v>
      </c>
      <c r="AT122" s="81">
        <v>0</v>
      </c>
      <c r="AU122" s="54">
        <v>0</v>
      </c>
      <c r="AV122" s="54">
        <v>0</v>
      </c>
      <c r="AW122" s="54">
        <v>0</v>
      </c>
      <c r="AX122" s="54">
        <v>0</v>
      </c>
      <c r="AY122" s="54">
        <v>0</v>
      </c>
      <c r="AZ122" s="54">
        <v>0</v>
      </c>
      <c r="BA122" s="54">
        <v>0</v>
      </c>
      <c r="BB122" s="54">
        <v>0</v>
      </c>
      <c r="BC122" s="54">
        <v>0</v>
      </c>
      <c r="BD122" s="54">
        <v>0</v>
      </c>
      <c r="BE122" s="54">
        <v>0</v>
      </c>
      <c r="BF122" s="54">
        <v>0</v>
      </c>
      <c r="BG122" s="54">
        <v>0</v>
      </c>
      <c r="BH122" s="54">
        <v>0</v>
      </c>
      <c r="BI122" s="54">
        <v>0</v>
      </c>
      <c r="BJ122" s="54">
        <v>0</v>
      </c>
      <c r="BK122" s="54">
        <v>0</v>
      </c>
      <c r="BL122" s="54">
        <v>0</v>
      </c>
      <c r="BM122" s="54">
        <v>0</v>
      </c>
      <c r="BN122" s="54">
        <v>0</v>
      </c>
      <c r="BO122" s="54">
        <v>0</v>
      </c>
      <c r="BP122" s="56">
        <v>19</v>
      </c>
      <c r="BQ122" s="56">
        <v>55</v>
      </c>
      <c r="BR122" s="56">
        <v>61</v>
      </c>
      <c r="BS122" s="56">
        <v>81</v>
      </c>
      <c r="BT122" s="56">
        <v>77</v>
      </c>
      <c r="BU122" s="56">
        <v>23</v>
      </c>
      <c r="BV122" s="56">
        <v>15</v>
      </c>
      <c r="BW122" s="56">
        <v>62</v>
      </c>
      <c r="BX122" s="56">
        <v>41</v>
      </c>
      <c r="BY122" s="56">
        <v>77</v>
      </c>
      <c r="BZ122" s="56">
        <v>69</v>
      </c>
      <c r="CA122" s="56">
        <v>24</v>
      </c>
      <c r="CB122" s="56">
        <v>61</v>
      </c>
      <c r="CC122" s="56">
        <v>223</v>
      </c>
      <c r="CD122" s="56">
        <v>232</v>
      </c>
      <c r="CE122" s="56">
        <v>39</v>
      </c>
      <c r="CF122" s="56">
        <v>51</v>
      </c>
      <c r="CG122" s="56">
        <v>51</v>
      </c>
      <c r="CH122" s="81">
        <v>0</v>
      </c>
      <c r="CI122" s="81">
        <v>0</v>
      </c>
      <c r="CJ122" s="83">
        <v>0</v>
      </c>
      <c r="CK122" s="81">
        <v>0</v>
      </c>
      <c r="CL122" s="81">
        <v>0</v>
      </c>
      <c r="CM122" s="83">
        <v>0</v>
      </c>
      <c r="CN122">
        <f t="shared" si="2544"/>
        <v>17.45</v>
      </c>
      <c r="CO122">
        <f t="shared" si="2545"/>
        <v>74.400000000000006</v>
      </c>
      <c r="CP122">
        <f t="shared" si="2546"/>
        <v>7.0000000000000007E-2</v>
      </c>
      <c r="CQ122">
        <f t="shared" si="2547"/>
        <v>0</v>
      </c>
      <c r="CR122">
        <f t="shared" si="2548"/>
        <v>7.0000000000000007E-2</v>
      </c>
      <c r="CS122">
        <f t="shared" si="2549"/>
        <v>0</v>
      </c>
      <c r="CT122">
        <f t="shared" si="2550"/>
        <v>0</v>
      </c>
      <c r="CU122">
        <f t="shared" si="2551"/>
        <v>0</v>
      </c>
      <c r="CV122">
        <f t="shared" si="2552"/>
        <v>0</v>
      </c>
      <c r="CW122">
        <f t="shared" si="2553"/>
        <v>4.5750000000000002</v>
      </c>
      <c r="CX122">
        <f t="shared" si="2554"/>
        <v>4.5750000000000002</v>
      </c>
      <c r="CY122">
        <f t="shared" si="2555"/>
        <v>0</v>
      </c>
      <c r="CZ122">
        <f t="shared" si="2556"/>
        <v>0</v>
      </c>
      <c r="DA122">
        <f t="shared" si="2557"/>
        <v>0</v>
      </c>
      <c r="DB122">
        <f t="shared" si="2558"/>
        <v>0.80500000000000005</v>
      </c>
      <c r="DC122">
        <f t="shared" si="2559"/>
        <v>1.4999999999999999E-2</v>
      </c>
      <c r="DD122">
        <f t="shared" si="2560"/>
        <v>0.5</v>
      </c>
      <c r="DE122">
        <f t="shared" si="2561"/>
        <v>1.55</v>
      </c>
      <c r="DF122">
        <f t="shared" si="2562"/>
        <v>79</v>
      </c>
      <c r="DG122">
        <f t="shared" si="2563"/>
        <v>1.35</v>
      </c>
      <c r="DH122">
        <f t="shared" si="2564"/>
        <v>6.5000000000000002E-2</v>
      </c>
      <c r="DI122">
        <f t="shared" si="2565"/>
        <v>0</v>
      </c>
      <c r="DJ122">
        <f t="shared" si="2566"/>
        <v>0</v>
      </c>
      <c r="DK122">
        <f t="shared" si="2567"/>
        <v>0</v>
      </c>
      <c r="DL122">
        <f t="shared" si="2568"/>
        <v>0</v>
      </c>
      <c r="DM122">
        <f t="shared" si="2569"/>
        <v>0</v>
      </c>
      <c r="DN122">
        <f t="shared" si="2570"/>
        <v>0</v>
      </c>
      <c r="DO122">
        <f t="shared" si="2571"/>
        <v>0</v>
      </c>
      <c r="DP122">
        <f t="shared" si="2572"/>
        <v>2.5000000000000001E-4</v>
      </c>
      <c r="DQ122">
        <f t="shared" si="2573"/>
        <v>2.5000000000000001E-4</v>
      </c>
      <c r="DR122">
        <f t="shared" si="2574"/>
        <v>0</v>
      </c>
      <c r="DS122">
        <f t="shared" si="2575"/>
        <v>2.5000000000000001E-4</v>
      </c>
      <c r="DT122">
        <f t="shared" si="2576"/>
        <v>5.0000000000000001E-4</v>
      </c>
      <c r="DU122">
        <f t="shared" si="2577"/>
        <v>2.5499999999999998</v>
      </c>
      <c r="DV122">
        <f t="shared" si="2578"/>
        <v>0</v>
      </c>
      <c r="DW122">
        <f t="shared" si="2579"/>
        <v>0</v>
      </c>
      <c r="DX122">
        <f t="shared" si="2580"/>
        <v>0</v>
      </c>
      <c r="DY122">
        <f t="shared" si="2581"/>
        <v>0</v>
      </c>
      <c r="DZ122">
        <f t="shared" si="2582"/>
        <v>0</v>
      </c>
      <c r="EA122">
        <f t="shared" si="2583"/>
        <v>0</v>
      </c>
      <c r="EB122">
        <f t="shared" si="2584"/>
        <v>1.3000000000000001E-2</v>
      </c>
      <c r="EC122">
        <f t="shared" si="2585"/>
        <v>0</v>
      </c>
      <c r="ED122">
        <f t="shared" si="2586"/>
        <v>0</v>
      </c>
      <c r="EE122">
        <f t="shared" si="2587"/>
        <v>0</v>
      </c>
      <c r="EF122">
        <f t="shared" si="2588"/>
        <v>0</v>
      </c>
      <c r="EG122">
        <f t="shared" si="2589"/>
        <v>0</v>
      </c>
      <c r="EH122">
        <f t="shared" si="2590"/>
        <v>0</v>
      </c>
      <c r="EI122">
        <f t="shared" si="2591"/>
        <v>0</v>
      </c>
      <c r="EJ122">
        <f t="shared" si="2592"/>
        <v>0</v>
      </c>
      <c r="EK122">
        <f t="shared" si="2593"/>
        <v>0</v>
      </c>
      <c r="EL122">
        <f t="shared" si="2594"/>
        <v>0</v>
      </c>
      <c r="EM122">
        <f t="shared" si="2595"/>
        <v>0</v>
      </c>
      <c r="EN122">
        <f t="shared" si="2596"/>
        <v>0</v>
      </c>
      <c r="EO122">
        <f t="shared" si="2597"/>
        <v>0</v>
      </c>
      <c r="EP122">
        <f t="shared" si="2598"/>
        <v>0</v>
      </c>
      <c r="EQ122">
        <f t="shared" si="2599"/>
        <v>0</v>
      </c>
      <c r="ER122">
        <f t="shared" si="2600"/>
        <v>0</v>
      </c>
      <c r="ES122">
        <f t="shared" si="2601"/>
        <v>0</v>
      </c>
      <c r="ET122">
        <f t="shared" si="2602"/>
        <v>0</v>
      </c>
      <c r="EU122">
        <f t="shared" si="2603"/>
        <v>0</v>
      </c>
      <c r="EV122">
        <f t="shared" si="2604"/>
        <v>0</v>
      </c>
      <c r="EW122">
        <f t="shared" si="2605"/>
        <v>0</v>
      </c>
      <c r="EX122">
        <f t="shared" si="2606"/>
        <v>0</v>
      </c>
      <c r="EY122">
        <f t="shared" si="2607"/>
        <v>0</v>
      </c>
      <c r="EZ122">
        <f t="shared" si="2608"/>
        <v>0.95</v>
      </c>
      <c r="FA122">
        <f t="shared" si="2609"/>
        <v>2.75</v>
      </c>
      <c r="FB122">
        <f t="shared" si="2610"/>
        <v>3.05</v>
      </c>
      <c r="FC122">
        <f t="shared" si="2611"/>
        <v>4.05</v>
      </c>
      <c r="FD122">
        <f t="shared" si="2612"/>
        <v>3.85</v>
      </c>
      <c r="FE122">
        <f t="shared" si="2613"/>
        <v>1.1499999999999999</v>
      </c>
      <c r="FF122">
        <f t="shared" si="2614"/>
        <v>0.75</v>
      </c>
      <c r="FG122">
        <f t="shared" si="2615"/>
        <v>3.1</v>
      </c>
      <c r="FH122">
        <f t="shared" si="2616"/>
        <v>2.0499999999999998</v>
      </c>
      <c r="FI122">
        <f t="shared" si="2617"/>
        <v>3.85</v>
      </c>
      <c r="FJ122">
        <f t="shared" si="2618"/>
        <v>3.45</v>
      </c>
      <c r="FK122">
        <f t="shared" si="2619"/>
        <v>1.2</v>
      </c>
      <c r="FL122">
        <f t="shared" si="2620"/>
        <v>3.05</v>
      </c>
      <c r="FM122">
        <f t="shared" si="2621"/>
        <v>11.15</v>
      </c>
      <c r="FN122">
        <f t="shared" si="2622"/>
        <v>11.6</v>
      </c>
      <c r="FO122">
        <f t="shared" si="2623"/>
        <v>1.95</v>
      </c>
      <c r="FP122">
        <f t="shared" si="2624"/>
        <v>2.5499999999999998</v>
      </c>
      <c r="FQ122">
        <f t="shared" si="2625"/>
        <v>2.5499999999999998</v>
      </c>
      <c r="FR122">
        <f t="shared" si="2626"/>
        <v>0</v>
      </c>
      <c r="FS122">
        <f t="shared" si="2627"/>
        <v>0</v>
      </c>
      <c r="FT122">
        <f t="shared" si="2628"/>
        <v>0</v>
      </c>
      <c r="FU122">
        <f t="shared" si="2629"/>
        <v>0</v>
      </c>
      <c r="FV122">
        <f t="shared" si="2630"/>
        <v>0</v>
      </c>
      <c r="FW122">
        <f t="shared" si="2631"/>
        <v>0</v>
      </c>
    </row>
    <row r="123" spans="1:179" x14ac:dyDescent="0.35">
      <c r="B123" s="72" t="s">
        <v>253</v>
      </c>
      <c r="C123">
        <v>15</v>
      </c>
      <c r="D123" s="54">
        <v>28</v>
      </c>
      <c r="E123" s="54">
        <v>121</v>
      </c>
      <c r="F123" s="54">
        <v>1</v>
      </c>
      <c r="G123" s="54">
        <v>0</v>
      </c>
      <c r="H123" s="54">
        <v>1</v>
      </c>
      <c r="I123" s="54">
        <v>0.1</v>
      </c>
      <c r="J123" s="54">
        <v>0</v>
      </c>
      <c r="K123" s="54">
        <v>0.1</v>
      </c>
      <c r="L123" s="54">
        <v>0</v>
      </c>
      <c r="M123" s="54">
        <v>5.7</v>
      </c>
      <c r="N123" s="54">
        <v>0</v>
      </c>
      <c r="O123" s="54">
        <v>5.7</v>
      </c>
      <c r="P123" s="54">
        <v>1.1000000000000001</v>
      </c>
      <c r="Q123" s="54">
        <v>0</v>
      </c>
      <c r="R123" s="54">
        <v>92.1</v>
      </c>
      <c r="S123" s="54">
        <v>0.4</v>
      </c>
      <c r="T123" s="54">
        <v>25</v>
      </c>
      <c r="U123" s="54">
        <v>10</v>
      </c>
      <c r="V123" s="54">
        <v>140</v>
      </c>
      <c r="W123" s="54">
        <v>35</v>
      </c>
      <c r="X123" s="54">
        <v>0.3</v>
      </c>
      <c r="Y123" s="81">
        <v>0</v>
      </c>
      <c r="Z123" s="81">
        <v>0</v>
      </c>
      <c r="AA123" s="81">
        <v>0</v>
      </c>
      <c r="AB123" s="81">
        <v>0</v>
      </c>
      <c r="AC123" s="81">
        <v>0</v>
      </c>
      <c r="AD123" s="81">
        <v>0</v>
      </c>
      <c r="AE123" s="81">
        <v>0</v>
      </c>
      <c r="AF123" s="54">
        <v>0.02</v>
      </c>
      <c r="AG123" s="54">
        <v>0.03</v>
      </c>
      <c r="AH123" s="54">
        <v>5</v>
      </c>
      <c r="AI123" s="54">
        <v>0.5</v>
      </c>
      <c r="AJ123" s="54">
        <v>0.14000000000000001</v>
      </c>
      <c r="AK123" s="54">
        <v>12</v>
      </c>
      <c r="AL123" s="81">
        <v>0</v>
      </c>
      <c r="AM123" s="81">
        <v>0</v>
      </c>
      <c r="AN123" s="81">
        <v>0</v>
      </c>
      <c r="AO123" s="54">
        <v>0</v>
      </c>
      <c r="AP123" s="54">
        <v>0</v>
      </c>
      <c r="AQ123" s="54">
        <v>0</v>
      </c>
      <c r="AR123" s="54">
        <v>0.22</v>
      </c>
      <c r="AS123" s="54">
        <v>0</v>
      </c>
      <c r="AT123" s="81">
        <v>0</v>
      </c>
      <c r="AU123" s="54">
        <v>0.02</v>
      </c>
      <c r="AV123" s="81">
        <v>0</v>
      </c>
      <c r="AW123" s="81">
        <v>0</v>
      </c>
      <c r="AX123" s="81">
        <v>0</v>
      </c>
      <c r="AY123" s="81">
        <v>0</v>
      </c>
      <c r="AZ123" s="81">
        <v>0</v>
      </c>
      <c r="BA123" s="81">
        <v>0</v>
      </c>
      <c r="BB123" s="81">
        <v>0</v>
      </c>
      <c r="BC123" s="54">
        <v>0.01</v>
      </c>
      <c r="BD123" s="82">
        <v>0</v>
      </c>
      <c r="BE123" s="82">
        <v>0</v>
      </c>
      <c r="BF123" s="54">
        <v>0.01</v>
      </c>
      <c r="BG123" s="82">
        <v>0</v>
      </c>
      <c r="BH123" s="82">
        <v>0</v>
      </c>
      <c r="BI123" s="54">
        <v>0.03</v>
      </c>
      <c r="BJ123" s="54">
        <v>0.03</v>
      </c>
      <c r="BK123" s="51">
        <v>5.0000000000000001E-3</v>
      </c>
      <c r="BL123" s="82">
        <v>0</v>
      </c>
      <c r="BM123" s="82">
        <v>0</v>
      </c>
      <c r="BN123" s="82">
        <v>0</v>
      </c>
      <c r="BO123" s="54">
        <v>0</v>
      </c>
      <c r="BP123" s="56">
        <v>15</v>
      </c>
      <c r="BQ123" s="56">
        <v>24</v>
      </c>
      <c r="BR123" s="56">
        <v>35</v>
      </c>
      <c r="BS123" s="56">
        <v>35</v>
      </c>
      <c r="BT123" s="56">
        <v>47</v>
      </c>
      <c r="BU123" s="56">
        <v>9</v>
      </c>
      <c r="BV123" s="56">
        <v>18</v>
      </c>
      <c r="BW123" s="56">
        <v>26</v>
      </c>
      <c r="BX123" s="56">
        <v>25</v>
      </c>
      <c r="BY123" s="56">
        <v>23</v>
      </c>
      <c r="BZ123" s="56">
        <v>134</v>
      </c>
      <c r="CA123" s="56">
        <v>16</v>
      </c>
      <c r="CB123" s="56">
        <v>28</v>
      </c>
      <c r="CC123" s="56">
        <v>54</v>
      </c>
      <c r="CD123" s="56">
        <v>161</v>
      </c>
      <c r="CE123" s="56">
        <v>41</v>
      </c>
      <c r="CF123" s="56">
        <v>31</v>
      </c>
      <c r="CG123" s="56">
        <v>29</v>
      </c>
      <c r="CH123" s="81">
        <v>0</v>
      </c>
      <c r="CI123" s="81">
        <v>0</v>
      </c>
      <c r="CJ123" s="83">
        <v>0</v>
      </c>
      <c r="CK123" s="81">
        <v>0</v>
      </c>
      <c r="CL123" s="81">
        <v>0</v>
      </c>
      <c r="CM123" s="83">
        <v>0</v>
      </c>
      <c r="CN123">
        <f t="shared" si="2544"/>
        <v>4.2</v>
      </c>
      <c r="CO123">
        <f t="shared" si="2545"/>
        <v>18.149999999999999</v>
      </c>
      <c r="CP123">
        <f t="shared" si="2546"/>
        <v>0.15</v>
      </c>
      <c r="CQ123">
        <f t="shared" si="2547"/>
        <v>0</v>
      </c>
      <c r="CR123">
        <f t="shared" si="2548"/>
        <v>0.15</v>
      </c>
      <c r="CS123">
        <f t="shared" si="2549"/>
        <v>1.4999999999999999E-2</v>
      </c>
      <c r="CT123">
        <f t="shared" si="2550"/>
        <v>0</v>
      </c>
      <c r="CU123">
        <f t="shared" si="2551"/>
        <v>1.4999999999999999E-2</v>
      </c>
      <c r="CV123">
        <f t="shared" si="2552"/>
        <v>0</v>
      </c>
      <c r="CW123">
        <f t="shared" si="2553"/>
        <v>0.85499999999999998</v>
      </c>
      <c r="CX123">
        <f t="shared" si="2554"/>
        <v>0</v>
      </c>
      <c r="CY123">
        <f t="shared" si="2555"/>
        <v>0.85499999999999998</v>
      </c>
      <c r="CZ123">
        <f t="shared" si="2556"/>
        <v>0.16500000000000001</v>
      </c>
      <c r="DA123">
        <f t="shared" si="2557"/>
        <v>0</v>
      </c>
      <c r="DB123">
        <f t="shared" si="2558"/>
        <v>13.815</v>
      </c>
      <c r="DC123">
        <f t="shared" si="2559"/>
        <v>0.06</v>
      </c>
      <c r="DD123">
        <f t="shared" si="2560"/>
        <v>3.75</v>
      </c>
      <c r="DE123">
        <f t="shared" si="2561"/>
        <v>1.5</v>
      </c>
      <c r="DF123">
        <f t="shared" si="2562"/>
        <v>21</v>
      </c>
      <c r="DG123">
        <f t="shared" si="2563"/>
        <v>5.25</v>
      </c>
      <c r="DH123">
        <f t="shared" si="2564"/>
        <v>4.4999999999999998E-2</v>
      </c>
      <c r="DI123">
        <f t="shared" si="2565"/>
        <v>0</v>
      </c>
      <c r="DJ123">
        <f t="shared" si="2566"/>
        <v>0</v>
      </c>
      <c r="DK123">
        <f t="shared" si="2567"/>
        <v>0</v>
      </c>
      <c r="DL123">
        <f t="shared" si="2568"/>
        <v>0</v>
      </c>
      <c r="DM123">
        <f t="shared" si="2569"/>
        <v>0</v>
      </c>
      <c r="DN123">
        <f t="shared" si="2570"/>
        <v>0</v>
      </c>
      <c r="DO123">
        <f t="shared" si="2571"/>
        <v>0</v>
      </c>
      <c r="DP123">
        <f t="shared" si="2572"/>
        <v>3.0000000000000001E-3</v>
      </c>
      <c r="DQ123">
        <f t="shared" si="2573"/>
        <v>4.4999999999999997E-3</v>
      </c>
      <c r="DR123">
        <f t="shared" si="2574"/>
        <v>0.75</v>
      </c>
      <c r="DS123">
        <f t="shared" si="2575"/>
        <v>7.4999999999999997E-2</v>
      </c>
      <c r="DT123">
        <f t="shared" si="2576"/>
        <v>2.1000000000000001E-2</v>
      </c>
      <c r="DU123">
        <f t="shared" si="2577"/>
        <v>1.8</v>
      </c>
      <c r="DV123">
        <f t="shared" si="2578"/>
        <v>0</v>
      </c>
      <c r="DW123">
        <f t="shared" si="2579"/>
        <v>0</v>
      </c>
      <c r="DX123">
        <f t="shared" si="2580"/>
        <v>0</v>
      </c>
      <c r="DY123">
        <f t="shared" si="2581"/>
        <v>0</v>
      </c>
      <c r="DZ123">
        <f t="shared" si="2582"/>
        <v>0</v>
      </c>
      <c r="EA123">
        <f t="shared" si="2583"/>
        <v>0</v>
      </c>
      <c r="EB123">
        <f t="shared" si="2584"/>
        <v>3.3000000000000002E-2</v>
      </c>
      <c r="EC123">
        <f t="shared" si="2585"/>
        <v>0</v>
      </c>
      <c r="ED123">
        <f t="shared" si="2586"/>
        <v>0</v>
      </c>
      <c r="EE123">
        <f t="shared" si="2587"/>
        <v>3.0000000000000001E-3</v>
      </c>
      <c r="EF123">
        <f t="shared" si="2588"/>
        <v>0</v>
      </c>
      <c r="EG123">
        <f t="shared" si="2589"/>
        <v>0</v>
      </c>
      <c r="EH123">
        <f t="shared" si="2590"/>
        <v>0</v>
      </c>
      <c r="EI123">
        <f t="shared" si="2591"/>
        <v>0</v>
      </c>
      <c r="EJ123">
        <f t="shared" si="2592"/>
        <v>0</v>
      </c>
      <c r="EK123">
        <f t="shared" si="2593"/>
        <v>0</v>
      </c>
      <c r="EL123">
        <f t="shared" si="2594"/>
        <v>0</v>
      </c>
      <c r="EM123">
        <f t="shared" si="2595"/>
        <v>1.5E-3</v>
      </c>
      <c r="EN123">
        <f t="shared" si="2596"/>
        <v>0</v>
      </c>
      <c r="EO123">
        <f t="shared" si="2597"/>
        <v>0</v>
      </c>
      <c r="EP123">
        <f t="shared" si="2598"/>
        <v>1.5E-3</v>
      </c>
      <c r="EQ123">
        <f t="shared" si="2599"/>
        <v>0</v>
      </c>
      <c r="ER123">
        <f t="shared" si="2600"/>
        <v>0</v>
      </c>
      <c r="ES123">
        <f t="shared" si="2601"/>
        <v>4.4999999999999997E-3</v>
      </c>
      <c r="ET123">
        <f t="shared" si="2602"/>
        <v>4.4999999999999997E-3</v>
      </c>
      <c r="EU123">
        <f t="shared" si="2603"/>
        <v>7.5000000000000002E-4</v>
      </c>
      <c r="EV123">
        <f t="shared" si="2604"/>
        <v>0</v>
      </c>
      <c r="EW123">
        <f t="shared" si="2605"/>
        <v>0</v>
      </c>
      <c r="EX123">
        <f t="shared" si="2606"/>
        <v>0</v>
      </c>
      <c r="EY123">
        <f t="shared" si="2607"/>
        <v>0</v>
      </c>
      <c r="EZ123">
        <f t="shared" si="2608"/>
        <v>2.25</v>
      </c>
      <c r="FA123">
        <f t="shared" si="2609"/>
        <v>3.6</v>
      </c>
      <c r="FB123">
        <f t="shared" si="2610"/>
        <v>5.25</v>
      </c>
      <c r="FC123">
        <f t="shared" si="2611"/>
        <v>5.25</v>
      </c>
      <c r="FD123">
        <f t="shared" si="2612"/>
        <v>7.05</v>
      </c>
      <c r="FE123">
        <f t="shared" si="2613"/>
        <v>1.35</v>
      </c>
      <c r="FF123">
        <f t="shared" si="2614"/>
        <v>2.7</v>
      </c>
      <c r="FG123">
        <f t="shared" si="2615"/>
        <v>3.9</v>
      </c>
      <c r="FH123">
        <f t="shared" si="2616"/>
        <v>3.75</v>
      </c>
      <c r="FI123">
        <f t="shared" si="2617"/>
        <v>3.45</v>
      </c>
      <c r="FJ123">
        <f t="shared" si="2618"/>
        <v>20.100000000000001</v>
      </c>
      <c r="FK123">
        <f t="shared" si="2619"/>
        <v>2.4</v>
      </c>
      <c r="FL123">
        <f t="shared" si="2620"/>
        <v>4.2</v>
      </c>
      <c r="FM123">
        <f t="shared" si="2621"/>
        <v>8.1</v>
      </c>
      <c r="FN123">
        <f t="shared" si="2622"/>
        <v>24.15</v>
      </c>
      <c r="FO123">
        <f t="shared" si="2623"/>
        <v>6.15</v>
      </c>
      <c r="FP123">
        <f t="shared" si="2624"/>
        <v>4.6500000000000004</v>
      </c>
      <c r="FQ123">
        <f t="shared" si="2625"/>
        <v>4.3499999999999996</v>
      </c>
      <c r="FR123">
        <f t="shared" si="2626"/>
        <v>0</v>
      </c>
      <c r="FS123">
        <f t="shared" si="2627"/>
        <v>0</v>
      </c>
      <c r="FT123">
        <f t="shared" si="2628"/>
        <v>0</v>
      </c>
      <c r="FU123">
        <f t="shared" si="2629"/>
        <v>0</v>
      </c>
      <c r="FV123">
        <f t="shared" si="2630"/>
        <v>0</v>
      </c>
      <c r="FW123">
        <f t="shared" si="2631"/>
        <v>0</v>
      </c>
    </row>
    <row r="124" spans="1:179" x14ac:dyDescent="0.35">
      <c r="B124" s="36" t="s">
        <v>254</v>
      </c>
      <c r="C124">
        <v>15</v>
      </c>
      <c r="D124" s="6">
        <v>900</v>
      </c>
      <c r="E124" s="6">
        <v>3700</v>
      </c>
      <c r="F124" s="6">
        <v>0</v>
      </c>
      <c r="G124" s="6">
        <v>0</v>
      </c>
      <c r="H124" s="6">
        <v>0</v>
      </c>
      <c r="I124" s="6">
        <v>100</v>
      </c>
      <c r="J124" s="6">
        <v>0</v>
      </c>
      <c r="K124" s="6">
        <v>100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51">
        <v>5.0000000000000001E-3</v>
      </c>
      <c r="Y124" s="51">
        <v>0.5</v>
      </c>
      <c r="Z124" s="51">
        <v>5.0000000000000001E-3</v>
      </c>
      <c r="AA124" s="51">
        <v>0.05</v>
      </c>
      <c r="AB124" s="51">
        <v>0.5</v>
      </c>
      <c r="AC124" s="6">
        <v>11</v>
      </c>
      <c r="AD124" s="51">
        <v>5.0000000000000001E-3</v>
      </c>
      <c r="AE124" s="51">
        <v>0.5</v>
      </c>
      <c r="AF124" s="6">
        <v>0</v>
      </c>
      <c r="AG124" s="6">
        <v>0</v>
      </c>
      <c r="AH124" s="6">
        <v>0</v>
      </c>
      <c r="AI124" s="6">
        <v>0</v>
      </c>
      <c r="AJ124" s="51">
        <v>5.0000000000000001E-3</v>
      </c>
      <c r="AK124" s="51">
        <v>0.5</v>
      </c>
      <c r="AL124" s="51">
        <v>5.0000000000000001E-3</v>
      </c>
      <c r="AM124" s="51">
        <v>0.05</v>
      </c>
      <c r="AN124" s="6">
        <v>0</v>
      </c>
      <c r="AO124" s="6">
        <v>0</v>
      </c>
      <c r="AP124" s="6">
        <v>0</v>
      </c>
      <c r="AQ124" s="6">
        <v>0</v>
      </c>
      <c r="AR124" s="6">
        <v>27.42</v>
      </c>
      <c r="AS124" s="6">
        <v>0</v>
      </c>
      <c r="AT124" s="6">
        <v>45.4</v>
      </c>
      <c r="AU124" s="6">
        <v>10.89</v>
      </c>
      <c r="AV124" s="6">
        <v>0</v>
      </c>
      <c r="AW124" s="6">
        <v>0</v>
      </c>
      <c r="AX124" s="6">
        <v>0.05</v>
      </c>
      <c r="AY124" s="6">
        <v>6.66</v>
      </c>
      <c r="AZ124" s="6">
        <v>3.55</v>
      </c>
      <c r="BA124" s="6">
        <v>0.53</v>
      </c>
      <c r="BB124" s="6">
        <v>0.11</v>
      </c>
      <c r="BC124" s="6">
        <v>39.67</v>
      </c>
      <c r="BD124" s="6">
        <v>0</v>
      </c>
      <c r="BE124" s="6">
        <v>0.26</v>
      </c>
      <c r="BF124" s="6">
        <v>38.85</v>
      </c>
      <c r="BG124" s="6">
        <v>0.56000000000000005</v>
      </c>
      <c r="BH124" s="6">
        <v>0</v>
      </c>
      <c r="BI124" s="6">
        <v>45.92</v>
      </c>
      <c r="BJ124" s="6">
        <v>40.36</v>
      </c>
      <c r="BK124" s="6">
        <v>5.56</v>
      </c>
      <c r="BL124" s="6">
        <v>0</v>
      </c>
      <c r="BM124" s="6">
        <v>0</v>
      </c>
      <c r="BN124" s="6">
        <v>0</v>
      </c>
      <c r="BO124" s="6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6">
        <v>0</v>
      </c>
      <c r="CN124">
        <f t="shared" si="2544"/>
        <v>135</v>
      </c>
      <c r="CO124">
        <f t="shared" si="2545"/>
        <v>555</v>
      </c>
      <c r="CP124">
        <f t="shared" si="2546"/>
        <v>0</v>
      </c>
      <c r="CQ124">
        <f t="shared" si="2547"/>
        <v>0</v>
      </c>
      <c r="CR124">
        <f t="shared" si="2548"/>
        <v>0</v>
      </c>
      <c r="CS124">
        <f t="shared" si="2549"/>
        <v>15</v>
      </c>
      <c r="CT124">
        <f t="shared" si="2550"/>
        <v>0</v>
      </c>
      <c r="CU124">
        <f t="shared" si="2551"/>
        <v>15</v>
      </c>
      <c r="CV124">
        <f t="shared" si="2552"/>
        <v>0</v>
      </c>
      <c r="CW124">
        <f t="shared" si="2553"/>
        <v>0</v>
      </c>
      <c r="CX124">
        <f t="shared" si="2554"/>
        <v>0</v>
      </c>
      <c r="CY124">
        <f t="shared" si="2555"/>
        <v>0</v>
      </c>
      <c r="CZ124">
        <f t="shared" si="2556"/>
        <v>0</v>
      </c>
      <c r="DA124">
        <f t="shared" si="2557"/>
        <v>0</v>
      </c>
      <c r="DB124">
        <f t="shared" si="2558"/>
        <v>0</v>
      </c>
      <c r="DC124">
        <f t="shared" si="2559"/>
        <v>0</v>
      </c>
      <c r="DD124">
        <f t="shared" si="2560"/>
        <v>0</v>
      </c>
      <c r="DE124">
        <f t="shared" si="2561"/>
        <v>0</v>
      </c>
      <c r="DF124">
        <f t="shared" si="2562"/>
        <v>0</v>
      </c>
      <c r="DG124">
        <f t="shared" si="2563"/>
        <v>0</v>
      </c>
      <c r="DH124">
        <f t="shared" si="2564"/>
        <v>7.5000000000000002E-4</v>
      </c>
      <c r="DI124">
        <f t="shared" si="2565"/>
        <v>7.4999999999999997E-2</v>
      </c>
      <c r="DJ124">
        <f t="shared" si="2566"/>
        <v>7.5000000000000002E-4</v>
      </c>
      <c r="DK124">
        <f t="shared" si="2567"/>
        <v>7.4999999999999997E-3</v>
      </c>
      <c r="DL124">
        <f t="shared" si="2568"/>
        <v>7.4999999999999997E-2</v>
      </c>
      <c r="DM124">
        <f t="shared" si="2569"/>
        <v>1.65</v>
      </c>
      <c r="DN124">
        <f t="shared" si="2570"/>
        <v>7.5000000000000002E-4</v>
      </c>
      <c r="DO124">
        <f t="shared" si="2571"/>
        <v>7.4999999999999997E-2</v>
      </c>
      <c r="DP124">
        <f t="shared" si="2572"/>
        <v>0</v>
      </c>
      <c r="DQ124">
        <f t="shared" si="2573"/>
        <v>0</v>
      </c>
      <c r="DR124">
        <f t="shared" si="2574"/>
        <v>0</v>
      </c>
      <c r="DS124">
        <f t="shared" si="2575"/>
        <v>0</v>
      </c>
      <c r="DT124">
        <f t="shared" si="2576"/>
        <v>7.5000000000000002E-4</v>
      </c>
      <c r="DU124">
        <f t="shared" si="2577"/>
        <v>7.4999999999999997E-2</v>
      </c>
      <c r="DV124">
        <f t="shared" si="2578"/>
        <v>7.5000000000000002E-4</v>
      </c>
      <c r="DW124">
        <f t="shared" si="2579"/>
        <v>7.4999999999999997E-3</v>
      </c>
      <c r="DX124">
        <f t="shared" si="2580"/>
        <v>0</v>
      </c>
      <c r="DY124">
        <f t="shared" si="2581"/>
        <v>0</v>
      </c>
      <c r="DZ124">
        <f t="shared" si="2582"/>
        <v>0</v>
      </c>
      <c r="EA124">
        <f t="shared" si="2583"/>
        <v>0</v>
      </c>
      <c r="EB124">
        <f t="shared" si="2584"/>
        <v>4.1130000000000004</v>
      </c>
      <c r="EC124">
        <f t="shared" si="2585"/>
        <v>0</v>
      </c>
      <c r="ED124">
        <f t="shared" si="2586"/>
        <v>6.81</v>
      </c>
      <c r="EE124">
        <f t="shared" si="2587"/>
        <v>1.6335000000000002</v>
      </c>
      <c r="EF124">
        <f t="shared" si="2588"/>
        <v>0</v>
      </c>
      <c r="EG124">
        <f t="shared" si="2589"/>
        <v>0</v>
      </c>
      <c r="EH124">
        <f t="shared" si="2590"/>
        <v>7.4999999999999997E-3</v>
      </c>
      <c r="EI124">
        <f t="shared" si="2591"/>
        <v>0.99900000000000011</v>
      </c>
      <c r="EJ124">
        <f t="shared" si="2592"/>
        <v>0.53249999999999997</v>
      </c>
      <c r="EK124">
        <f t="shared" si="2593"/>
        <v>7.9500000000000001E-2</v>
      </c>
      <c r="EL124">
        <f t="shared" si="2594"/>
        <v>1.6500000000000001E-2</v>
      </c>
      <c r="EM124">
        <f t="shared" si="2595"/>
        <v>5.9505000000000008</v>
      </c>
      <c r="EN124">
        <f t="shared" si="2596"/>
        <v>0</v>
      </c>
      <c r="EO124">
        <f t="shared" si="2597"/>
        <v>3.9000000000000007E-2</v>
      </c>
      <c r="EP124">
        <f t="shared" si="2598"/>
        <v>5.8274999999999997</v>
      </c>
      <c r="EQ124">
        <f t="shared" si="2599"/>
        <v>8.4000000000000005E-2</v>
      </c>
      <c r="ER124">
        <f t="shared" si="2600"/>
        <v>0</v>
      </c>
      <c r="ES124">
        <f t="shared" si="2601"/>
        <v>6.8880000000000008</v>
      </c>
      <c r="ET124">
        <f t="shared" si="2602"/>
        <v>6.0539999999999994</v>
      </c>
      <c r="EU124">
        <f t="shared" si="2603"/>
        <v>0.83399999999999996</v>
      </c>
      <c r="EV124">
        <f t="shared" si="2604"/>
        <v>0</v>
      </c>
      <c r="EW124">
        <f t="shared" si="2605"/>
        <v>0</v>
      </c>
      <c r="EX124">
        <f t="shared" si="2606"/>
        <v>0</v>
      </c>
      <c r="EY124">
        <f t="shared" si="2607"/>
        <v>0</v>
      </c>
      <c r="EZ124">
        <f t="shared" si="2608"/>
        <v>0</v>
      </c>
      <c r="FA124">
        <f t="shared" si="2609"/>
        <v>0</v>
      </c>
      <c r="FB124">
        <f t="shared" si="2610"/>
        <v>0</v>
      </c>
      <c r="FC124">
        <f t="shared" si="2611"/>
        <v>0</v>
      </c>
      <c r="FD124">
        <f t="shared" si="2612"/>
        <v>0</v>
      </c>
      <c r="FE124">
        <f t="shared" si="2613"/>
        <v>0</v>
      </c>
      <c r="FF124">
        <f t="shared" si="2614"/>
        <v>0</v>
      </c>
      <c r="FG124">
        <f t="shared" si="2615"/>
        <v>0</v>
      </c>
      <c r="FH124">
        <f t="shared" si="2616"/>
        <v>0</v>
      </c>
      <c r="FI124">
        <f t="shared" si="2617"/>
        <v>0</v>
      </c>
      <c r="FJ124">
        <f t="shared" si="2618"/>
        <v>0</v>
      </c>
      <c r="FK124">
        <f t="shared" si="2619"/>
        <v>0</v>
      </c>
      <c r="FL124">
        <f t="shared" si="2620"/>
        <v>0</v>
      </c>
      <c r="FM124">
        <f t="shared" si="2621"/>
        <v>0</v>
      </c>
      <c r="FN124">
        <f t="shared" si="2622"/>
        <v>0</v>
      </c>
      <c r="FO124">
        <f t="shared" si="2623"/>
        <v>0</v>
      </c>
      <c r="FP124">
        <f t="shared" si="2624"/>
        <v>0</v>
      </c>
      <c r="FQ124">
        <f t="shared" si="2625"/>
        <v>0</v>
      </c>
      <c r="FR124">
        <f t="shared" si="2626"/>
        <v>0</v>
      </c>
      <c r="FS124">
        <f t="shared" si="2627"/>
        <v>0</v>
      </c>
      <c r="FT124">
        <f t="shared" si="2628"/>
        <v>0</v>
      </c>
      <c r="FU124">
        <f t="shared" si="2629"/>
        <v>0</v>
      </c>
      <c r="FV124">
        <f t="shared" si="2630"/>
        <v>0</v>
      </c>
      <c r="FW124">
        <f t="shared" si="2631"/>
        <v>0</v>
      </c>
    </row>
    <row r="125" spans="1:179" x14ac:dyDescent="0.35">
      <c r="C125">
        <f>SUM(C121:C124)</f>
        <v>100</v>
      </c>
      <c r="CN125">
        <f>SUM(CN121:CN124)</f>
        <v>208.65</v>
      </c>
      <c r="CO125">
        <f t="shared" ref="CO125:EZ125" si="2632">SUM(CO121:CO124)</f>
        <v>868.55</v>
      </c>
      <c r="CP125">
        <f t="shared" si="2632"/>
        <v>1.585</v>
      </c>
      <c r="CQ125">
        <f t="shared" si="2632"/>
        <v>0</v>
      </c>
      <c r="CR125">
        <f t="shared" si="2632"/>
        <v>1.585</v>
      </c>
      <c r="CS125">
        <f t="shared" si="2632"/>
        <v>15.08</v>
      </c>
      <c r="CT125">
        <f t="shared" si="2632"/>
        <v>0</v>
      </c>
      <c r="CU125">
        <f t="shared" si="2632"/>
        <v>15.08</v>
      </c>
      <c r="CV125">
        <f t="shared" si="2632"/>
        <v>0</v>
      </c>
      <c r="CW125">
        <f t="shared" si="2632"/>
        <v>17.13</v>
      </c>
      <c r="CX125">
        <f t="shared" si="2632"/>
        <v>16.015000000000001</v>
      </c>
      <c r="CY125">
        <f t="shared" si="2632"/>
        <v>1.115</v>
      </c>
      <c r="CZ125">
        <f t="shared" si="2632"/>
        <v>1.2050000000000001</v>
      </c>
      <c r="DA125">
        <f t="shared" si="2632"/>
        <v>0</v>
      </c>
      <c r="DB125">
        <f t="shared" si="2632"/>
        <v>65.644999999999996</v>
      </c>
      <c r="DC125">
        <f t="shared" si="2632"/>
        <v>0.46500000000000002</v>
      </c>
      <c r="DD125">
        <f t="shared" si="2632"/>
        <v>10.75</v>
      </c>
      <c r="DE125">
        <f t="shared" si="2632"/>
        <v>7.6</v>
      </c>
      <c r="DF125">
        <f t="shared" si="2632"/>
        <v>470.5</v>
      </c>
      <c r="DG125">
        <f t="shared" si="2632"/>
        <v>41.7</v>
      </c>
      <c r="DH125">
        <f t="shared" si="2632"/>
        <v>0.28625</v>
      </c>
      <c r="DI125">
        <f t="shared" si="2632"/>
        <v>7.4999999999999997E-2</v>
      </c>
      <c r="DJ125">
        <f t="shared" si="2632"/>
        <v>7.5000000000000002E-4</v>
      </c>
      <c r="DK125">
        <f t="shared" si="2632"/>
        <v>7.4999999999999997E-3</v>
      </c>
      <c r="DL125">
        <f t="shared" si="2632"/>
        <v>7.4999999999999997E-2</v>
      </c>
      <c r="DM125">
        <f t="shared" si="2632"/>
        <v>1.65</v>
      </c>
      <c r="DN125">
        <f t="shared" si="2632"/>
        <v>7.5000000000000002E-4</v>
      </c>
      <c r="DO125">
        <f t="shared" si="2632"/>
        <v>7.4999999999999997E-2</v>
      </c>
      <c r="DP125">
        <f t="shared" si="2632"/>
        <v>6.8250000000000005E-2</v>
      </c>
      <c r="DQ125">
        <f t="shared" si="2632"/>
        <v>3.0750000000000003E-2</v>
      </c>
      <c r="DR125">
        <f t="shared" si="2632"/>
        <v>10.5</v>
      </c>
      <c r="DS125">
        <f t="shared" si="2632"/>
        <v>1.70025</v>
      </c>
      <c r="DT125">
        <f t="shared" si="2632"/>
        <v>0.30825000000000002</v>
      </c>
      <c r="DU125">
        <f t="shared" si="2632"/>
        <v>27.175000000000001</v>
      </c>
      <c r="DV125">
        <f t="shared" si="2632"/>
        <v>7.5000000000000002E-4</v>
      </c>
      <c r="DW125">
        <f t="shared" si="2632"/>
        <v>7.4999999999999997E-3</v>
      </c>
      <c r="DX125">
        <f t="shared" si="2632"/>
        <v>0</v>
      </c>
      <c r="DY125">
        <f t="shared" si="2632"/>
        <v>1.95</v>
      </c>
      <c r="DZ125">
        <f t="shared" si="2632"/>
        <v>0</v>
      </c>
      <c r="EA125">
        <f t="shared" si="2632"/>
        <v>11.7</v>
      </c>
      <c r="EB125">
        <f t="shared" si="2632"/>
        <v>4.1980000000000004</v>
      </c>
      <c r="EC125">
        <f t="shared" si="2632"/>
        <v>0</v>
      </c>
      <c r="ED125">
        <f t="shared" si="2632"/>
        <v>6.81</v>
      </c>
      <c r="EE125">
        <f t="shared" si="2632"/>
        <v>1.6560000000000001</v>
      </c>
      <c r="EF125">
        <f t="shared" si="2632"/>
        <v>0</v>
      </c>
      <c r="EG125">
        <f t="shared" si="2632"/>
        <v>0</v>
      </c>
      <c r="EH125">
        <f t="shared" si="2632"/>
        <v>7.4999999999999997E-3</v>
      </c>
      <c r="EI125">
        <f t="shared" si="2632"/>
        <v>0.99900000000000011</v>
      </c>
      <c r="EJ125">
        <f t="shared" si="2632"/>
        <v>0.53249999999999997</v>
      </c>
      <c r="EK125">
        <f t="shared" si="2632"/>
        <v>7.9500000000000001E-2</v>
      </c>
      <c r="EL125">
        <f t="shared" si="2632"/>
        <v>1.6500000000000001E-2</v>
      </c>
      <c r="EM125">
        <f t="shared" si="2632"/>
        <v>5.9585000000000008</v>
      </c>
      <c r="EN125">
        <f t="shared" si="2632"/>
        <v>0</v>
      </c>
      <c r="EO125">
        <f t="shared" si="2632"/>
        <v>3.9000000000000007E-2</v>
      </c>
      <c r="EP125">
        <f t="shared" si="2632"/>
        <v>5.8354999999999997</v>
      </c>
      <c r="EQ125">
        <f t="shared" si="2632"/>
        <v>8.4000000000000005E-2</v>
      </c>
      <c r="ER125">
        <f t="shared" si="2632"/>
        <v>0</v>
      </c>
      <c r="ES125">
        <f t="shared" si="2632"/>
        <v>6.8990000000000009</v>
      </c>
      <c r="ET125">
        <f t="shared" si="2632"/>
        <v>6.0649999999999995</v>
      </c>
      <c r="EU125">
        <f t="shared" si="2632"/>
        <v>0.83799999999999997</v>
      </c>
      <c r="EV125">
        <f t="shared" si="2632"/>
        <v>0</v>
      </c>
      <c r="EW125">
        <f t="shared" si="2632"/>
        <v>0</v>
      </c>
      <c r="EX125">
        <f t="shared" si="2632"/>
        <v>0</v>
      </c>
      <c r="EY125">
        <f t="shared" si="2632"/>
        <v>0</v>
      </c>
      <c r="EZ125">
        <f t="shared" si="2632"/>
        <v>21.4</v>
      </c>
      <c r="FA125">
        <f t="shared" ref="FA125:FW125" si="2633">SUM(FA121:FA124)</f>
        <v>60.300000000000004</v>
      </c>
      <c r="FB125">
        <f t="shared" si="2633"/>
        <v>68.099999999999994</v>
      </c>
      <c r="FC125">
        <f t="shared" si="2633"/>
        <v>88.6</v>
      </c>
      <c r="FD125">
        <f t="shared" si="2633"/>
        <v>85.649999999999991</v>
      </c>
      <c r="FE125">
        <f t="shared" si="2633"/>
        <v>24.6</v>
      </c>
      <c r="FF125">
        <f t="shared" si="2633"/>
        <v>17.75</v>
      </c>
      <c r="FG125">
        <f t="shared" si="2633"/>
        <v>67.45</v>
      </c>
      <c r="FH125">
        <f t="shared" si="2633"/>
        <v>45.449999999999996</v>
      </c>
      <c r="FI125">
        <f t="shared" si="2633"/>
        <v>82.7</v>
      </c>
      <c r="FJ125">
        <f t="shared" si="2633"/>
        <v>91.15</v>
      </c>
      <c r="FK125">
        <f t="shared" si="2633"/>
        <v>26.999999999999996</v>
      </c>
      <c r="FL125">
        <f t="shared" si="2633"/>
        <v>67.05</v>
      </c>
      <c r="FM125">
        <f t="shared" si="2633"/>
        <v>236.35</v>
      </c>
      <c r="FN125">
        <f t="shared" si="2633"/>
        <v>261.95</v>
      </c>
      <c r="FO125">
        <f t="shared" si="2633"/>
        <v>45.800000000000004</v>
      </c>
      <c r="FP125">
        <f t="shared" si="2633"/>
        <v>56.599999999999994</v>
      </c>
      <c r="FQ125">
        <f t="shared" si="2633"/>
        <v>56.3</v>
      </c>
      <c r="FR125">
        <f t="shared" si="2633"/>
        <v>0</v>
      </c>
      <c r="FS125">
        <f t="shared" si="2633"/>
        <v>0</v>
      </c>
      <c r="FT125">
        <f t="shared" si="2633"/>
        <v>0</v>
      </c>
      <c r="FU125">
        <f t="shared" si="2633"/>
        <v>0</v>
      </c>
      <c r="FV125">
        <f t="shared" si="2633"/>
        <v>0</v>
      </c>
      <c r="FW125">
        <f t="shared" si="2633"/>
        <v>0</v>
      </c>
    </row>
    <row r="128" spans="1:179" x14ac:dyDescent="0.35">
      <c r="A128" s="80" t="s">
        <v>255</v>
      </c>
      <c r="B128" s="72" t="s">
        <v>256</v>
      </c>
      <c r="C128">
        <v>30</v>
      </c>
      <c r="D128" s="6">
        <v>367</v>
      </c>
      <c r="E128" s="6">
        <v>1549</v>
      </c>
      <c r="F128" s="6">
        <v>8</v>
      </c>
      <c r="G128" s="6">
        <v>0</v>
      </c>
      <c r="H128" s="6">
        <v>8</v>
      </c>
      <c r="I128" s="6">
        <v>7.5</v>
      </c>
      <c r="J128" s="6">
        <v>0</v>
      </c>
      <c r="K128" s="6">
        <v>7.5</v>
      </c>
      <c r="L128" s="6">
        <v>0</v>
      </c>
      <c r="M128" s="6">
        <v>66.8</v>
      </c>
      <c r="N128" s="6">
        <v>66.2</v>
      </c>
      <c r="O128" s="6">
        <v>0.6</v>
      </c>
      <c r="P128" s="6">
        <v>8.3000000000000007</v>
      </c>
      <c r="Q128" s="6">
        <v>0</v>
      </c>
      <c r="R128" s="6">
        <v>10.3</v>
      </c>
      <c r="S128" s="6">
        <v>5.2</v>
      </c>
      <c r="T128" s="6">
        <v>54</v>
      </c>
      <c r="U128" s="6">
        <v>6</v>
      </c>
      <c r="V128" s="6">
        <v>362</v>
      </c>
      <c r="W128" s="6">
        <v>365</v>
      </c>
      <c r="X128" s="6">
        <v>3.64</v>
      </c>
      <c r="Y128" s="6">
        <v>138</v>
      </c>
      <c r="Z128" s="6">
        <v>0.39</v>
      </c>
      <c r="AA128" s="6">
        <v>28.9</v>
      </c>
      <c r="AB128" s="6">
        <v>87</v>
      </c>
      <c r="AC128" s="51">
        <v>0.5</v>
      </c>
      <c r="AD128" s="6">
        <v>3.63</v>
      </c>
      <c r="AE128" s="6">
        <v>200</v>
      </c>
      <c r="AF128" s="6">
        <v>0.55000000000000004</v>
      </c>
      <c r="AG128" s="6">
        <v>0.14000000000000001</v>
      </c>
      <c r="AH128" s="6">
        <v>0</v>
      </c>
      <c r="AI128" s="6">
        <v>1</v>
      </c>
      <c r="AJ128" s="6">
        <v>0.1</v>
      </c>
      <c r="AK128" s="6">
        <v>32</v>
      </c>
      <c r="AL128" s="6">
        <v>1.1200000000000001</v>
      </c>
      <c r="AM128" s="6">
        <v>19</v>
      </c>
      <c r="AN128" s="6">
        <v>0</v>
      </c>
      <c r="AO128" s="6">
        <v>0</v>
      </c>
      <c r="AP128" s="6">
        <v>0</v>
      </c>
      <c r="AQ128" s="6">
        <v>0</v>
      </c>
      <c r="AR128" s="6">
        <v>0.42</v>
      </c>
      <c r="AS128" s="6">
        <v>0</v>
      </c>
      <c r="AT128" s="6">
        <v>2</v>
      </c>
      <c r="AU128" s="6">
        <v>1.28</v>
      </c>
      <c r="AV128" s="6">
        <v>0</v>
      </c>
      <c r="AW128" s="6">
        <v>0.02</v>
      </c>
      <c r="AX128" s="6">
        <v>0.01</v>
      </c>
      <c r="AY128" s="6">
        <v>1.08</v>
      </c>
      <c r="AZ128" s="6">
        <v>7.0000000000000007E-2</v>
      </c>
      <c r="BA128" s="6">
        <v>0.1</v>
      </c>
      <c r="BB128" s="6">
        <v>0</v>
      </c>
      <c r="BC128" s="6">
        <v>2.2799999999999998</v>
      </c>
      <c r="BD128" s="6">
        <v>0</v>
      </c>
      <c r="BE128" s="6">
        <v>0.01</v>
      </c>
      <c r="BF128" s="6">
        <v>2.27</v>
      </c>
      <c r="BG128" s="6">
        <v>0</v>
      </c>
      <c r="BH128" s="6">
        <v>0</v>
      </c>
      <c r="BI128" s="6">
        <v>2.65</v>
      </c>
      <c r="BJ128" s="6">
        <v>2.5299999999999998</v>
      </c>
      <c r="BK128" s="6">
        <v>0.12</v>
      </c>
      <c r="BL128" s="6">
        <v>0</v>
      </c>
      <c r="BM128" s="6">
        <v>0</v>
      </c>
      <c r="BN128" s="6">
        <v>0</v>
      </c>
      <c r="BO128" s="6">
        <v>0</v>
      </c>
      <c r="BP128" s="7">
        <v>117.460317460317</v>
      </c>
      <c r="BQ128" s="7">
        <v>264.12698412698398</v>
      </c>
      <c r="BR128" s="7">
        <v>304.12698412698398</v>
      </c>
      <c r="BS128" s="7">
        <v>584.12698412698398</v>
      </c>
      <c r="BT128" s="7">
        <v>295.87301587301602</v>
      </c>
      <c r="BU128" s="7">
        <v>135.87301587301599</v>
      </c>
      <c r="BV128" s="7">
        <v>215.87301587301599</v>
      </c>
      <c r="BW128" s="7">
        <v>400</v>
      </c>
      <c r="BX128" s="7">
        <v>264.12698412698398</v>
      </c>
      <c r="BY128" s="7">
        <v>408.25396825396803</v>
      </c>
      <c r="BZ128" s="7">
        <v>504.12698412698398</v>
      </c>
      <c r="CA128" s="7">
        <v>168.253968253968</v>
      </c>
      <c r="CB128" s="7">
        <v>360</v>
      </c>
      <c r="CC128" s="7">
        <v>615.87301587301602</v>
      </c>
      <c r="CD128" s="7">
        <v>1671.74603174603</v>
      </c>
      <c r="CE128" s="7">
        <v>375.87301587301602</v>
      </c>
      <c r="CF128" s="7">
        <v>415.87301587301602</v>
      </c>
      <c r="CG128" s="7">
        <v>375.87301587301602</v>
      </c>
      <c r="CH128" s="51">
        <v>0.05</v>
      </c>
      <c r="CI128" s="51">
        <v>0.05</v>
      </c>
      <c r="CJ128" s="6">
        <v>0</v>
      </c>
      <c r="CK128" s="6">
        <v>0.6</v>
      </c>
      <c r="CL128" s="51">
        <v>0.05</v>
      </c>
      <c r="CM128" s="6">
        <v>0</v>
      </c>
      <c r="CN128">
        <f t="shared" ref="CN128:CN130" si="2634">($C128*D128)/100</f>
        <v>110.1</v>
      </c>
      <c r="CO128">
        <f t="shared" ref="CO128:CO130" si="2635">($C128*E128)/100</f>
        <v>464.7</v>
      </c>
      <c r="CP128">
        <f t="shared" ref="CP128:CP130" si="2636">($C128*F128)/100</f>
        <v>2.4</v>
      </c>
      <c r="CQ128">
        <f t="shared" ref="CQ128:CQ130" si="2637">($C128*G128)/100</f>
        <v>0</v>
      </c>
      <c r="CR128">
        <f t="shared" ref="CR128:CR130" si="2638">($C128*H128)/100</f>
        <v>2.4</v>
      </c>
      <c r="CS128">
        <f t="shared" ref="CS128:CS130" si="2639">($C128*I128)/100</f>
        <v>2.25</v>
      </c>
      <c r="CT128">
        <f t="shared" ref="CT128:CT130" si="2640">($C128*J128)/100</f>
        <v>0</v>
      </c>
      <c r="CU128">
        <f t="shared" ref="CU128:CU130" si="2641">($C128*K128)/100</f>
        <v>2.25</v>
      </c>
      <c r="CV128">
        <f t="shared" ref="CV128:CV130" si="2642">($C128*L128)/100</f>
        <v>0</v>
      </c>
      <c r="CW128">
        <f t="shared" ref="CW128:CW130" si="2643">($C128*M128)/100</f>
        <v>20.04</v>
      </c>
      <c r="CX128">
        <f t="shared" ref="CX128:CX130" si="2644">($C128*N128)/100</f>
        <v>19.86</v>
      </c>
      <c r="CY128">
        <f t="shared" ref="CY128:CY130" si="2645">($C128*O128)/100</f>
        <v>0.18</v>
      </c>
      <c r="CZ128">
        <f t="shared" ref="CZ128:CZ130" si="2646">($C128*P128)/100</f>
        <v>2.4900000000000002</v>
      </c>
      <c r="DA128">
        <f t="shared" ref="DA128:DA130" si="2647">($C128*Q128)/100</f>
        <v>0</v>
      </c>
      <c r="DB128">
        <f t="shared" ref="DB128:DB130" si="2648">($C128*R128)/100</f>
        <v>3.09</v>
      </c>
      <c r="DC128">
        <f t="shared" ref="DC128:DC130" si="2649">($C128*S128)/100</f>
        <v>1.56</v>
      </c>
      <c r="DD128">
        <f t="shared" ref="DD128:DD130" si="2650">($C128*T128)/100</f>
        <v>16.2</v>
      </c>
      <c r="DE128">
        <f t="shared" ref="DE128:DE130" si="2651">($C128*U128)/100</f>
        <v>1.8</v>
      </c>
      <c r="DF128">
        <f t="shared" ref="DF128:DF130" si="2652">($C128*V128)/100</f>
        <v>108.6</v>
      </c>
      <c r="DG128">
        <f t="shared" ref="DG128:DG130" si="2653">($C128*W128)/100</f>
        <v>109.5</v>
      </c>
      <c r="DH128">
        <f t="shared" ref="DH128:DH130" si="2654">($C128*X128)/100</f>
        <v>1.0920000000000001</v>
      </c>
      <c r="DI128">
        <f t="shared" ref="DI128:DI130" si="2655">($C128*Y128)/100</f>
        <v>41.4</v>
      </c>
      <c r="DJ128">
        <f t="shared" ref="DJ128:DJ130" si="2656">($C128*Z128)/100</f>
        <v>0.11700000000000001</v>
      </c>
      <c r="DK128">
        <f t="shared" ref="DK128:DK130" si="2657">($C128*AA128)/100</f>
        <v>8.67</v>
      </c>
      <c r="DL128">
        <f t="shared" ref="DL128:DL130" si="2658">($C128*AB128)/100</f>
        <v>26.1</v>
      </c>
      <c r="DM128">
        <f t="shared" ref="DM128:DM130" si="2659">($C128*AC128)/100</f>
        <v>0.15</v>
      </c>
      <c r="DN128">
        <f t="shared" ref="DN128:DN130" si="2660">($C128*AD128)/100</f>
        <v>1.089</v>
      </c>
      <c r="DO128">
        <f t="shared" ref="DO128:DO130" si="2661">($C128*AE128)/100</f>
        <v>60</v>
      </c>
      <c r="DP128">
        <f t="shared" ref="DP128:DP130" si="2662">($C128*AF128)/100</f>
        <v>0.16500000000000001</v>
      </c>
      <c r="DQ128">
        <f t="shared" ref="DQ128:DQ130" si="2663">($C128*AG128)/100</f>
        <v>4.2000000000000003E-2</v>
      </c>
      <c r="DR128">
        <f t="shared" ref="DR128:DR130" si="2664">($C128*AH128)/100</f>
        <v>0</v>
      </c>
      <c r="DS128">
        <f t="shared" ref="DS128:DS130" si="2665">($C128*AI128)/100</f>
        <v>0.3</v>
      </c>
      <c r="DT128">
        <f t="shared" ref="DT128:DT130" si="2666">($C128*AJ128)/100</f>
        <v>0.03</v>
      </c>
      <c r="DU128">
        <f t="shared" ref="DU128:DU130" si="2667">($C128*AK128)/100</f>
        <v>9.6</v>
      </c>
      <c r="DV128">
        <f t="shared" ref="DV128:DV130" si="2668">($C128*AL128)/100</f>
        <v>0.33600000000000002</v>
      </c>
      <c r="DW128">
        <f t="shared" ref="DW128:DW130" si="2669">($C128*AM128)/100</f>
        <v>5.7</v>
      </c>
      <c r="DX128">
        <f t="shared" ref="DX128:DX130" si="2670">($C128*AN128)/100</f>
        <v>0</v>
      </c>
      <c r="DY128">
        <f t="shared" ref="DY128:DY130" si="2671">($C128*AO128)/100</f>
        <v>0</v>
      </c>
      <c r="DZ128">
        <f t="shared" ref="DZ128:DZ130" si="2672">($C128*AP128)/100</f>
        <v>0</v>
      </c>
      <c r="EA128">
        <f t="shared" ref="EA128:EA130" si="2673">($C128*AQ128)/100</f>
        <v>0</v>
      </c>
      <c r="EB128">
        <f t="shared" ref="EB128:EB130" si="2674">($C128*AR128)/100</f>
        <v>0.126</v>
      </c>
      <c r="EC128">
        <f t="shared" ref="EC128:EC130" si="2675">($C128*AS128)/100</f>
        <v>0</v>
      </c>
      <c r="ED128">
        <f t="shared" ref="ED128:ED130" si="2676">($C128*AT128)/100</f>
        <v>0.6</v>
      </c>
      <c r="EE128">
        <f t="shared" ref="EE128:EE130" si="2677">($C128*AU128)/100</f>
        <v>0.38400000000000001</v>
      </c>
      <c r="EF128">
        <f t="shared" ref="EF128:EF130" si="2678">($C128*AV128)/100</f>
        <v>0</v>
      </c>
      <c r="EG128">
        <f t="shared" ref="EG128:EG130" si="2679">($C128*AW128)/100</f>
        <v>6.0000000000000001E-3</v>
      </c>
      <c r="EH128">
        <f t="shared" ref="EH128:EH130" si="2680">($C128*AX128)/100</f>
        <v>3.0000000000000001E-3</v>
      </c>
      <c r="EI128">
        <f t="shared" ref="EI128:EI130" si="2681">($C128*AY128)/100</f>
        <v>0.32400000000000007</v>
      </c>
      <c r="EJ128">
        <f t="shared" ref="EJ128:EJ130" si="2682">($C128*AZ128)/100</f>
        <v>2.1000000000000001E-2</v>
      </c>
      <c r="EK128">
        <f t="shared" ref="EK128:EK130" si="2683">($C128*BA128)/100</f>
        <v>0.03</v>
      </c>
      <c r="EL128">
        <f t="shared" ref="EL128:EL130" si="2684">($C128*BB128)/100</f>
        <v>0</v>
      </c>
      <c r="EM128">
        <f t="shared" ref="EM128:EM130" si="2685">($C128*BC128)/100</f>
        <v>0.68399999999999994</v>
      </c>
      <c r="EN128">
        <f t="shared" ref="EN128:EN130" si="2686">($C128*BD128)/100</f>
        <v>0</v>
      </c>
      <c r="EO128">
        <f t="shared" ref="EO128:EO130" si="2687">($C128*BE128)/100</f>
        <v>3.0000000000000001E-3</v>
      </c>
      <c r="EP128">
        <f t="shared" ref="EP128:EP130" si="2688">($C128*BF128)/100</f>
        <v>0.68099999999999994</v>
      </c>
      <c r="EQ128">
        <f t="shared" ref="EQ128:EQ130" si="2689">($C128*BG128)/100</f>
        <v>0</v>
      </c>
      <c r="ER128">
        <f t="shared" ref="ER128:ER130" si="2690">($C128*BH128)/100</f>
        <v>0</v>
      </c>
      <c r="ES128">
        <f t="shared" ref="ES128:ES130" si="2691">($C128*BI128)/100</f>
        <v>0.79500000000000004</v>
      </c>
      <c r="ET128">
        <f t="shared" ref="ET128:ET130" si="2692">($C128*BJ128)/100</f>
        <v>0.7589999999999999</v>
      </c>
      <c r="EU128">
        <f t="shared" ref="EU128:EU130" si="2693">($C128*BK128)/100</f>
        <v>3.5999999999999997E-2</v>
      </c>
      <c r="EV128">
        <f t="shared" ref="EV128:EV130" si="2694">($C128*BL128)/100</f>
        <v>0</v>
      </c>
      <c r="EW128">
        <f t="shared" ref="EW128:EW130" si="2695">($C128*BM128)/100</f>
        <v>0</v>
      </c>
      <c r="EX128">
        <f t="shared" ref="EX128:EX130" si="2696">($C128*BN128)/100</f>
        <v>0</v>
      </c>
      <c r="EY128">
        <f t="shared" ref="EY128:EY130" si="2697">($C128*BO128)/100</f>
        <v>0</v>
      </c>
      <c r="EZ128">
        <f t="shared" ref="EZ128:EZ130" si="2698">($C128*BP128)/100</f>
        <v>35.238095238095099</v>
      </c>
      <c r="FA128">
        <f t="shared" ref="FA128:FA130" si="2699">($C128*BQ128)/100</f>
        <v>79.238095238095198</v>
      </c>
      <c r="FB128">
        <f t="shared" ref="FB128:FB130" si="2700">($C128*BR128)/100</f>
        <v>91.238095238095198</v>
      </c>
      <c r="FC128">
        <f t="shared" ref="FC128:FC130" si="2701">($C128*BS128)/100</f>
        <v>175.23809523809518</v>
      </c>
      <c r="FD128">
        <f t="shared" ref="FD128:FD130" si="2702">($C128*BT128)/100</f>
        <v>88.761904761904802</v>
      </c>
      <c r="FE128">
        <f t="shared" ref="FE128:FE130" si="2703">($C128*BU128)/100</f>
        <v>40.761904761904795</v>
      </c>
      <c r="FF128">
        <f t="shared" ref="FF128:FF130" si="2704">($C128*BV128)/100</f>
        <v>64.761904761904802</v>
      </c>
      <c r="FG128">
        <f t="shared" ref="FG128:FG130" si="2705">($C128*BW128)/100</f>
        <v>120</v>
      </c>
      <c r="FH128">
        <f t="shared" ref="FH128:FH130" si="2706">($C128*BX128)/100</f>
        <v>79.238095238095198</v>
      </c>
      <c r="FI128">
        <f t="shared" ref="FI128:FI130" si="2707">($C128*BY128)/100</f>
        <v>122.47619047619041</v>
      </c>
      <c r="FJ128">
        <f t="shared" ref="FJ128:FJ130" si="2708">($C128*BZ128)/100</f>
        <v>151.23809523809518</v>
      </c>
      <c r="FK128">
        <f t="shared" ref="FK128:FK130" si="2709">($C128*CA128)/100</f>
        <v>50.476190476190396</v>
      </c>
      <c r="FL128">
        <f t="shared" ref="FL128:FL130" si="2710">($C128*CB128)/100</f>
        <v>108</v>
      </c>
      <c r="FM128">
        <f t="shared" ref="FM128:FM130" si="2711">($C128*CC128)/100</f>
        <v>184.76190476190482</v>
      </c>
      <c r="FN128">
        <f t="shared" ref="FN128:FN130" si="2712">($C128*CD128)/100</f>
        <v>501.52380952380901</v>
      </c>
      <c r="FO128">
        <f t="shared" ref="FO128:FO130" si="2713">($C128*CE128)/100</f>
        <v>112.7619047619048</v>
      </c>
      <c r="FP128">
        <f t="shared" ref="FP128:FP130" si="2714">($C128*CF128)/100</f>
        <v>124.7619047619048</v>
      </c>
      <c r="FQ128">
        <f t="shared" ref="FQ128:FQ130" si="2715">($C128*CG128)/100</f>
        <v>112.7619047619048</v>
      </c>
      <c r="FR128">
        <f t="shared" ref="FR128:FR130" si="2716">($C128*CH128)/100</f>
        <v>1.4999999999999999E-2</v>
      </c>
      <c r="FS128">
        <f t="shared" ref="FS128:FS130" si="2717">($C128*CI128)/100</f>
        <v>1.4999999999999999E-2</v>
      </c>
      <c r="FT128">
        <f t="shared" ref="FT128:FT130" si="2718">($C128*CJ128)/100</f>
        <v>0</v>
      </c>
      <c r="FU128">
        <f t="shared" ref="FU128:FU130" si="2719">($C128*CK128)/100</f>
        <v>0.18</v>
      </c>
      <c r="FV128">
        <f t="shared" ref="FV128:FV130" si="2720">($C128*CL128)/100</f>
        <v>1.4999999999999999E-2</v>
      </c>
      <c r="FW128">
        <f t="shared" ref="FW128:FW130" si="2721">($C128*CM128)/100</f>
        <v>0</v>
      </c>
    </row>
    <row r="129" spans="1:179" x14ac:dyDescent="0.35">
      <c r="B129" s="72" t="s">
        <v>257</v>
      </c>
      <c r="C129">
        <v>65</v>
      </c>
      <c r="D129" s="6">
        <v>46</v>
      </c>
      <c r="E129" s="6">
        <v>195</v>
      </c>
      <c r="F129" s="6">
        <v>3.5</v>
      </c>
      <c r="G129" s="6">
        <v>3.5</v>
      </c>
      <c r="H129" s="6">
        <v>0</v>
      </c>
      <c r="I129" s="6">
        <v>1.5</v>
      </c>
      <c r="J129" s="6">
        <v>1.5</v>
      </c>
      <c r="K129" s="6">
        <v>0</v>
      </c>
      <c r="L129" s="6">
        <v>7</v>
      </c>
      <c r="M129" s="6">
        <v>5</v>
      </c>
      <c r="N129" s="6">
        <v>0</v>
      </c>
      <c r="O129" s="6">
        <v>5</v>
      </c>
      <c r="P129" s="6">
        <v>0</v>
      </c>
      <c r="Q129" s="6">
        <v>0</v>
      </c>
      <c r="R129" s="6">
        <v>88.5</v>
      </c>
      <c r="S129" s="6">
        <v>0.1</v>
      </c>
      <c r="T129" s="6">
        <v>120</v>
      </c>
      <c r="U129" s="6">
        <v>46</v>
      </c>
      <c r="V129" s="6">
        <v>170</v>
      </c>
      <c r="W129" s="6">
        <v>94</v>
      </c>
      <c r="X129" s="6">
        <v>0.37</v>
      </c>
      <c r="Y129" s="6">
        <v>11</v>
      </c>
      <c r="Z129" s="6">
        <v>0.01</v>
      </c>
      <c r="AA129" s="6">
        <v>1.6</v>
      </c>
      <c r="AB129" s="6">
        <v>100</v>
      </c>
      <c r="AC129" s="6">
        <v>15</v>
      </c>
      <c r="AD129" s="51">
        <v>5.0000000000000001E-3</v>
      </c>
      <c r="AE129" s="6">
        <v>31</v>
      </c>
      <c r="AF129" s="6">
        <v>0.04</v>
      </c>
      <c r="AG129" s="6">
        <v>0.17</v>
      </c>
      <c r="AH129" s="6">
        <v>1</v>
      </c>
      <c r="AI129" s="6">
        <v>0.1</v>
      </c>
      <c r="AJ129" s="6">
        <v>0.06</v>
      </c>
      <c r="AK129" s="6">
        <v>6</v>
      </c>
      <c r="AL129" s="6">
        <v>0.32</v>
      </c>
      <c r="AM129" s="6">
        <v>2</v>
      </c>
      <c r="AN129" s="6">
        <v>0.4</v>
      </c>
      <c r="AO129" s="6">
        <v>21</v>
      </c>
      <c r="AP129" s="6">
        <v>19</v>
      </c>
      <c r="AQ129" s="6">
        <v>10</v>
      </c>
      <c r="AR129" s="6">
        <v>0.04</v>
      </c>
      <c r="AS129" s="6">
        <v>0.01</v>
      </c>
      <c r="AT129" s="6">
        <v>0</v>
      </c>
      <c r="AU129" s="6">
        <v>0.89</v>
      </c>
      <c r="AV129" s="6">
        <v>0.01</v>
      </c>
      <c r="AW129" s="6">
        <v>0.05</v>
      </c>
      <c r="AX129" s="6">
        <v>0.17</v>
      </c>
      <c r="AY129" s="6">
        <v>0.45</v>
      </c>
      <c r="AZ129" s="6">
        <v>0.21</v>
      </c>
      <c r="BA129" s="6">
        <v>0</v>
      </c>
      <c r="BB129" s="6">
        <v>0</v>
      </c>
      <c r="BC129" s="6">
        <v>0.47</v>
      </c>
      <c r="BD129" s="6">
        <v>0</v>
      </c>
      <c r="BE129" s="6">
        <v>0.04</v>
      </c>
      <c r="BF129" s="6">
        <v>0.43</v>
      </c>
      <c r="BG129" s="6">
        <v>0</v>
      </c>
      <c r="BH129" s="6">
        <v>0</v>
      </c>
      <c r="BI129" s="6">
        <v>0.08</v>
      </c>
      <c r="BJ129" s="6">
        <v>0.05</v>
      </c>
      <c r="BK129" s="6">
        <v>0.03</v>
      </c>
      <c r="BL129" s="6">
        <v>0</v>
      </c>
      <c r="BM129" s="6">
        <v>0</v>
      </c>
      <c r="BN129" s="6">
        <v>0</v>
      </c>
      <c r="BO129" s="6">
        <v>0</v>
      </c>
      <c r="BP129" s="7">
        <v>53</v>
      </c>
      <c r="BQ129" s="7">
        <v>174</v>
      </c>
      <c r="BR129" s="7">
        <v>204</v>
      </c>
      <c r="BS129" s="7">
        <v>377</v>
      </c>
      <c r="BT129" s="7">
        <v>288</v>
      </c>
      <c r="BU129" s="7">
        <v>86</v>
      </c>
      <c r="BV129" s="7">
        <v>39</v>
      </c>
      <c r="BW129" s="7">
        <v>187</v>
      </c>
      <c r="BX129" s="7">
        <v>151</v>
      </c>
      <c r="BY129" s="7">
        <v>247</v>
      </c>
      <c r="BZ129" s="7">
        <v>111</v>
      </c>
      <c r="CA129" s="7">
        <v>99</v>
      </c>
      <c r="CB129" s="7">
        <v>126</v>
      </c>
      <c r="CC129" s="7">
        <v>285</v>
      </c>
      <c r="CD129" s="7">
        <v>818</v>
      </c>
      <c r="CE129" s="7">
        <v>74</v>
      </c>
      <c r="CF129" s="7">
        <v>393</v>
      </c>
      <c r="CG129" s="7">
        <v>215</v>
      </c>
      <c r="CH129" s="6">
        <v>0</v>
      </c>
      <c r="CI129" s="6">
        <v>0</v>
      </c>
      <c r="CJ129" s="6">
        <v>0</v>
      </c>
      <c r="CK129" s="6">
        <v>0</v>
      </c>
      <c r="CL129" s="6">
        <v>0</v>
      </c>
      <c r="CM129" s="6">
        <v>5</v>
      </c>
      <c r="CN129">
        <f t="shared" si="2634"/>
        <v>29.9</v>
      </c>
      <c r="CO129">
        <f t="shared" si="2635"/>
        <v>126.75</v>
      </c>
      <c r="CP129">
        <f t="shared" si="2636"/>
        <v>2.2749999999999999</v>
      </c>
      <c r="CQ129">
        <f t="shared" si="2637"/>
        <v>2.2749999999999999</v>
      </c>
      <c r="CR129">
        <f t="shared" si="2638"/>
        <v>0</v>
      </c>
      <c r="CS129">
        <f t="shared" si="2639"/>
        <v>0.97499999999999998</v>
      </c>
      <c r="CT129">
        <f t="shared" si="2640"/>
        <v>0.97499999999999998</v>
      </c>
      <c r="CU129">
        <f t="shared" si="2641"/>
        <v>0</v>
      </c>
      <c r="CV129">
        <f t="shared" si="2642"/>
        <v>4.55</v>
      </c>
      <c r="CW129">
        <f t="shared" si="2643"/>
        <v>3.25</v>
      </c>
      <c r="CX129">
        <f t="shared" si="2644"/>
        <v>0</v>
      </c>
      <c r="CY129">
        <f t="shared" si="2645"/>
        <v>3.25</v>
      </c>
      <c r="CZ129">
        <f t="shared" si="2646"/>
        <v>0</v>
      </c>
      <c r="DA129">
        <f t="shared" si="2647"/>
        <v>0</v>
      </c>
      <c r="DB129">
        <f t="shared" si="2648"/>
        <v>57.524999999999999</v>
      </c>
      <c r="DC129">
        <f t="shared" si="2649"/>
        <v>6.5000000000000002E-2</v>
      </c>
      <c r="DD129">
        <f t="shared" si="2650"/>
        <v>78</v>
      </c>
      <c r="DE129">
        <f t="shared" si="2651"/>
        <v>29.9</v>
      </c>
      <c r="DF129">
        <f t="shared" si="2652"/>
        <v>110.5</v>
      </c>
      <c r="DG129">
        <f t="shared" si="2653"/>
        <v>61.1</v>
      </c>
      <c r="DH129">
        <f t="shared" si="2654"/>
        <v>0.24050000000000002</v>
      </c>
      <c r="DI129">
        <f t="shared" si="2655"/>
        <v>7.15</v>
      </c>
      <c r="DJ129">
        <f t="shared" si="2656"/>
        <v>6.5000000000000006E-3</v>
      </c>
      <c r="DK129">
        <f t="shared" si="2657"/>
        <v>1.04</v>
      </c>
      <c r="DL129">
        <f t="shared" si="2658"/>
        <v>65</v>
      </c>
      <c r="DM129">
        <f t="shared" si="2659"/>
        <v>9.75</v>
      </c>
      <c r="DN129">
        <f t="shared" si="2660"/>
        <v>3.2500000000000003E-3</v>
      </c>
      <c r="DO129">
        <f t="shared" si="2661"/>
        <v>20.149999999999999</v>
      </c>
      <c r="DP129">
        <f t="shared" si="2662"/>
        <v>2.6000000000000002E-2</v>
      </c>
      <c r="DQ129">
        <f t="shared" si="2663"/>
        <v>0.1105</v>
      </c>
      <c r="DR129">
        <f t="shared" si="2664"/>
        <v>0.65</v>
      </c>
      <c r="DS129">
        <f t="shared" si="2665"/>
        <v>6.5000000000000002E-2</v>
      </c>
      <c r="DT129">
        <f t="shared" si="2666"/>
        <v>3.9E-2</v>
      </c>
      <c r="DU129">
        <f t="shared" si="2667"/>
        <v>3.9</v>
      </c>
      <c r="DV129">
        <f t="shared" si="2668"/>
        <v>0.20800000000000002</v>
      </c>
      <c r="DW129">
        <f t="shared" si="2669"/>
        <v>1.3</v>
      </c>
      <c r="DX129">
        <f t="shared" si="2670"/>
        <v>0.26</v>
      </c>
      <c r="DY129">
        <f t="shared" si="2671"/>
        <v>13.65</v>
      </c>
      <c r="DZ129">
        <f t="shared" si="2672"/>
        <v>12.35</v>
      </c>
      <c r="EA129">
        <f t="shared" si="2673"/>
        <v>6.5</v>
      </c>
      <c r="EB129">
        <f t="shared" si="2674"/>
        <v>2.6000000000000002E-2</v>
      </c>
      <c r="EC129">
        <f t="shared" si="2675"/>
        <v>6.5000000000000006E-3</v>
      </c>
      <c r="ED129">
        <f t="shared" si="2676"/>
        <v>0</v>
      </c>
      <c r="EE129">
        <f t="shared" si="2677"/>
        <v>0.57850000000000001</v>
      </c>
      <c r="EF129">
        <f t="shared" si="2678"/>
        <v>6.5000000000000006E-3</v>
      </c>
      <c r="EG129">
        <f t="shared" si="2679"/>
        <v>3.2500000000000001E-2</v>
      </c>
      <c r="EH129">
        <f t="shared" si="2680"/>
        <v>0.1105</v>
      </c>
      <c r="EI129">
        <f t="shared" si="2681"/>
        <v>0.29249999999999998</v>
      </c>
      <c r="EJ129">
        <f t="shared" si="2682"/>
        <v>0.13650000000000001</v>
      </c>
      <c r="EK129">
        <f t="shared" si="2683"/>
        <v>0</v>
      </c>
      <c r="EL129">
        <f t="shared" si="2684"/>
        <v>0</v>
      </c>
      <c r="EM129">
        <f t="shared" si="2685"/>
        <v>0.30549999999999999</v>
      </c>
      <c r="EN129">
        <f t="shared" si="2686"/>
        <v>0</v>
      </c>
      <c r="EO129">
        <f t="shared" si="2687"/>
        <v>2.6000000000000002E-2</v>
      </c>
      <c r="EP129">
        <f t="shared" si="2688"/>
        <v>0.27949999999999997</v>
      </c>
      <c r="EQ129">
        <f t="shared" si="2689"/>
        <v>0</v>
      </c>
      <c r="ER129">
        <f t="shared" si="2690"/>
        <v>0</v>
      </c>
      <c r="ES129">
        <f t="shared" si="2691"/>
        <v>5.2000000000000005E-2</v>
      </c>
      <c r="ET129">
        <f t="shared" si="2692"/>
        <v>3.2500000000000001E-2</v>
      </c>
      <c r="EU129">
        <f t="shared" si="2693"/>
        <v>1.95E-2</v>
      </c>
      <c r="EV129">
        <f t="shared" si="2694"/>
        <v>0</v>
      </c>
      <c r="EW129">
        <f t="shared" si="2695"/>
        <v>0</v>
      </c>
      <c r="EX129">
        <f t="shared" si="2696"/>
        <v>0</v>
      </c>
      <c r="EY129">
        <f t="shared" si="2697"/>
        <v>0</v>
      </c>
      <c r="EZ129">
        <f t="shared" si="2698"/>
        <v>34.450000000000003</v>
      </c>
      <c r="FA129">
        <f t="shared" si="2699"/>
        <v>113.1</v>
      </c>
      <c r="FB129">
        <f t="shared" si="2700"/>
        <v>132.6</v>
      </c>
      <c r="FC129">
        <f t="shared" si="2701"/>
        <v>245.05</v>
      </c>
      <c r="FD129">
        <f t="shared" si="2702"/>
        <v>187.2</v>
      </c>
      <c r="FE129">
        <f t="shared" si="2703"/>
        <v>55.9</v>
      </c>
      <c r="FF129">
        <f t="shared" si="2704"/>
        <v>25.35</v>
      </c>
      <c r="FG129">
        <f t="shared" si="2705"/>
        <v>121.55</v>
      </c>
      <c r="FH129">
        <f t="shared" si="2706"/>
        <v>98.15</v>
      </c>
      <c r="FI129">
        <f t="shared" si="2707"/>
        <v>160.55000000000001</v>
      </c>
      <c r="FJ129">
        <f t="shared" si="2708"/>
        <v>72.150000000000006</v>
      </c>
      <c r="FK129">
        <f t="shared" si="2709"/>
        <v>64.349999999999994</v>
      </c>
      <c r="FL129">
        <f t="shared" si="2710"/>
        <v>81.900000000000006</v>
      </c>
      <c r="FM129">
        <f t="shared" si="2711"/>
        <v>185.25</v>
      </c>
      <c r="FN129">
        <f t="shared" si="2712"/>
        <v>531.70000000000005</v>
      </c>
      <c r="FO129">
        <f t="shared" si="2713"/>
        <v>48.1</v>
      </c>
      <c r="FP129">
        <f t="shared" si="2714"/>
        <v>255.45</v>
      </c>
      <c r="FQ129">
        <f t="shared" si="2715"/>
        <v>139.75</v>
      </c>
      <c r="FR129">
        <f t="shared" si="2716"/>
        <v>0</v>
      </c>
      <c r="FS129">
        <f t="shared" si="2717"/>
        <v>0</v>
      </c>
      <c r="FT129">
        <f t="shared" si="2718"/>
        <v>0</v>
      </c>
      <c r="FU129">
        <f t="shared" si="2719"/>
        <v>0</v>
      </c>
      <c r="FV129">
        <f t="shared" si="2720"/>
        <v>0</v>
      </c>
      <c r="FW129">
        <f t="shared" si="2721"/>
        <v>3.25</v>
      </c>
    </row>
    <row r="130" spans="1:179" x14ac:dyDescent="0.35">
      <c r="B130" s="72" t="s">
        <v>258</v>
      </c>
      <c r="C130">
        <v>5</v>
      </c>
      <c r="D130" s="6">
        <v>304</v>
      </c>
      <c r="E130" s="6">
        <v>1295</v>
      </c>
      <c r="F130" s="6">
        <v>0.6</v>
      </c>
      <c r="G130" s="6">
        <v>0.6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80.3</v>
      </c>
      <c r="N130" s="6">
        <v>0</v>
      </c>
      <c r="O130" s="6">
        <v>80.3</v>
      </c>
      <c r="P130" s="6">
        <v>0</v>
      </c>
      <c r="Q130" s="6">
        <v>0</v>
      </c>
      <c r="R130" s="6">
        <v>18</v>
      </c>
      <c r="S130" s="6">
        <v>0.5</v>
      </c>
      <c r="T130" s="6">
        <v>5</v>
      </c>
      <c r="U130" s="6">
        <v>11</v>
      </c>
      <c r="V130" s="6">
        <v>51</v>
      </c>
      <c r="W130" s="6">
        <v>6</v>
      </c>
      <c r="X130" s="6">
        <v>0.8</v>
      </c>
      <c r="Y130" s="6">
        <v>3</v>
      </c>
      <c r="Z130" s="6">
        <v>7.0000000000000007E-2</v>
      </c>
      <c r="AA130" s="6">
        <v>1</v>
      </c>
      <c r="AB130" s="6">
        <v>18</v>
      </c>
      <c r="AC130" s="51">
        <v>0.5</v>
      </c>
      <c r="AD130" s="6">
        <v>0.3</v>
      </c>
      <c r="AE130" s="6">
        <v>1</v>
      </c>
      <c r="AF130" s="51">
        <v>5.0000000000000001E-3</v>
      </c>
      <c r="AG130" s="6">
        <v>0.04</v>
      </c>
      <c r="AH130" s="6">
        <v>1</v>
      </c>
      <c r="AI130" s="6">
        <v>0.3</v>
      </c>
      <c r="AJ130" s="6">
        <v>0.02</v>
      </c>
      <c r="AK130" s="6">
        <v>2</v>
      </c>
      <c r="AL130" s="6">
        <v>7.0000000000000007E-2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7">
        <v>8</v>
      </c>
      <c r="BQ130" s="7">
        <v>8</v>
      </c>
      <c r="BR130" s="7">
        <v>16</v>
      </c>
      <c r="BS130" s="7">
        <v>20</v>
      </c>
      <c r="BT130" s="7">
        <v>16</v>
      </c>
      <c r="BU130" s="7">
        <v>2</v>
      </c>
      <c r="BV130" s="7">
        <v>6</v>
      </c>
      <c r="BW130" s="7">
        <v>22</v>
      </c>
      <c r="BX130" s="7">
        <v>16</v>
      </c>
      <c r="BY130" s="7">
        <v>18</v>
      </c>
      <c r="BZ130" s="7">
        <v>10</v>
      </c>
      <c r="CA130" s="7">
        <v>2</v>
      </c>
      <c r="CB130" s="7">
        <v>12</v>
      </c>
      <c r="CC130" s="7">
        <v>54</v>
      </c>
      <c r="CD130" s="7">
        <v>36</v>
      </c>
      <c r="CE130" s="7">
        <v>14</v>
      </c>
      <c r="CF130" s="7">
        <v>180</v>
      </c>
      <c r="CG130" s="7">
        <v>12</v>
      </c>
      <c r="CH130" s="6">
        <v>36.4</v>
      </c>
      <c r="CI130" s="6">
        <v>43.9</v>
      </c>
      <c r="CJ130" s="6">
        <v>0</v>
      </c>
      <c r="CK130" s="51">
        <v>0.05</v>
      </c>
      <c r="CL130" s="51">
        <v>0.05</v>
      </c>
      <c r="CM130" s="6">
        <v>0</v>
      </c>
      <c r="CN130">
        <f t="shared" si="2634"/>
        <v>15.2</v>
      </c>
      <c r="CO130">
        <f t="shared" si="2635"/>
        <v>64.75</v>
      </c>
      <c r="CP130">
        <f t="shared" si="2636"/>
        <v>0.03</v>
      </c>
      <c r="CQ130">
        <f t="shared" si="2637"/>
        <v>0.03</v>
      </c>
      <c r="CR130">
        <f t="shared" si="2638"/>
        <v>0</v>
      </c>
      <c r="CS130">
        <f t="shared" si="2639"/>
        <v>0</v>
      </c>
      <c r="CT130">
        <f t="shared" si="2640"/>
        <v>0</v>
      </c>
      <c r="CU130">
        <f t="shared" si="2641"/>
        <v>0</v>
      </c>
      <c r="CV130">
        <f t="shared" si="2642"/>
        <v>0</v>
      </c>
      <c r="CW130">
        <f t="shared" si="2643"/>
        <v>4.0149999999999997</v>
      </c>
      <c r="CX130">
        <f t="shared" si="2644"/>
        <v>0</v>
      </c>
      <c r="CY130">
        <f t="shared" si="2645"/>
        <v>4.0149999999999997</v>
      </c>
      <c r="CZ130">
        <f t="shared" si="2646"/>
        <v>0</v>
      </c>
      <c r="DA130">
        <f t="shared" si="2647"/>
        <v>0</v>
      </c>
      <c r="DB130">
        <f t="shared" si="2648"/>
        <v>0.9</v>
      </c>
      <c r="DC130">
        <f t="shared" si="2649"/>
        <v>2.5000000000000001E-2</v>
      </c>
      <c r="DD130">
        <f t="shared" si="2650"/>
        <v>0.25</v>
      </c>
      <c r="DE130">
        <f t="shared" si="2651"/>
        <v>0.55000000000000004</v>
      </c>
      <c r="DF130">
        <f t="shared" si="2652"/>
        <v>2.5499999999999998</v>
      </c>
      <c r="DG130">
        <f t="shared" si="2653"/>
        <v>0.3</v>
      </c>
      <c r="DH130">
        <f t="shared" si="2654"/>
        <v>0.04</v>
      </c>
      <c r="DI130">
        <f t="shared" si="2655"/>
        <v>0.15</v>
      </c>
      <c r="DJ130">
        <f t="shared" si="2656"/>
        <v>3.5000000000000005E-3</v>
      </c>
      <c r="DK130">
        <f t="shared" si="2657"/>
        <v>0.05</v>
      </c>
      <c r="DL130">
        <f t="shared" si="2658"/>
        <v>0.9</v>
      </c>
      <c r="DM130">
        <f t="shared" si="2659"/>
        <v>2.5000000000000001E-2</v>
      </c>
      <c r="DN130">
        <f t="shared" si="2660"/>
        <v>1.4999999999999999E-2</v>
      </c>
      <c r="DO130">
        <f t="shared" si="2661"/>
        <v>0.05</v>
      </c>
      <c r="DP130">
        <f t="shared" si="2662"/>
        <v>2.5000000000000001E-4</v>
      </c>
      <c r="DQ130">
        <f t="shared" si="2663"/>
        <v>2E-3</v>
      </c>
      <c r="DR130">
        <f t="shared" si="2664"/>
        <v>0.05</v>
      </c>
      <c r="DS130">
        <f t="shared" si="2665"/>
        <v>1.4999999999999999E-2</v>
      </c>
      <c r="DT130">
        <f t="shared" si="2666"/>
        <v>1E-3</v>
      </c>
      <c r="DU130">
        <f t="shared" si="2667"/>
        <v>0.1</v>
      </c>
      <c r="DV130">
        <f t="shared" si="2668"/>
        <v>3.5000000000000005E-3</v>
      </c>
      <c r="DW130">
        <f t="shared" si="2669"/>
        <v>0</v>
      </c>
      <c r="DX130">
        <f t="shared" si="2670"/>
        <v>0</v>
      </c>
      <c r="DY130">
        <f t="shared" si="2671"/>
        <v>0</v>
      </c>
      <c r="DZ130">
        <f t="shared" si="2672"/>
        <v>0</v>
      </c>
      <c r="EA130">
        <f t="shared" si="2673"/>
        <v>0</v>
      </c>
      <c r="EB130">
        <f t="shared" si="2674"/>
        <v>0</v>
      </c>
      <c r="EC130">
        <f t="shared" si="2675"/>
        <v>0</v>
      </c>
      <c r="ED130">
        <f t="shared" si="2676"/>
        <v>0</v>
      </c>
      <c r="EE130">
        <f t="shared" si="2677"/>
        <v>0</v>
      </c>
      <c r="EF130">
        <f t="shared" si="2678"/>
        <v>0</v>
      </c>
      <c r="EG130">
        <f t="shared" si="2679"/>
        <v>0</v>
      </c>
      <c r="EH130">
        <f t="shared" si="2680"/>
        <v>0</v>
      </c>
      <c r="EI130">
        <f t="shared" si="2681"/>
        <v>0</v>
      </c>
      <c r="EJ130">
        <f t="shared" si="2682"/>
        <v>0</v>
      </c>
      <c r="EK130">
        <f t="shared" si="2683"/>
        <v>0</v>
      </c>
      <c r="EL130">
        <f t="shared" si="2684"/>
        <v>0</v>
      </c>
      <c r="EM130">
        <f t="shared" si="2685"/>
        <v>0</v>
      </c>
      <c r="EN130">
        <f t="shared" si="2686"/>
        <v>0</v>
      </c>
      <c r="EO130">
        <f t="shared" si="2687"/>
        <v>0</v>
      </c>
      <c r="EP130">
        <f t="shared" si="2688"/>
        <v>0</v>
      </c>
      <c r="EQ130">
        <f t="shared" si="2689"/>
        <v>0</v>
      </c>
      <c r="ER130">
        <f t="shared" si="2690"/>
        <v>0</v>
      </c>
      <c r="ES130">
        <f t="shared" si="2691"/>
        <v>0</v>
      </c>
      <c r="ET130">
        <f t="shared" si="2692"/>
        <v>0</v>
      </c>
      <c r="EU130">
        <f t="shared" si="2693"/>
        <v>0</v>
      </c>
      <c r="EV130">
        <f t="shared" si="2694"/>
        <v>0</v>
      </c>
      <c r="EW130">
        <f t="shared" si="2695"/>
        <v>0</v>
      </c>
      <c r="EX130">
        <f t="shared" si="2696"/>
        <v>0</v>
      </c>
      <c r="EY130">
        <f t="shared" si="2697"/>
        <v>0</v>
      </c>
      <c r="EZ130">
        <f t="shared" si="2698"/>
        <v>0.4</v>
      </c>
      <c r="FA130">
        <f t="shared" si="2699"/>
        <v>0.4</v>
      </c>
      <c r="FB130">
        <f t="shared" si="2700"/>
        <v>0.8</v>
      </c>
      <c r="FC130">
        <f t="shared" si="2701"/>
        <v>1</v>
      </c>
      <c r="FD130">
        <f t="shared" si="2702"/>
        <v>0.8</v>
      </c>
      <c r="FE130">
        <f t="shared" si="2703"/>
        <v>0.1</v>
      </c>
      <c r="FF130">
        <f t="shared" si="2704"/>
        <v>0.3</v>
      </c>
      <c r="FG130">
        <f t="shared" si="2705"/>
        <v>1.1000000000000001</v>
      </c>
      <c r="FH130">
        <f t="shared" si="2706"/>
        <v>0.8</v>
      </c>
      <c r="FI130">
        <f t="shared" si="2707"/>
        <v>0.9</v>
      </c>
      <c r="FJ130">
        <f t="shared" si="2708"/>
        <v>0.5</v>
      </c>
      <c r="FK130">
        <f t="shared" si="2709"/>
        <v>0.1</v>
      </c>
      <c r="FL130">
        <f t="shared" si="2710"/>
        <v>0.6</v>
      </c>
      <c r="FM130">
        <f t="shared" si="2711"/>
        <v>2.7</v>
      </c>
      <c r="FN130">
        <f t="shared" si="2712"/>
        <v>1.8</v>
      </c>
      <c r="FO130">
        <f t="shared" si="2713"/>
        <v>0.7</v>
      </c>
      <c r="FP130">
        <f t="shared" si="2714"/>
        <v>9</v>
      </c>
      <c r="FQ130">
        <f t="shared" si="2715"/>
        <v>0.6</v>
      </c>
      <c r="FR130">
        <f t="shared" si="2716"/>
        <v>1.82</v>
      </c>
      <c r="FS130">
        <f t="shared" si="2717"/>
        <v>2.1949999999999998</v>
      </c>
      <c r="FT130">
        <f t="shared" si="2718"/>
        <v>0</v>
      </c>
      <c r="FU130">
        <f t="shared" si="2719"/>
        <v>2.5000000000000001E-3</v>
      </c>
      <c r="FV130">
        <f t="shared" si="2720"/>
        <v>2.5000000000000001E-3</v>
      </c>
      <c r="FW130">
        <f t="shared" si="2721"/>
        <v>0</v>
      </c>
    </row>
    <row r="131" spans="1:179" x14ac:dyDescent="0.35">
      <c r="C131">
        <f>SUM(C128:C130)</f>
        <v>100</v>
      </c>
      <c r="CN131">
        <f>SUM(CN128:CN130)</f>
        <v>155.19999999999999</v>
      </c>
      <c r="CO131">
        <f t="shared" ref="CO131:EZ131" si="2722">SUM(CO128:CO130)</f>
        <v>656.2</v>
      </c>
      <c r="CP131">
        <f t="shared" si="2722"/>
        <v>4.7050000000000001</v>
      </c>
      <c r="CQ131">
        <f t="shared" si="2722"/>
        <v>2.3049999999999997</v>
      </c>
      <c r="CR131">
        <f t="shared" si="2722"/>
        <v>2.4</v>
      </c>
      <c r="CS131">
        <f t="shared" si="2722"/>
        <v>3.2250000000000001</v>
      </c>
      <c r="CT131">
        <f t="shared" si="2722"/>
        <v>0.97499999999999998</v>
      </c>
      <c r="CU131">
        <f t="shared" si="2722"/>
        <v>2.25</v>
      </c>
      <c r="CV131">
        <f t="shared" si="2722"/>
        <v>4.55</v>
      </c>
      <c r="CW131">
        <f t="shared" si="2722"/>
        <v>27.305</v>
      </c>
      <c r="CX131">
        <f t="shared" si="2722"/>
        <v>19.86</v>
      </c>
      <c r="CY131">
        <f t="shared" si="2722"/>
        <v>7.4450000000000003</v>
      </c>
      <c r="CZ131">
        <f t="shared" si="2722"/>
        <v>2.4900000000000002</v>
      </c>
      <c r="DA131">
        <f t="shared" si="2722"/>
        <v>0</v>
      </c>
      <c r="DB131">
        <f t="shared" si="2722"/>
        <v>61.514999999999993</v>
      </c>
      <c r="DC131">
        <f t="shared" si="2722"/>
        <v>1.65</v>
      </c>
      <c r="DD131">
        <f t="shared" si="2722"/>
        <v>94.45</v>
      </c>
      <c r="DE131">
        <f t="shared" si="2722"/>
        <v>32.25</v>
      </c>
      <c r="DF131">
        <f t="shared" si="2722"/>
        <v>221.65</v>
      </c>
      <c r="DG131">
        <f t="shared" si="2722"/>
        <v>170.9</v>
      </c>
      <c r="DH131">
        <f t="shared" si="2722"/>
        <v>1.3725000000000001</v>
      </c>
      <c r="DI131">
        <f t="shared" si="2722"/>
        <v>48.699999999999996</v>
      </c>
      <c r="DJ131">
        <f t="shared" si="2722"/>
        <v>0.127</v>
      </c>
      <c r="DK131">
        <f t="shared" si="2722"/>
        <v>9.7600000000000016</v>
      </c>
      <c r="DL131">
        <f t="shared" si="2722"/>
        <v>92</v>
      </c>
      <c r="DM131">
        <f t="shared" si="2722"/>
        <v>9.9250000000000007</v>
      </c>
      <c r="DN131">
        <f t="shared" si="2722"/>
        <v>1.1072499999999998</v>
      </c>
      <c r="DO131">
        <f t="shared" si="2722"/>
        <v>80.2</v>
      </c>
      <c r="DP131">
        <f t="shared" si="2722"/>
        <v>0.19125</v>
      </c>
      <c r="DQ131">
        <f t="shared" si="2722"/>
        <v>0.1545</v>
      </c>
      <c r="DR131">
        <f t="shared" si="2722"/>
        <v>0.70000000000000007</v>
      </c>
      <c r="DS131">
        <f t="shared" si="2722"/>
        <v>0.38</v>
      </c>
      <c r="DT131">
        <f t="shared" si="2722"/>
        <v>7.0000000000000007E-2</v>
      </c>
      <c r="DU131">
        <f t="shared" si="2722"/>
        <v>13.6</v>
      </c>
      <c r="DV131">
        <f t="shared" si="2722"/>
        <v>0.54749999999999999</v>
      </c>
      <c r="DW131">
        <f t="shared" si="2722"/>
        <v>7</v>
      </c>
      <c r="DX131">
        <f t="shared" si="2722"/>
        <v>0.26</v>
      </c>
      <c r="DY131">
        <f t="shared" si="2722"/>
        <v>13.65</v>
      </c>
      <c r="DZ131">
        <f t="shared" si="2722"/>
        <v>12.35</v>
      </c>
      <c r="EA131">
        <f t="shared" si="2722"/>
        <v>6.5</v>
      </c>
      <c r="EB131">
        <f t="shared" si="2722"/>
        <v>0.152</v>
      </c>
      <c r="EC131">
        <f t="shared" si="2722"/>
        <v>6.5000000000000006E-3</v>
      </c>
      <c r="ED131">
        <f t="shared" si="2722"/>
        <v>0.6</v>
      </c>
      <c r="EE131">
        <f t="shared" si="2722"/>
        <v>0.96250000000000002</v>
      </c>
      <c r="EF131">
        <f t="shared" si="2722"/>
        <v>6.5000000000000006E-3</v>
      </c>
      <c r="EG131">
        <f t="shared" si="2722"/>
        <v>3.85E-2</v>
      </c>
      <c r="EH131">
        <f t="shared" si="2722"/>
        <v>0.1135</v>
      </c>
      <c r="EI131">
        <f t="shared" si="2722"/>
        <v>0.61650000000000005</v>
      </c>
      <c r="EJ131">
        <f t="shared" si="2722"/>
        <v>0.1575</v>
      </c>
      <c r="EK131">
        <f t="shared" si="2722"/>
        <v>0.03</v>
      </c>
      <c r="EL131">
        <f t="shared" si="2722"/>
        <v>0</v>
      </c>
      <c r="EM131">
        <f t="shared" si="2722"/>
        <v>0.98949999999999994</v>
      </c>
      <c r="EN131">
        <f t="shared" si="2722"/>
        <v>0</v>
      </c>
      <c r="EO131">
        <f t="shared" si="2722"/>
        <v>2.9000000000000001E-2</v>
      </c>
      <c r="EP131">
        <f t="shared" si="2722"/>
        <v>0.96049999999999991</v>
      </c>
      <c r="EQ131">
        <f t="shared" si="2722"/>
        <v>0</v>
      </c>
      <c r="ER131">
        <f t="shared" si="2722"/>
        <v>0</v>
      </c>
      <c r="ES131">
        <f t="shared" si="2722"/>
        <v>0.84700000000000009</v>
      </c>
      <c r="ET131">
        <f t="shared" si="2722"/>
        <v>0.79149999999999987</v>
      </c>
      <c r="EU131">
        <f t="shared" si="2722"/>
        <v>5.5499999999999994E-2</v>
      </c>
      <c r="EV131">
        <f t="shared" si="2722"/>
        <v>0</v>
      </c>
      <c r="EW131">
        <f t="shared" si="2722"/>
        <v>0</v>
      </c>
      <c r="EX131">
        <f t="shared" si="2722"/>
        <v>0</v>
      </c>
      <c r="EY131">
        <f t="shared" si="2722"/>
        <v>0</v>
      </c>
      <c r="EZ131">
        <f t="shared" si="2722"/>
        <v>70.088095238095107</v>
      </c>
      <c r="FA131">
        <f t="shared" ref="FA131:FW131" si="2723">SUM(FA128:FA130)</f>
        <v>192.73809523809521</v>
      </c>
      <c r="FB131">
        <f t="shared" si="2723"/>
        <v>224.63809523809522</v>
      </c>
      <c r="FC131">
        <f t="shared" si="2723"/>
        <v>421.2880952380952</v>
      </c>
      <c r="FD131">
        <f t="shared" si="2723"/>
        <v>276.76190476190482</v>
      </c>
      <c r="FE131">
        <f t="shared" si="2723"/>
        <v>96.761904761904788</v>
      </c>
      <c r="FF131">
        <f t="shared" si="2723"/>
        <v>90.411904761904808</v>
      </c>
      <c r="FG131">
        <f t="shared" si="2723"/>
        <v>242.65</v>
      </c>
      <c r="FH131">
        <f t="shared" si="2723"/>
        <v>178.18809523809523</v>
      </c>
      <c r="FI131">
        <f t="shared" si="2723"/>
        <v>283.92619047619041</v>
      </c>
      <c r="FJ131">
        <f t="shared" si="2723"/>
        <v>223.88809523809519</v>
      </c>
      <c r="FK131">
        <f t="shared" si="2723"/>
        <v>114.92619047619038</v>
      </c>
      <c r="FL131">
        <f t="shared" si="2723"/>
        <v>190.5</v>
      </c>
      <c r="FM131">
        <f t="shared" si="2723"/>
        <v>372.7119047619048</v>
      </c>
      <c r="FN131">
        <f t="shared" si="2723"/>
        <v>1035.0238095238089</v>
      </c>
      <c r="FO131">
        <f t="shared" si="2723"/>
        <v>161.5619047619048</v>
      </c>
      <c r="FP131">
        <f t="shared" si="2723"/>
        <v>389.2119047619048</v>
      </c>
      <c r="FQ131">
        <f t="shared" si="2723"/>
        <v>253.11190476190481</v>
      </c>
      <c r="FR131">
        <f t="shared" si="2723"/>
        <v>1.835</v>
      </c>
      <c r="FS131">
        <f t="shared" si="2723"/>
        <v>2.21</v>
      </c>
      <c r="FT131">
        <f t="shared" si="2723"/>
        <v>0</v>
      </c>
      <c r="FU131">
        <f t="shared" si="2723"/>
        <v>0.1825</v>
      </c>
      <c r="FV131">
        <f t="shared" si="2723"/>
        <v>1.7499999999999998E-2</v>
      </c>
      <c r="FW131">
        <f t="shared" si="2723"/>
        <v>3.25</v>
      </c>
    </row>
    <row r="133" spans="1:179" x14ac:dyDescent="0.35">
      <c r="A133" s="80" t="s">
        <v>259</v>
      </c>
      <c r="B133" s="72" t="s">
        <v>260</v>
      </c>
      <c r="C133">
        <v>75</v>
      </c>
      <c r="D133" s="6">
        <v>206</v>
      </c>
      <c r="E133" s="6">
        <v>850</v>
      </c>
      <c r="F133" s="6">
        <v>2.8</v>
      </c>
      <c r="G133" s="6">
        <v>2.8</v>
      </c>
      <c r="H133" s="6">
        <v>0</v>
      </c>
      <c r="I133" s="6">
        <v>20</v>
      </c>
      <c r="J133" s="6">
        <v>20</v>
      </c>
      <c r="K133" s="6">
        <v>0</v>
      </c>
      <c r="L133" s="6">
        <v>66</v>
      </c>
      <c r="M133" s="6">
        <v>3.9</v>
      </c>
      <c r="N133" s="6">
        <v>0</v>
      </c>
      <c r="O133" s="6">
        <v>3.9</v>
      </c>
      <c r="P133" s="6">
        <v>0</v>
      </c>
      <c r="Q133" s="6">
        <v>0</v>
      </c>
      <c r="R133" s="6">
        <v>72</v>
      </c>
      <c r="S133" s="6">
        <v>0.1</v>
      </c>
      <c r="T133" s="6">
        <v>87</v>
      </c>
      <c r="U133" s="6">
        <v>34</v>
      </c>
      <c r="V133" s="6">
        <v>91</v>
      </c>
      <c r="W133" s="6">
        <v>59</v>
      </c>
      <c r="X133" s="6">
        <v>0.5</v>
      </c>
      <c r="Y133" s="6">
        <v>9</v>
      </c>
      <c r="Z133" s="51">
        <v>5.0000000000000001E-3</v>
      </c>
      <c r="AA133" s="51">
        <v>0.05</v>
      </c>
      <c r="AB133" s="6">
        <v>80</v>
      </c>
      <c r="AC133" s="6">
        <v>3</v>
      </c>
      <c r="AD133" s="51">
        <v>5.0000000000000001E-3</v>
      </c>
      <c r="AE133" s="6">
        <v>24</v>
      </c>
      <c r="AF133" s="6">
        <v>0.03</v>
      </c>
      <c r="AG133" s="6">
        <v>0.14000000000000001</v>
      </c>
      <c r="AH133" s="6">
        <v>1</v>
      </c>
      <c r="AI133" s="6">
        <v>0.1</v>
      </c>
      <c r="AJ133" s="6">
        <v>0.05</v>
      </c>
      <c r="AK133" s="6">
        <v>7</v>
      </c>
      <c r="AL133" s="6">
        <v>0.28000000000000003</v>
      </c>
      <c r="AM133" s="6">
        <v>1.8</v>
      </c>
      <c r="AN133" s="6">
        <v>0.3</v>
      </c>
      <c r="AO133" s="6">
        <v>218</v>
      </c>
      <c r="AP133" s="6">
        <v>200</v>
      </c>
      <c r="AQ133" s="6">
        <v>110</v>
      </c>
      <c r="AR133" s="6">
        <v>0.4</v>
      </c>
      <c r="AS133" s="6">
        <v>0.14000000000000001</v>
      </c>
      <c r="AT133" s="6">
        <v>1.7</v>
      </c>
      <c r="AU133" s="6">
        <v>11.64</v>
      </c>
      <c r="AV133" s="6">
        <v>1.69</v>
      </c>
      <c r="AW133" s="6">
        <v>0.64400000000000002</v>
      </c>
      <c r="AX133" s="6">
        <v>2.0670000000000002</v>
      </c>
      <c r="AY133" s="6">
        <v>4.7869999999999999</v>
      </c>
      <c r="AZ133" s="6">
        <v>2.0670000000000002</v>
      </c>
      <c r="BA133" s="6">
        <v>0</v>
      </c>
      <c r="BB133" s="6">
        <v>0</v>
      </c>
      <c r="BC133" s="6">
        <v>6.2009999999999996</v>
      </c>
      <c r="BD133" s="6">
        <v>0.25900000000000001</v>
      </c>
      <c r="BE133" s="6">
        <v>0.49399999999999999</v>
      </c>
      <c r="BF133" s="6">
        <v>5.1210000000000004</v>
      </c>
      <c r="BG133" s="6">
        <v>0</v>
      </c>
      <c r="BH133" s="6">
        <v>0</v>
      </c>
      <c r="BI133" s="6">
        <v>0.53600000000000003</v>
      </c>
      <c r="BJ133" s="6">
        <v>0.25900000000000001</v>
      </c>
      <c r="BK133" s="6">
        <v>0.27600000000000002</v>
      </c>
      <c r="BL133" s="6">
        <v>0</v>
      </c>
      <c r="BM133" s="6">
        <v>0</v>
      </c>
      <c r="BN133" s="6">
        <v>0</v>
      </c>
      <c r="BO133" s="6">
        <v>0</v>
      </c>
      <c r="BP133" s="7">
        <v>42</v>
      </c>
      <c r="BQ133" s="7">
        <v>139</v>
      </c>
      <c r="BR133" s="7">
        <v>163</v>
      </c>
      <c r="BS133" s="7">
        <v>301</v>
      </c>
      <c r="BT133" s="7">
        <v>231</v>
      </c>
      <c r="BU133" s="7">
        <v>69</v>
      </c>
      <c r="BV133" s="7">
        <v>31</v>
      </c>
      <c r="BW133" s="7">
        <v>149</v>
      </c>
      <c r="BX133" s="7">
        <v>120</v>
      </c>
      <c r="BY133" s="7">
        <v>198</v>
      </c>
      <c r="BZ133" s="7">
        <v>89</v>
      </c>
      <c r="CA133" s="7">
        <v>79</v>
      </c>
      <c r="CB133" s="7">
        <v>101</v>
      </c>
      <c r="CC133" s="7">
        <v>228</v>
      </c>
      <c r="CD133" s="7">
        <v>654</v>
      </c>
      <c r="CE133" s="7">
        <v>59</v>
      </c>
      <c r="CF133" s="7">
        <v>315</v>
      </c>
      <c r="CG133" s="7">
        <v>172</v>
      </c>
      <c r="CH133" s="6">
        <v>0</v>
      </c>
      <c r="CI133" s="6">
        <v>0</v>
      </c>
      <c r="CJ133" s="6">
        <v>0</v>
      </c>
      <c r="CK133" s="6">
        <v>0</v>
      </c>
      <c r="CL133" s="6">
        <v>0</v>
      </c>
      <c r="CM133" s="6">
        <v>3.9</v>
      </c>
      <c r="CN133">
        <f t="shared" ref="CN133:CN134" si="2724">($C133*D133)/100</f>
        <v>154.5</v>
      </c>
      <c r="CO133">
        <f t="shared" ref="CO133:CO134" si="2725">($C133*E133)/100</f>
        <v>637.5</v>
      </c>
      <c r="CP133">
        <f t="shared" ref="CP133:CP134" si="2726">($C133*F133)/100</f>
        <v>2.1</v>
      </c>
      <c r="CQ133">
        <f t="shared" ref="CQ133:CQ134" si="2727">($C133*G133)/100</f>
        <v>2.1</v>
      </c>
      <c r="CR133">
        <f t="shared" ref="CR133:CR134" si="2728">($C133*H133)/100</f>
        <v>0</v>
      </c>
      <c r="CS133">
        <f t="shared" ref="CS133:CS134" si="2729">($C133*I133)/100</f>
        <v>15</v>
      </c>
      <c r="CT133">
        <f t="shared" ref="CT133:CT134" si="2730">($C133*J133)/100</f>
        <v>15</v>
      </c>
      <c r="CU133">
        <f t="shared" ref="CU133:CU134" si="2731">($C133*K133)/100</f>
        <v>0</v>
      </c>
      <c r="CV133">
        <f t="shared" ref="CV133:CV134" si="2732">($C133*L133)/100</f>
        <v>49.5</v>
      </c>
      <c r="CW133">
        <f t="shared" ref="CW133:CW134" si="2733">($C133*M133)/100</f>
        <v>2.9249999999999998</v>
      </c>
      <c r="CX133">
        <f t="shared" ref="CX133:CX134" si="2734">($C133*N133)/100</f>
        <v>0</v>
      </c>
      <c r="CY133">
        <f t="shared" ref="CY133:CY134" si="2735">($C133*O133)/100</f>
        <v>2.9249999999999998</v>
      </c>
      <c r="CZ133">
        <f t="shared" ref="CZ133:CZ134" si="2736">($C133*P133)/100</f>
        <v>0</v>
      </c>
      <c r="DA133">
        <f t="shared" ref="DA133:DA134" si="2737">($C133*Q133)/100</f>
        <v>0</v>
      </c>
      <c r="DB133">
        <f t="shared" ref="DB133:DB134" si="2738">($C133*R133)/100</f>
        <v>54</v>
      </c>
      <c r="DC133">
        <f t="shared" ref="DC133:DC134" si="2739">($C133*S133)/100</f>
        <v>7.4999999999999997E-2</v>
      </c>
      <c r="DD133">
        <f t="shared" ref="DD133:DD134" si="2740">($C133*T133)/100</f>
        <v>65.25</v>
      </c>
      <c r="DE133">
        <f t="shared" ref="DE133:DE134" si="2741">($C133*U133)/100</f>
        <v>25.5</v>
      </c>
      <c r="DF133">
        <f t="shared" ref="DF133:DF134" si="2742">($C133*V133)/100</f>
        <v>68.25</v>
      </c>
      <c r="DG133">
        <f t="shared" ref="DG133:DG134" si="2743">($C133*W133)/100</f>
        <v>44.25</v>
      </c>
      <c r="DH133">
        <f t="shared" ref="DH133:DH134" si="2744">($C133*X133)/100</f>
        <v>0.375</v>
      </c>
      <c r="DI133">
        <f t="shared" ref="DI133:DI134" si="2745">($C133*Y133)/100</f>
        <v>6.75</v>
      </c>
      <c r="DJ133">
        <f t="shared" ref="DJ133:DJ134" si="2746">($C133*Z133)/100</f>
        <v>3.7499999999999999E-3</v>
      </c>
      <c r="DK133">
        <f t="shared" ref="DK133:DK134" si="2747">($C133*AA133)/100</f>
        <v>3.7499999999999999E-2</v>
      </c>
      <c r="DL133">
        <f t="shared" ref="DL133:DL134" si="2748">($C133*AB133)/100</f>
        <v>60</v>
      </c>
      <c r="DM133">
        <f t="shared" ref="DM133:DM134" si="2749">($C133*AC133)/100</f>
        <v>2.25</v>
      </c>
      <c r="DN133">
        <f t="shared" ref="DN133:DN134" si="2750">($C133*AD133)/100</f>
        <v>3.7499999999999999E-3</v>
      </c>
      <c r="DO133">
        <f t="shared" ref="DO133:DO134" si="2751">($C133*AE133)/100</f>
        <v>18</v>
      </c>
      <c r="DP133">
        <f t="shared" ref="DP133:DP134" si="2752">($C133*AF133)/100</f>
        <v>2.2499999999999999E-2</v>
      </c>
      <c r="DQ133">
        <f t="shared" ref="DQ133:DQ134" si="2753">($C133*AG133)/100</f>
        <v>0.10500000000000002</v>
      </c>
      <c r="DR133">
        <f t="shared" ref="DR133:DR134" si="2754">($C133*AH133)/100</f>
        <v>0.75</v>
      </c>
      <c r="DS133">
        <f t="shared" ref="DS133:DS134" si="2755">($C133*AI133)/100</f>
        <v>7.4999999999999997E-2</v>
      </c>
      <c r="DT133">
        <f t="shared" ref="DT133:DT134" si="2756">($C133*AJ133)/100</f>
        <v>3.7499999999999999E-2</v>
      </c>
      <c r="DU133">
        <f t="shared" ref="DU133:DU134" si="2757">($C133*AK133)/100</f>
        <v>5.25</v>
      </c>
      <c r="DV133">
        <f t="shared" ref="DV133:DV134" si="2758">($C133*AL133)/100</f>
        <v>0.21000000000000005</v>
      </c>
      <c r="DW133">
        <f t="shared" ref="DW133:DW134" si="2759">($C133*AM133)/100</f>
        <v>1.35</v>
      </c>
      <c r="DX133">
        <f t="shared" ref="DX133:DX134" si="2760">($C133*AN133)/100</f>
        <v>0.22500000000000001</v>
      </c>
      <c r="DY133">
        <f t="shared" ref="DY133:DY134" si="2761">($C133*AO133)/100</f>
        <v>163.5</v>
      </c>
      <c r="DZ133">
        <f t="shared" ref="DZ133:DZ134" si="2762">($C133*AP133)/100</f>
        <v>150</v>
      </c>
      <c r="EA133">
        <f t="shared" ref="EA133:EA134" si="2763">($C133*AQ133)/100</f>
        <v>82.5</v>
      </c>
      <c r="EB133">
        <f t="shared" ref="EB133:EB134" si="2764">($C133*AR133)/100</f>
        <v>0.3</v>
      </c>
      <c r="EC133">
        <f t="shared" ref="EC133:EC134" si="2765">($C133*AS133)/100</f>
        <v>0.10500000000000002</v>
      </c>
      <c r="ED133">
        <f t="shared" ref="ED133:ED134" si="2766">($C133*AT133)/100</f>
        <v>1.2749999999999999</v>
      </c>
      <c r="EE133">
        <f t="shared" ref="EE133:EE134" si="2767">($C133*AU133)/100</f>
        <v>8.73</v>
      </c>
      <c r="EF133">
        <f t="shared" ref="EF133:EF134" si="2768">($C133*AV133)/100</f>
        <v>1.2675000000000001</v>
      </c>
      <c r="EG133">
        <f t="shared" ref="EG133:EG134" si="2769">($C133*AW133)/100</f>
        <v>0.48300000000000004</v>
      </c>
      <c r="EH133">
        <f t="shared" ref="EH133:EH134" si="2770">($C133*AX133)/100</f>
        <v>1.5502500000000001</v>
      </c>
      <c r="EI133">
        <f t="shared" ref="EI133:EI134" si="2771">($C133*AY133)/100</f>
        <v>3.5902499999999997</v>
      </c>
      <c r="EJ133">
        <f t="shared" ref="EJ133:EJ134" si="2772">($C133*AZ133)/100</f>
        <v>1.5502500000000001</v>
      </c>
      <c r="EK133">
        <f t="shared" ref="EK133:EK134" si="2773">($C133*BA133)/100</f>
        <v>0</v>
      </c>
      <c r="EL133">
        <f t="shared" ref="EL133:EL134" si="2774">($C133*BB133)/100</f>
        <v>0</v>
      </c>
      <c r="EM133">
        <f t="shared" ref="EM133:EM134" si="2775">($C133*BC133)/100</f>
        <v>4.6507499999999995</v>
      </c>
      <c r="EN133">
        <f t="shared" ref="EN133:EN134" si="2776">($C133*BD133)/100</f>
        <v>0.19425000000000001</v>
      </c>
      <c r="EO133">
        <f t="shared" ref="EO133:EO134" si="2777">($C133*BE133)/100</f>
        <v>0.3705</v>
      </c>
      <c r="EP133">
        <f t="shared" ref="EP133:EP134" si="2778">($C133*BF133)/100</f>
        <v>3.8407500000000003</v>
      </c>
      <c r="EQ133">
        <f t="shared" ref="EQ133:EQ134" si="2779">($C133*BG133)/100</f>
        <v>0</v>
      </c>
      <c r="ER133">
        <f t="shared" ref="ER133:ER134" si="2780">($C133*BH133)/100</f>
        <v>0</v>
      </c>
      <c r="ES133">
        <f t="shared" ref="ES133:ES134" si="2781">($C133*BI133)/100</f>
        <v>0.40200000000000002</v>
      </c>
      <c r="ET133">
        <f t="shared" ref="ET133:ET134" si="2782">($C133*BJ133)/100</f>
        <v>0.19425000000000001</v>
      </c>
      <c r="EU133">
        <f t="shared" ref="EU133:EU134" si="2783">($C133*BK133)/100</f>
        <v>0.20700000000000002</v>
      </c>
      <c r="EV133">
        <f t="shared" ref="EV133:EV134" si="2784">($C133*BL133)/100</f>
        <v>0</v>
      </c>
      <c r="EW133">
        <f t="shared" ref="EW133:EW134" si="2785">($C133*BM133)/100</f>
        <v>0</v>
      </c>
      <c r="EX133">
        <f t="shared" ref="EX133:EX134" si="2786">($C133*BN133)/100</f>
        <v>0</v>
      </c>
      <c r="EY133">
        <f t="shared" ref="EY133:EY134" si="2787">($C133*BO133)/100</f>
        <v>0</v>
      </c>
      <c r="EZ133">
        <f t="shared" ref="EZ133:EZ134" si="2788">($C133*BP133)/100</f>
        <v>31.5</v>
      </c>
      <c r="FA133">
        <f t="shared" ref="FA133:FA134" si="2789">($C133*BQ133)/100</f>
        <v>104.25</v>
      </c>
      <c r="FB133">
        <f t="shared" ref="FB133:FB134" si="2790">($C133*BR133)/100</f>
        <v>122.25</v>
      </c>
      <c r="FC133">
        <f t="shared" ref="FC133:FC134" si="2791">($C133*BS133)/100</f>
        <v>225.75</v>
      </c>
      <c r="FD133">
        <f t="shared" ref="FD133:FD134" si="2792">($C133*BT133)/100</f>
        <v>173.25</v>
      </c>
      <c r="FE133">
        <f t="shared" ref="FE133:FE134" si="2793">($C133*BU133)/100</f>
        <v>51.75</v>
      </c>
      <c r="FF133">
        <f t="shared" ref="FF133:FF134" si="2794">($C133*BV133)/100</f>
        <v>23.25</v>
      </c>
      <c r="FG133">
        <f t="shared" ref="FG133:FG134" si="2795">($C133*BW133)/100</f>
        <v>111.75</v>
      </c>
      <c r="FH133">
        <f t="shared" ref="FH133:FH134" si="2796">($C133*BX133)/100</f>
        <v>90</v>
      </c>
      <c r="FI133">
        <f t="shared" ref="FI133:FI134" si="2797">($C133*BY133)/100</f>
        <v>148.5</v>
      </c>
      <c r="FJ133">
        <f t="shared" ref="FJ133:FJ134" si="2798">($C133*BZ133)/100</f>
        <v>66.75</v>
      </c>
      <c r="FK133">
        <f t="shared" ref="FK133:FK134" si="2799">($C133*CA133)/100</f>
        <v>59.25</v>
      </c>
      <c r="FL133">
        <f t="shared" ref="FL133:FL134" si="2800">($C133*CB133)/100</f>
        <v>75.75</v>
      </c>
      <c r="FM133">
        <f t="shared" ref="FM133:FM134" si="2801">($C133*CC133)/100</f>
        <v>171</v>
      </c>
      <c r="FN133">
        <f t="shared" ref="FN133:FN134" si="2802">($C133*CD133)/100</f>
        <v>490.5</v>
      </c>
      <c r="FO133">
        <f t="shared" ref="FO133:FO134" si="2803">($C133*CE133)/100</f>
        <v>44.25</v>
      </c>
      <c r="FP133">
        <f t="shared" ref="FP133:FP134" si="2804">($C133*CF133)/100</f>
        <v>236.25</v>
      </c>
      <c r="FQ133">
        <f t="shared" ref="FQ133:FQ134" si="2805">($C133*CG133)/100</f>
        <v>129</v>
      </c>
      <c r="FR133">
        <f t="shared" ref="FR133:FR134" si="2806">($C133*CH133)/100</f>
        <v>0</v>
      </c>
      <c r="FS133">
        <f t="shared" ref="FS133:FS134" si="2807">($C133*CI133)/100</f>
        <v>0</v>
      </c>
      <c r="FT133">
        <f t="shared" ref="FT133:FT134" si="2808">($C133*CJ133)/100</f>
        <v>0</v>
      </c>
      <c r="FU133">
        <f t="shared" ref="FU133:FU134" si="2809">($C133*CK133)/100</f>
        <v>0</v>
      </c>
      <c r="FV133">
        <f t="shared" ref="FV133:FV134" si="2810">($C133*CL133)/100</f>
        <v>0</v>
      </c>
      <c r="FW133">
        <f t="shared" ref="FW133:FW134" si="2811">($C133*CM133)/100</f>
        <v>2.9249999999999998</v>
      </c>
    </row>
    <row r="134" spans="1:179" x14ac:dyDescent="0.35">
      <c r="B134" s="72" t="s">
        <v>261</v>
      </c>
      <c r="C134">
        <v>25</v>
      </c>
      <c r="D134" s="54">
        <v>66</v>
      </c>
      <c r="E134" s="54">
        <v>278</v>
      </c>
      <c r="F134" s="54">
        <v>3.8</v>
      </c>
      <c r="G134" s="54">
        <v>3.8</v>
      </c>
      <c r="H134" s="54">
        <v>0</v>
      </c>
      <c r="I134" s="54">
        <v>3.9</v>
      </c>
      <c r="J134" s="54">
        <v>3.9</v>
      </c>
      <c r="K134" s="54">
        <v>0</v>
      </c>
      <c r="L134" s="54">
        <v>11</v>
      </c>
      <c r="M134" s="54">
        <v>4.3</v>
      </c>
      <c r="N134" s="54">
        <v>0</v>
      </c>
      <c r="O134" s="54">
        <v>4.3</v>
      </c>
      <c r="P134" s="54">
        <v>0</v>
      </c>
      <c r="Q134" s="54">
        <v>0</v>
      </c>
      <c r="R134" s="54">
        <v>87</v>
      </c>
      <c r="S134" s="54">
        <v>0.1</v>
      </c>
      <c r="T134" s="54">
        <v>125</v>
      </c>
      <c r="U134" s="54">
        <v>48</v>
      </c>
      <c r="V134" s="54">
        <v>170</v>
      </c>
      <c r="W134" s="54">
        <v>105</v>
      </c>
      <c r="X134" s="54">
        <v>0.41</v>
      </c>
      <c r="Y134" s="54">
        <v>12</v>
      </c>
      <c r="Z134" s="51">
        <v>5.0000000000000001E-3</v>
      </c>
      <c r="AA134" s="54">
        <v>2</v>
      </c>
      <c r="AB134" s="54">
        <v>170</v>
      </c>
      <c r="AC134" s="54">
        <v>63</v>
      </c>
      <c r="AD134" s="51">
        <v>5.0000000000000001E-3</v>
      </c>
      <c r="AE134" s="54">
        <v>53</v>
      </c>
      <c r="AF134" s="54">
        <v>0.04</v>
      </c>
      <c r="AG134" s="54">
        <v>0.19</v>
      </c>
      <c r="AH134" s="54">
        <v>1</v>
      </c>
      <c r="AI134" s="54">
        <v>0.11</v>
      </c>
      <c r="AJ134" s="54">
        <v>0.1</v>
      </c>
      <c r="AK134" s="54">
        <v>18</v>
      </c>
      <c r="AL134" s="54">
        <v>0.5</v>
      </c>
      <c r="AM134" s="54">
        <v>2.6</v>
      </c>
      <c r="AN134" s="54">
        <v>0.2</v>
      </c>
      <c r="AO134" s="54">
        <v>34</v>
      </c>
      <c r="AP134" s="54">
        <v>31</v>
      </c>
      <c r="AQ134" s="54">
        <v>16</v>
      </c>
      <c r="AR134" s="54">
        <v>0.08</v>
      </c>
      <c r="AS134" s="54">
        <v>0.04</v>
      </c>
      <c r="AT134" s="55">
        <v>0.2</v>
      </c>
      <c r="AU134" s="54">
        <v>2.0699999999999998</v>
      </c>
      <c r="AV134" s="54">
        <v>0.33</v>
      </c>
      <c r="AW134" s="54">
        <v>0.12</v>
      </c>
      <c r="AX134" s="54">
        <v>0.36</v>
      </c>
      <c r="AY134" s="54">
        <v>0.92</v>
      </c>
      <c r="AZ134" s="54">
        <v>0.34</v>
      </c>
      <c r="BA134" s="65">
        <v>0</v>
      </c>
      <c r="BB134" s="65">
        <v>0</v>
      </c>
      <c r="BC134" s="54">
        <v>0.84</v>
      </c>
      <c r="BD134" s="54">
        <v>0</v>
      </c>
      <c r="BE134" s="54">
        <v>0.01</v>
      </c>
      <c r="BF134" s="54">
        <v>0.83</v>
      </c>
      <c r="BG134" s="65">
        <v>0</v>
      </c>
      <c r="BH134" s="65">
        <v>0</v>
      </c>
      <c r="BI134" s="54">
        <v>0.13</v>
      </c>
      <c r="BJ134" s="54">
        <v>0.08</v>
      </c>
      <c r="BK134" s="54">
        <v>0.05</v>
      </c>
      <c r="BL134" s="54">
        <v>0</v>
      </c>
      <c r="BM134" s="65">
        <v>0</v>
      </c>
      <c r="BN134" s="65">
        <v>0</v>
      </c>
      <c r="BO134" s="54">
        <v>0</v>
      </c>
      <c r="BP134" s="56">
        <v>40</v>
      </c>
      <c r="BQ134" s="56">
        <v>140</v>
      </c>
      <c r="BR134" s="56">
        <v>160</v>
      </c>
      <c r="BS134" s="56">
        <v>300</v>
      </c>
      <c r="BT134" s="56">
        <v>260</v>
      </c>
      <c r="BU134" s="56">
        <v>90</v>
      </c>
      <c r="BV134" s="56">
        <v>30</v>
      </c>
      <c r="BW134" s="56">
        <v>170</v>
      </c>
      <c r="BX134" s="56">
        <v>190</v>
      </c>
      <c r="BY134" s="56">
        <v>210</v>
      </c>
      <c r="BZ134" s="56">
        <v>110</v>
      </c>
      <c r="CA134" s="56">
        <v>90</v>
      </c>
      <c r="CB134" s="56">
        <v>110</v>
      </c>
      <c r="CC134" s="56">
        <v>260</v>
      </c>
      <c r="CD134" s="56">
        <v>640</v>
      </c>
      <c r="CE134" s="56">
        <v>70</v>
      </c>
      <c r="CF134" s="56">
        <v>300</v>
      </c>
      <c r="CG134" s="56">
        <v>180</v>
      </c>
      <c r="CH134" s="54">
        <v>0</v>
      </c>
      <c r="CI134" s="54">
        <v>0</v>
      </c>
      <c r="CJ134" s="54">
        <v>1.7</v>
      </c>
      <c r="CK134" s="54">
        <v>0</v>
      </c>
      <c r="CL134" s="54">
        <v>0</v>
      </c>
      <c r="CM134" s="54">
        <v>2.6</v>
      </c>
      <c r="CN134">
        <f t="shared" si="2724"/>
        <v>16.5</v>
      </c>
      <c r="CO134">
        <f t="shared" si="2725"/>
        <v>69.5</v>
      </c>
      <c r="CP134">
        <f t="shared" si="2726"/>
        <v>0.95</v>
      </c>
      <c r="CQ134">
        <f t="shared" si="2727"/>
        <v>0.95</v>
      </c>
      <c r="CR134">
        <f t="shared" si="2728"/>
        <v>0</v>
      </c>
      <c r="CS134">
        <f t="shared" si="2729"/>
        <v>0.97499999999999998</v>
      </c>
      <c r="CT134">
        <f t="shared" si="2730"/>
        <v>0.97499999999999998</v>
      </c>
      <c r="CU134">
        <f t="shared" si="2731"/>
        <v>0</v>
      </c>
      <c r="CV134">
        <f t="shared" si="2732"/>
        <v>2.75</v>
      </c>
      <c r="CW134">
        <f t="shared" si="2733"/>
        <v>1.075</v>
      </c>
      <c r="CX134">
        <f t="shared" si="2734"/>
        <v>0</v>
      </c>
      <c r="CY134">
        <f t="shared" si="2735"/>
        <v>1.075</v>
      </c>
      <c r="CZ134">
        <f t="shared" si="2736"/>
        <v>0</v>
      </c>
      <c r="DA134">
        <f t="shared" si="2737"/>
        <v>0</v>
      </c>
      <c r="DB134">
        <f t="shared" si="2738"/>
        <v>21.75</v>
      </c>
      <c r="DC134">
        <f t="shared" si="2739"/>
        <v>2.5000000000000001E-2</v>
      </c>
      <c r="DD134">
        <f t="shared" si="2740"/>
        <v>31.25</v>
      </c>
      <c r="DE134">
        <f t="shared" si="2741"/>
        <v>12</v>
      </c>
      <c r="DF134">
        <f t="shared" si="2742"/>
        <v>42.5</v>
      </c>
      <c r="DG134">
        <f t="shared" si="2743"/>
        <v>26.25</v>
      </c>
      <c r="DH134">
        <f t="shared" si="2744"/>
        <v>0.10249999999999999</v>
      </c>
      <c r="DI134">
        <f t="shared" si="2745"/>
        <v>3</v>
      </c>
      <c r="DJ134">
        <f t="shared" si="2746"/>
        <v>1.25E-3</v>
      </c>
      <c r="DK134">
        <f t="shared" si="2747"/>
        <v>0.5</v>
      </c>
      <c r="DL134">
        <f t="shared" si="2748"/>
        <v>42.5</v>
      </c>
      <c r="DM134">
        <f t="shared" si="2749"/>
        <v>15.75</v>
      </c>
      <c r="DN134">
        <f t="shared" si="2750"/>
        <v>1.25E-3</v>
      </c>
      <c r="DO134">
        <f t="shared" si="2751"/>
        <v>13.25</v>
      </c>
      <c r="DP134">
        <f t="shared" si="2752"/>
        <v>0.01</v>
      </c>
      <c r="DQ134">
        <f t="shared" si="2753"/>
        <v>4.7500000000000001E-2</v>
      </c>
      <c r="DR134">
        <f t="shared" si="2754"/>
        <v>0.25</v>
      </c>
      <c r="DS134">
        <f t="shared" si="2755"/>
        <v>2.75E-2</v>
      </c>
      <c r="DT134">
        <f t="shared" si="2756"/>
        <v>2.5000000000000001E-2</v>
      </c>
      <c r="DU134">
        <f t="shared" si="2757"/>
        <v>4.5</v>
      </c>
      <c r="DV134">
        <f t="shared" si="2758"/>
        <v>0.125</v>
      </c>
      <c r="DW134">
        <f t="shared" si="2759"/>
        <v>0.65</v>
      </c>
      <c r="DX134">
        <f t="shared" si="2760"/>
        <v>0.05</v>
      </c>
      <c r="DY134">
        <f t="shared" si="2761"/>
        <v>8.5</v>
      </c>
      <c r="DZ134">
        <f t="shared" si="2762"/>
        <v>7.75</v>
      </c>
      <c r="EA134">
        <f t="shared" si="2763"/>
        <v>4</v>
      </c>
      <c r="EB134">
        <f t="shared" si="2764"/>
        <v>0.02</v>
      </c>
      <c r="EC134">
        <f t="shared" si="2765"/>
        <v>0.01</v>
      </c>
      <c r="ED134">
        <f t="shared" si="2766"/>
        <v>0.05</v>
      </c>
      <c r="EE134">
        <f t="shared" si="2767"/>
        <v>0.51749999999999996</v>
      </c>
      <c r="EF134">
        <f t="shared" si="2768"/>
        <v>8.2500000000000004E-2</v>
      </c>
      <c r="EG134">
        <f t="shared" si="2769"/>
        <v>0.03</v>
      </c>
      <c r="EH134">
        <f t="shared" si="2770"/>
        <v>0.09</v>
      </c>
      <c r="EI134">
        <f t="shared" si="2771"/>
        <v>0.23</v>
      </c>
      <c r="EJ134">
        <f t="shared" si="2772"/>
        <v>8.5000000000000006E-2</v>
      </c>
      <c r="EK134">
        <f t="shared" si="2773"/>
        <v>0</v>
      </c>
      <c r="EL134">
        <f t="shared" si="2774"/>
        <v>0</v>
      </c>
      <c r="EM134">
        <f t="shared" si="2775"/>
        <v>0.21</v>
      </c>
      <c r="EN134">
        <f t="shared" si="2776"/>
        <v>0</v>
      </c>
      <c r="EO134">
        <f t="shared" si="2777"/>
        <v>2.5000000000000001E-3</v>
      </c>
      <c r="EP134">
        <f t="shared" si="2778"/>
        <v>0.20749999999999999</v>
      </c>
      <c r="EQ134">
        <f t="shared" si="2779"/>
        <v>0</v>
      </c>
      <c r="ER134">
        <f t="shared" si="2780"/>
        <v>0</v>
      </c>
      <c r="ES134">
        <f t="shared" si="2781"/>
        <v>3.2500000000000001E-2</v>
      </c>
      <c r="ET134">
        <f t="shared" si="2782"/>
        <v>0.02</v>
      </c>
      <c r="EU134">
        <f t="shared" si="2783"/>
        <v>1.2500000000000001E-2</v>
      </c>
      <c r="EV134">
        <f t="shared" si="2784"/>
        <v>0</v>
      </c>
      <c r="EW134">
        <f t="shared" si="2785"/>
        <v>0</v>
      </c>
      <c r="EX134">
        <f t="shared" si="2786"/>
        <v>0</v>
      </c>
      <c r="EY134">
        <f t="shared" si="2787"/>
        <v>0</v>
      </c>
      <c r="EZ134">
        <f t="shared" si="2788"/>
        <v>10</v>
      </c>
      <c r="FA134">
        <f t="shared" si="2789"/>
        <v>35</v>
      </c>
      <c r="FB134">
        <f t="shared" si="2790"/>
        <v>40</v>
      </c>
      <c r="FC134">
        <f t="shared" si="2791"/>
        <v>75</v>
      </c>
      <c r="FD134">
        <f t="shared" si="2792"/>
        <v>65</v>
      </c>
      <c r="FE134">
        <f t="shared" si="2793"/>
        <v>22.5</v>
      </c>
      <c r="FF134">
        <f t="shared" si="2794"/>
        <v>7.5</v>
      </c>
      <c r="FG134">
        <f t="shared" si="2795"/>
        <v>42.5</v>
      </c>
      <c r="FH134">
        <f t="shared" si="2796"/>
        <v>47.5</v>
      </c>
      <c r="FI134">
        <f t="shared" si="2797"/>
        <v>52.5</v>
      </c>
      <c r="FJ134">
        <f t="shared" si="2798"/>
        <v>27.5</v>
      </c>
      <c r="FK134">
        <f t="shared" si="2799"/>
        <v>22.5</v>
      </c>
      <c r="FL134">
        <f t="shared" si="2800"/>
        <v>27.5</v>
      </c>
      <c r="FM134">
        <f t="shared" si="2801"/>
        <v>65</v>
      </c>
      <c r="FN134">
        <f t="shared" si="2802"/>
        <v>160</v>
      </c>
      <c r="FO134">
        <f t="shared" si="2803"/>
        <v>17.5</v>
      </c>
      <c r="FP134">
        <f t="shared" si="2804"/>
        <v>75</v>
      </c>
      <c r="FQ134">
        <f t="shared" si="2805"/>
        <v>45</v>
      </c>
      <c r="FR134">
        <f t="shared" si="2806"/>
        <v>0</v>
      </c>
      <c r="FS134">
        <f t="shared" si="2807"/>
        <v>0</v>
      </c>
      <c r="FT134">
        <f t="shared" si="2808"/>
        <v>0.42499999999999999</v>
      </c>
      <c r="FU134">
        <f t="shared" si="2809"/>
        <v>0</v>
      </c>
      <c r="FV134">
        <f t="shared" si="2810"/>
        <v>0</v>
      </c>
      <c r="FW134">
        <f t="shared" si="2811"/>
        <v>0.65</v>
      </c>
    </row>
    <row r="135" spans="1:179" x14ac:dyDescent="0.35">
      <c r="C135">
        <f>SUM(C133:C134)</f>
        <v>100</v>
      </c>
      <c r="CN135">
        <f>SUM(CN133:CN134)</f>
        <v>171</v>
      </c>
      <c r="CO135">
        <f t="shared" ref="CO135:EZ135" si="2812">SUM(CO133:CO134)</f>
        <v>707</v>
      </c>
      <c r="CP135">
        <f t="shared" si="2812"/>
        <v>3.05</v>
      </c>
      <c r="CQ135">
        <f t="shared" si="2812"/>
        <v>3.05</v>
      </c>
      <c r="CR135">
        <f t="shared" si="2812"/>
        <v>0</v>
      </c>
      <c r="CS135">
        <f t="shared" si="2812"/>
        <v>15.975</v>
      </c>
      <c r="CT135">
        <f t="shared" si="2812"/>
        <v>15.975</v>
      </c>
      <c r="CU135">
        <f t="shared" si="2812"/>
        <v>0</v>
      </c>
      <c r="CV135">
        <f t="shared" si="2812"/>
        <v>52.25</v>
      </c>
      <c r="CW135">
        <f t="shared" si="2812"/>
        <v>4</v>
      </c>
      <c r="CX135">
        <f t="shared" si="2812"/>
        <v>0</v>
      </c>
      <c r="CY135">
        <f t="shared" si="2812"/>
        <v>4</v>
      </c>
      <c r="CZ135">
        <f t="shared" si="2812"/>
        <v>0</v>
      </c>
      <c r="DA135">
        <f t="shared" si="2812"/>
        <v>0</v>
      </c>
      <c r="DB135">
        <f t="shared" si="2812"/>
        <v>75.75</v>
      </c>
      <c r="DC135">
        <f t="shared" si="2812"/>
        <v>0.1</v>
      </c>
      <c r="DD135">
        <f t="shared" si="2812"/>
        <v>96.5</v>
      </c>
      <c r="DE135">
        <f t="shared" si="2812"/>
        <v>37.5</v>
      </c>
      <c r="DF135">
        <f t="shared" si="2812"/>
        <v>110.75</v>
      </c>
      <c r="DG135">
        <f t="shared" si="2812"/>
        <v>70.5</v>
      </c>
      <c r="DH135">
        <f t="shared" si="2812"/>
        <v>0.47749999999999998</v>
      </c>
      <c r="DI135">
        <f t="shared" si="2812"/>
        <v>9.75</v>
      </c>
      <c r="DJ135">
        <f t="shared" si="2812"/>
        <v>5.0000000000000001E-3</v>
      </c>
      <c r="DK135">
        <f t="shared" si="2812"/>
        <v>0.53749999999999998</v>
      </c>
      <c r="DL135">
        <f t="shared" si="2812"/>
        <v>102.5</v>
      </c>
      <c r="DM135">
        <f t="shared" si="2812"/>
        <v>18</v>
      </c>
      <c r="DN135">
        <f t="shared" si="2812"/>
        <v>5.0000000000000001E-3</v>
      </c>
      <c r="DO135">
        <f t="shared" si="2812"/>
        <v>31.25</v>
      </c>
      <c r="DP135">
        <f t="shared" si="2812"/>
        <v>3.2500000000000001E-2</v>
      </c>
      <c r="DQ135">
        <f t="shared" si="2812"/>
        <v>0.15250000000000002</v>
      </c>
      <c r="DR135">
        <f t="shared" si="2812"/>
        <v>1</v>
      </c>
      <c r="DS135">
        <f t="shared" si="2812"/>
        <v>0.10249999999999999</v>
      </c>
      <c r="DT135">
        <f t="shared" si="2812"/>
        <v>6.25E-2</v>
      </c>
      <c r="DU135">
        <f t="shared" si="2812"/>
        <v>9.75</v>
      </c>
      <c r="DV135">
        <f t="shared" si="2812"/>
        <v>0.33500000000000008</v>
      </c>
      <c r="DW135">
        <f t="shared" si="2812"/>
        <v>2</v>
      </c>
      <c r="DX135">
        <f t="shared" si="2812"/>
        <v>0.27500000000000002</v>
      </c>
      <c r="DY135">
        <f t="shared" si="2812"/>
        <v>172</v>
      </c>
      <c r="DZ135">
        <f t="shared" si="2812"/>
        <v>157.75</v>
      </c>
      <c r="EA135">
        <f t="shared" si="2812"/>
        <v>86.5</v>
      </c>
      <c r="EB135">
        <f t="shared" si="2812"/>
        <v>0.32</v>
      </c>
      <c r="EC135">
        <f t="shared" si="2812"/>
        <v>0.11500000000000002</v>
      </c>
      <c r="ED135">
        <f t="shared" si="2812"/>
        <v>1.325</v>
      </c>
      <c r="EE135">
        <f t="shared" si="2812"/>
        <v>9.2475000000000005</v>
      </c>
      <c r="EF135">
        <f t="shared" si="2812"/>
        <v>1.35</v>
      </c>
      <c r="EG135">
        <f t="shared" si="2812"/>
        <v>0.51300000000000001</v>
      </c>
      <c r="EH135">
        <f t="shared" si="2812"/>
        <v>1.6402500000000002</v>
      </c>
      <c r="EI135">
        <f t="shared" si="2812"/>
        <v>3.8202499999999997</v>
      </c>
      <c r="EJ135">
        <f t="shared" si="2812"/>
        <v>1.6352500000000001</v>
      </c>
      <c r="EK135">
        <f t="shared" si="2812"/>
        <v>0</v>
      </c>
      <c r="EL135">
        <f t="shared" si="2812"/>
        <v>0</v>
      </c>
      <c r="EM135">
        <f t="shared" si="2812"/>
        <v>4.8607499999999995</v>
      </c>
      <c r="EN135">
        <f t="shared" si="2812"/>
        <v>0.19425000000000001</v>
      </c>
      <c r="EO135">
        <f t="shared" si="2812"/>
        <v>0.373</v>
      </c>
      <c r="EP135">
        <f t="shared" si="2812"/>
        <v>4.0482500000000003</v>
      </c>
      <c r="EQ135">
        <f t="shared" si="2812"/>
        <v>0</v>
      </c>
      <c r="ER135">
        <f t="shared" si="2812"/>
        <v>0</v>
      </c>
      <c r="ES135">
        <f t="shared" si="2812"/>
        <v>0.4345</v>
      </c>
      <c r="ET135">
        <f t="shared" si="2812"/>
        <v>0.21425</v>
      </c>
      <c r="EU135">
        <f t="shared" si="2812"/>
        <v>0.21950000000000003</v>
      </c>
      <c r="EV135">
        <f t="shared" si="2812"/>
        <v>0</v>
      </c>
      <c r="EW135">
        <f t="shared" si="2812"/>
        <v>0</v>
      </c>
      <c r="EX135">
        <f t="shared" si="2812"/>
        <v>0</v>
      </c>
      <c r="EY135">
        <f t="shared" si="2812"/>
        <v>0</v>
      </c>
      <c r="EZ135">
        <f t="shared" si="2812"/>
        <v>41.5</v>
      </c>
      <c r="FA135">
        <f t="shared" ref="FA135:FW135" si="2813">SUM(FA133:FA134)</f>
        <v>139.25</v>
      </c>
      <c r="FB135">
        <f t="shared" si="2813"/>
        <v>162.25</v>
      </c>
      <c r="FC135">
        <f t="shared" si="2813"/>
        <v>300.75</v>
      </c>
      <c r="FD135">
        <f t="shared" si="2813"/>
        <v>238.25</v>
      </c>
      <c r="FE135">
        <f t="shared" si="2813"/>
        <v>74.25</v>
      </c>
      <c r="FF135">
        <f t="shared" si="2813"/>
        <v>30.75</v>
      </c>
      <c r="FG135">
        <f t="shared" si="2813"/>
        <v>154.25</v>
      </c>
      <c r="FH135">
        <f t="shared" si="2813"/>
        <v>137.5</v>
      </c>
      <c r="FI135">
        <f t="shared" si="2813"/>
        <v>201</v>
      </c>
      <c r="FJ135">
        <f t="shared" si="2813"/>
        <v>94.25</v>
      </c>
      <c r="FK135">
        <f t="shared" si="2813"/>
        <v>81.75</v>
      </c>
      <c r="FL135">
        <f t="shared" si="2813"/>
        <v>103.25</v>
      </c>
      <c r="FM135">
        <f t="shared" si="2813"/>
        <v>236</v>
      </c>
      <c r="FN135">
        <f t="shared" si="2813"/>
        <v>650.5</v>
      </c>
      <c r="FO135">
        <f t="shared" si="2813"/>
        <v>61.75</v>
      </c>
      <c r="FP135">
        <f t="shared" si="2813"/>
        <v>311.25</v>
      </c>
      <c r="FQ135">
        <f t="shared" si="2813"/>
        <v>174</v>
      </c>
      <c r="FR135">
        <f t="shared" si="2813"/>
        <v>0</v>
      </c>
      <c r="FS135">
        <f t="shared" si="2813"/>
        <v>0</v>
      </c>
      <c r="FT135">
        <f t="shared" si="2813"/>
        <v>0.42499999999999999</v>
      </c>
      <c r="FU135">
        <f t="shared" si="2813"/>
        <v>0</v>
      </c>
      <c r="FV135">
        <f t="shared" si="2813"/>
        <v>0</v>
      </c>
      <c r="FW135">
        <f t="shared" si="2813"/>
        <v>3.5749999999999997</v>
      </c>
    </row>
    <row r="137" spans="1:179" x14ac:dyDescent="0.35">
      <c r="A137" s="80" t="s">
        <v>338</v>
      </c>
      <c r="B137" s="36" t="s">
        <v>339</v>
      </c>
      <c r="C137">
        <v>57</v>
      </c>
      <c r="D137" s="6">
        <v>254</v>
      </c>
      <c r="E137" s="6">
        <v>1077</v>
      </c>
      <c r="F137" s="6">
        <v>8.1</v>
      </c>
      <c r="G137" s="6">
        <v>0</v>
      </c>
      <c r="H137" s="6">
        <v>8.1</v>
      </c>
      <c r="I137" s="6">
        <v>4.2</v>
      </c>
      <c r="J137" s="6">
        <v>0</v>
      </c>
      <c r="K137" s="6">
        <v>4.2</v>
      </c>
      <c r="L137" s="6">
        <v>0</v>
      </c>
      <c r="M137" s="6">
        <v>47.4</v>
      </c>
      <c r="N137" s="6">
        <v>41.8</v>
      </c>
      <c r="O137" s="6">
        <v>5.6</v>
      </c>
      <c r="P137" s="6">
        <v>3.2</v>
      </c>
      <c r="Q137" s="6">
        <v>0</v>
      </c>
      <c r="R137" s="6">
        <v>32.6</v>
      </c>
      <c r="S137" s="6">
        <v>3.6</v>
      </c>
      <c r="T137" s="6">
        <v>144</v>
      </c>
      <c r="U137" s="6">
        <v>520</v>
      </c>
      <c r="V137" s="6">
        <v>126</v>
      </c>
      <c r="W137" s="6">
        <v>98</v>
      </c>
      <c r="X137" s="6">
        <v>0.74</v>
      </c>
      <c r="Y137" s="6">
        <v>23</v>
      </c>
      <c r="Z137" s="6">
        <v>0.1</v>
      </c>
      <c r="AA137" s="6">
        <v>22</v>
      </c>
      <c r="AB137" s="6">
        <v>798</v>
      </c>
      <c r="AC137" s="6">
        <v>4</v>
      </c>
      <c r="AD137" s="6">
        <v>0.54</v>
      </c>
      <c r="AE137" s="6">
        <v>97</v>
      </c>
      <c r="AF137" s="6">
        <v>0.53</v>
      </c>
      <c r="AG137" s="6">
        <v>0.24</v>
      </c>
      <c r="AH137" s="6">
        <v>0</v>
      </c>
      <c r="AI137" s="6">
        <v>4.78</v>
      </c>
      <c r="AJ137" s="6">
        <v>0.09</v>
      </c>
      <c r="AK137" s="6">
        <v>25</v>
      </c>
      <c r="AL137" s="6">
        <v>0.54</v>
      </c>
      <c r="AM137" s="6">
        <v>1</v>
      </c>
      <c r="AN137" s="6">
        <v>0</v>
      </c>
      <c r="AO137" s="6">
        <v>0</v>
      </c>
      <c r="AP137" s="6">
        <v>0</v>
      </c>
      <c r="AQ137" s="6">
        <v>0</v>
      </c>
      <c r="AR137" s="6">
        <v>0.22</v>
      </c>
      <c r="AS137" s="6">
        <v>0</v>
      </c>
      <c r="AT137" s="6">
        <v>0.2</v>
      </c>
      <c r="AU137" s="6">
        <v>0.87</v>
      </c>
      <c r="AV137" s="6">
        <v>0.02</v>
      </c>
      <c r="AW137" s="6">
        <v>0.02</v>
      </c>
      <c r="AX137" s="6">
        <v>0.01</v>
      </c>
      <c r="AY137" s="6">
        <v>0.53</v>
      </c>
      <c r="AZ137" s="6">
        <v>0.27</v>
      </c>
      <c r="BA137" s="6">
        <v>0.01</v>
      </c>
      <c r="BB137" s="6">
        <v>0.01</v>
      </c>
      <c r="BC137" s="6">
        <v>0.76</v>
      </c>
      <c r="BD137" s="6">
        <v>0</v>
      </c>
      <c r="BE137" s="6">
        <v>0.02</v>
      </c>
      <c r="BF137" s="6">
        <v>0.72</v>
      </c>
      <c r="BG137" s="6">
        <v>0.01</v>
      </c>
      <c r="BH137" s="6">
        <v>0</v>
      </c>
      <c r="BI137" s="6">
        <v>2.02</v>
      </c>
      <c r="BJ137" s="6">
        <v>1.79</v>
      </c>
      <c r="BK137" s="6">
        <v>0.21</v>
      </c>
      <c r="BL137" s="51">
        <v>5.0000000000000001E-3</v>
      </c>
      <c r="BM137" s="51">
        <v>5.0000000000000001E-3</v>
      </c>
      <c r="BN137" s="6">
        <v>0</v>
      </c>
      <c r="BO137" s="6">
        <v>0.01</v>
      </c>
      <c r="BP137" s="7">
        <v>85.9304347826087</v>
      </c>
      <c r="BQ137" s="7">
        <v>236.52</v>
      </c>
      <c r="BR137" s="7">
        <v>317.52</v>
      </c>
      <c r="BS137" s="7">
        <v>590.24347826087001</v>
      </c>
      <c r="BT137" s="7">
        <v>184.68</v>
      </c>
      <c r="BU137" s="7">
        <v>130.41</v>
      </c>
      <c r="BV137" s="7">
        <v>195.21</v>
      </c>
      <c r="BW137" s="7">
        <v>424.72173913043503</v>
      </c>
      <c r="BX137" s="7">
        <v>269.06086956521699</v>
      </c>
      <c r="BY137" s="7">
        <v>373.41</v>
      </c>
      <c r="BZ137" s="7">
        <v>306.18</v>
      </c>
      <c r="CA137" s="7">
        <v>175.77</v>
      </c>
      <c r="CB137" s="7">
        <v>245.43</v>
      </c>
      <c r="CC137" s="7">
        <v>316.25217391304301</v>
      </c>
      <c r="CD137" s="7">
        <v>2907.09</v>
      </c>
      <c r="CE137" s="7">
        <v>293.22000000000003</v>
      </c>
      <c r="CF137" s="7">
        <v>981.72</v>
      </c>
      <c r="CG137" s="7">
        <v>403.38</v>
      </c>
      <c r="CH137" s="6">
        <v>1.6</v>
      </c>
      <c r="CI137" s="6">
        <v>2.4</v>
      </c>
      <c r="CJ137" s="6">
        <v>0</v>
      </c>
      <c r="CK137" s="6">
        <v>0</v>
      </c>
      <c r="CL137" s="6">
        <v>1.6</v>
      </c>
      <c r="CM137" s="6">
        <v>0</v>
      </c>
      <c r="CN137">
        <f t="shared" ref="CN137:CN139" si="2814">($C137*D137)/100</f>
        <v>144.78</v>
      </c>
      <c r="CO137">
        <f t="shared" ref="CO137:CO139" si="2815">($C137*E137)/100</f>
        <v>613.89</v>
      </c>
      <c r="CP137">
        <f t="shared" ref="CP137:CP139" si="2816">($C137*F137)/100</f>
        <v>4.617</v>
      </c>
      <c r="CQ137">
        <f t="shared" ref="CQ137:CQ139" si="2817">($C137*G137)/100</f>
        <v>0</v>
      </c>
      <c r="CR137">
        <f t="shared" ref="CR137:CR139" si="2818">($C137*H137)/100</f>
        <v>4.617</v>
      </c>
      <c r="CS137">
        <f t="shared" ref="CS137:CS139" si="2819">($C137*I137)/100</f>
        <v>2.3940000000000001</v>
      </c>
      <c r="CT137">
        <f t="shared" ref="CT137:CT139" si="2820">($C137*J137)/100</f>
        <v>0</v>
      </c>
      <c r="CU137">
        <f t="shared" ref="CU137:CU139" si="2821">($C137*K137)/100</f>
        <v>2.3940000000000001</v>
      </c>
      <c r="CV137">
        <f t="shared" ref="CV137:CV139" si="2822">($C137*L137)/100</f>
        <v>0</v>
      </c>
      <c r="CW137">
        <f t="shared" ref="CW137:CW139" si="2823">($C137*M137)/100</f>
        <v>27.017999999999997</v>
      </c>
      <c r="CX137">
        <f t="shared" ref="CX137:CX139" si="2824">($C137*N137)/100</f>
        <v>23.826000000000001</v>
      </c>
      <c r="CY137">
        <f t="shared" ref="CY137:CY139" si="2825">($C137*O137)/100</f>
        <v>3.1919999999999997</v>
      </c>
      <c r="CZ137">
        <f t="shared" ref="CZ137:CZ139" si="2826">($C137*P137)/100</f>
        <v>1.8240000000000001</v>
      </c>
      <c r="DA137">
        <f t="shared" ref="DA137:DA139" si="2827">($C137*Q137)/100</f>
        <v>0</v>
      </c>
      <c r="DB137">
        <f t="shared" ref="DB137:DB139" si="2828">($C137*R137)/100</f>
        <v>18.582000000000001</v>
      </c>
      <c r="DC137">
        <f t="shared" ref="DC137:DC139" si="2829">($C137*S137)/100</f>
        <v>2.052</v>
      </c>
      <c r="DD137">
        <f t="shared" ref="DD137:DD139" si="2830">($C137*T137)/100</f>
        <v>82.08</v>
      </c>
      <c r="DE137">
        <f t="shared" ref="DE137:DE139" si="2831">($C137*U137)/100</f>
        <v>296.39999999999998</v>
      </c>
      <c r="DF137">
        <f t="shared" ref="DF137:DF139" si="2832">($C137*V137)/100</f>
        <v>71.819999999999993</v>
      </c>
      <c r="DG137">
        <f t="shared" ref="DG137:DG139" si="2833">($C137*W137)/100</f>
        <v>55.86</v>
      </c>
      <c r="DH137">
        <f t="shared" ref="DH137:DH139" si="2834">($C137*X137)/100</f>
        <v>0.42180000000000001</v>
      </c>
      <c r="DI137">
        <f t="shared" ref="DI137:DI139" si="2835">($C137*Y137)/100</f>
        <v>13.11</v>
      </c>
      <c r="DJ137">
        <f t="shared" ref="DJ137:DJ139" si="2836">($C137*Z137)/100</f>
        <v>5.7000000000000002E-2</v>
      </c>
      <c r="DK137">
        <f t="shared" ref="DK137:DK139" si="2837">($C137*AA137)/100</f>
        <v>12.54</v>
      </c>
      <c r="DL137">
        <f t="shared" ref="DL137:DL139" si="2838">($C137*AB137)/100</f>
        <v>454.86</v>
      </c>
      <c r="DM137">
        <f t="shared" ref="DM137:DM139" si="2839">($C137*AC137)/100</f>
        <v>2.2799999999999998</v>
      </c>
      <c r="DN137">
        <f t="shared" ref="DN137:DN139" si="2840">($C137*AD137)/100</f>
        <v>0.30780000000000002</v>
      </c>
      <c r="DO137">
        <f t="shared" ref="DO137:DO139" si="2841">($C137*AE137)/100</f>
        <v>55.29</v>
      </c>
      <c r="DP137">
        <f t="shared" ref="DP137:DP139" si="2842">($C137*AF137)/100</f>
        <v>0.30210000000000004</v>
      </c>
      <c r="DQ137">
        <f t="shared" ref="DQ137:DQ139" si="2843">($C137*AG137)/100</f>
        <v>0.1368</v>
      </c>
      <c r="DR137">
        <f t="shared" ref="DR137:DR139" si="2844">($C137*AH137)/100</f>
        <v>0</v>
      </c>
      <c r="DS137">
        <f t="shared" ref="DS137:DS139" si="2845">($C137*AI137)/100</f>
        <v>2.7246000000000006</v>
      </c>
      <c r="DT137">
        <f t="shared" ref="DT137:DT139" si="2846">($C137*AJ137)/100</f>
        <v>5.1299999999999998E-2</v>
      </c>
      <c r="DU137">
        <f t="shared" ref="DU137:DU139" si="2847">($C137*AK137)/100</f>
        <v>14.25</v>
      </c>
      <c r="DV137">
        <f t="shared" ref="DV137:DV139" si="2848">($C137*AL137)/100</f>
        <v>0.30780000000000002</v>
      </c>
      <c r="DW137">
        <f t="shared" ref="DW137:DW139" si="2849">($C137*AM137)/100</f>
        <v>0.56999999999999995</v>
      </c>
      <c r="DX137">
        <f t="shared" ref="DX137:DX139" si="2850">($C137*AN137)/100</f>
        <v>0</v>
      </c>
      <c r="DY137">
        <f t="shared" ref="DY137:DY139" si="2851">($C137*AO137)/100</f>
        <v>0</v>
      </c>
      <c r="DZ137">
        <f t="shared" ref="DZ137:DZ139" si="2852">($C137*AP137)/100</f>
        <v>0</v>
      </c>
      <c r="EA137">
        <f t="shared" ref="EA137:EA139" si="2853">($C137*AQ137)/100</f>
        <v>0</v>
      </c>
      <c r="EB137">
        <f t="shared" ref="EB137:EB139" si="2854">($C137*AR137)/100</f>
        <v>0.12540000000000001</v>
      </c>
      <c r="EC137">
        <f t="shared" ref="EC137:EC139" si="2855">($C137*AS137)/100</f>
        <v>0</v>
      </c>
      <c r="ED137">
        <f t="shared" ref="ED137:ED139" si="2856">($C137*AT137)/100</f>
        <v>0.114</v>
      </c>
      <c r="EE137">
        <f t="shared" ref="EE137:EE139" si="2857">($C137*AU137)/100</f>
        <v>0.49589999999999995</v>
      </c>
      <c r="EF137">
        <f t="shared" ref="EF137:EF139" si="2858">($C137*AV137)/100</f>
        <v>1.14E-2</v>
      </c>
      <c r="EG137">
        <f t="shared" ref="EG137:EG139" si="2859">($C137*AW137)/100</f>
        <v>1.14E-2</v>
      </c>
      <c r="EH137">
        <f t="shared" ref="EH137:EH139" si="2860">($C137*AX137)/100</f>
        <v>5.7000000000000002E-3</v>
      </c>
      <c r="EI137">
        <f t="shared" ref="EI137:EI139" si="2861">($C137*AY137)/100</f>
        <v>0.30210000000000004</v>
      </c>
      <c r="EJ137">
        <f t="shared" ref="EJ137:EJ139" si="2862">($C137*AZ137)/100</f>
        <v>0.15390000000000001</v>
      </c>
      <c r="EK137">
        <f t="shared" ref="EK137:EK139" si="2863">($C137*BA137)/100</f>
        <v>5.7000000000000002E-3</v>
      </c>
      <c r="EL137">
        <f t="shared" ref="EL137:EL139" si="2864">($C137*BB137)/100</f>
        <v>5.7000000000000002E-3</v>
      </c>
      <c r="EM137">
        <f t="shared" ref="EM137:EM139" si="2865">($C137*BC137)/100</f>
        <v>0.43320000000000003</v>
      </c>
      <c r="EN137">
        <f t="shared" ref="EN137:EN139" si="2866">($C137*BD137)/100</f>
        <v>0</v>
      </c>
      <c r="EO137">
        <f t="shared" ref="EO137:EO139" si="2867">($C137*BE137)/100</f>
        <v>1.14E-2</v>
      </c>
      <c r="EP137">
        <f t="shared" ref="EP137:EP139" si="2868">($C137*BF137)/100</f>
        <v>0.41039999999999999</v>
      </c>
      <c r="EQ137">
        <f t="shared" ref="EQ137:EQ139" si="2869">($C137*BG137)/100</f>
        <v>5.7000000000000002E-3</v>
      </c>
      <c r="ER137">
        <f t="shared" ref="ER137:ER139" si="2870">($C137*BH137)/100</f>
        <v>0</v>
      </c>
      <c r="ES137">
        <f t="shared" ref="ES137:ES139" si="2871">($C137*BI137)/100</f>
        <v>1.1514</v>
      </c>
      <c r="ET137">
        <f t="shared" ref="ET137:ET139" si="2872">($C137*BJ137)/100</f>
        <v>1.0203</v>
      </c>
      <c r="EU137">
        <f t="shared" ref="EU137:EU139" si="2873">($C137*BK137)/100</f>
        <v>0.11969999999999999</v>
      </c>
      <c r="EV137">
        <f t="shared" ref="EV137:EV139" si="2874">($C137*BL137)/100</f>
        <v>2.8500000000000001E-3</v>
      </c>
      <c r="EW137">
        <f t="shared" ref="EW137:EW139" si="2875">($C137*BM137)/100</f>
        <v>2.8500000000000001E-3</v>
      </c>
      <c r="EX137">
        <f t="shared" ref="EX137:EX139" si="2876">($C137*BN137)/100</f>
        <v>0</v>
      </c>
      <c r="EY137">
        <f t="shared" ref="EY137:EY139" si="2877">($C137*BO137)/100</f>
        <v>5.7000000000000002E-3</v>
      </c>
      <c r="EZ137">
        <f t="shared" ref="EZ137:EZ139" si="2878">($C137*BP137)/100</f>
        <v>48.980347826086962</v>
      </c>
      <c r="FA137">
        <f t="shared" ref="FA137:FA139" si="2879">($C137*BQ137)/100</f>
        <v>134.81640000000002</v>
      </c>
      <c r="FB137">
        <f t="shared" ref="FB137:FB139" si="2880">($C137*BR137)/100</f>
        <v>180.9864</v>
      </c>
      <c r="FC137">
        <f t="shared" ref="FC137:FC139" si="2881">($C137*BS137)/100</f>
        <v>336.43878260869593</v>
      </c>
      <c r="FD137">
        <f t="shared" ref="FD137:FD139" si="2882">($C137*BT137)/100</f>
        <v>105.2676</v>
      </c>
      <c r="FE137">
        <f t="shared" ref="FE137:FE139" si="2883">($C137*BU137)/100</f>
        <v>74.333699999999993</v>
      </c>
      <c r="FF137">
        <f t="shared" ref="FF137:FF139" si="2884">($C137*BV137)/100</f>
        <v>111.26970000000001</v>
      </c>
      <c r="FG137">
        <f t="shared" ref="FG137:FG139" si="2885">($C137*BW137)/100</f>
        <v>242.09139130434795</v>
      </c>
      <c r="FH137">
        <f t="shared" ref="FH137:FH139" si="2886">($C137*BX137)/100</f>
        <v>153.36469565217368</v>
      </c>
      <c r="FI137">
        <f t="shared" ref="FI137:FI139" si="2887">($C137*BY137)/100</f>
        <v>212.84370000000001</v>
      </c>
      <c r="FJ137">
        <f t="shared" ref="FJ137:FJ139" si="2888">($C137*BZ137)/100</f>
        <v>174.52260000000001</v>
      </c>
      <c r="FK137">
        <f t="shared" ref="FK137:FK139" si="2889">($C137*CA137)/100</f>
        <v>100.18890000000002</v>
      </c>
      <c r="FL137">
        <f t="shared" ref="FL137:FL139" si="2890">($C137*CB137)/100</f>
        <v>139.89510000000001</v>
      </c>
      <c r="FM137">
        <f t="shared" ref="FM137:FM139" si="2891">($C137*CC137)/100</f>
        <v>180.26373913043452</v>
      </c>
      <c r="FN137">
        <f t="shared" ref="FN137:FN139" si="2892">($C137*CD137)/100</f>
        <v>1657.0413000000001</v>
      </c>
      <c r="FO137">
        <f t="shared" ref="FO137:FO139" si="2893">($C137*CE137)/100</f>
        <v>167.1354</v>
      </c>
      <c r="FP137">
        <f t="shared" ref="FP137:FP139" si="2894">($C137*CF137)/100</f>
        <v>559.58040000000005</v>
      </c>
      <c r="FQ137">
        <f t="shared" ref="FQ137:FQ139" si="2895">($C137*CG137)/100</f>
        <v>229.92660000000001</v>
      </c>
      <c r="FR137">
        <f t="shared" ref="FR137:FR139" si="2896">($C137*CH137)/100</f>
        <v>0.91200000000000003</v>
      </c>
      <c r="FS137">
        <f t="shared" ref="FS137:FS139" si="2897">($C137*CI137)/100</f>
        <v>1.3679999999999999</v>
      </c>
      <c r="FT137">
        <f t="shared" ref="FT137:FT139" si="2898">($C137*CJ137)/100</f>
        <v>0</v>
      </c>
      <c r="FU137">
        <f t="shared" ref="FU137:FU139" si="2899">($C137*CK137)/100</f>
        <v>0</v>
      </c>
      <c r="FV137">
        <f t="shared" ref="FV137:FV139" si="2900">($C137*CL137)/100</f>
        <v>0.91200000000000003</v>
      </c>
      <c r="FW137">
        <f t="shared" ref="FW137:FW139" si="2901">($C137*CM137)/100</f>
        <v>0</v>
      </c>
    </row>
    <row r="138" spans="1:179" x14ac:dyDescent="0.35">
      <c r="B138" s="36" t="s">
        <v>340</v>
      </c>
      <c r="C138">
        <v>14</v>
      </c>
      <c r="D138" s="6">
        <v>215</v>
      </c>
      <c r="E138" s="6">
        <v>895</v>
      </c>
      <c r="F138" s="6">
        <v>19.8</v>
      </c>
      <c r="G138" s="6">
        <v>19.8</v>
      </c>
      <c r="H138" s="6">
        <v>0</v>
      </c>
      <c r="I138" s="6">
        <v>14.7</v>
      </c>
      <c r="J138" s="6">
        <v>14.7</v>
      </c>
      <c r="K138" s="6">
        <v>0</v>
      </c>
      <c r="L138" s="6">
        <v>62</v>
      </c>
      <c r="M138" s="6">
        <v>0.9</v>
      </c>
      <c r="N138" s="6">
        <v>0</v>
      </c>
      <c r="O138" s="6">
        <v>0.9</v>
      </c>
      <c r="P138" s="6">
        <v>0</v>
      </c>
      <c r="Q138" s="6">
        <v>0</v>
      </c>
      <c r="R138" s="6">
        <v>62.2</v>
      </c>
      <c r="S138" s="6">
        <v>0.7</v>
      </c>
      <c r="T138" s="6">
        <v>6</v>
      </c>
      <c r="U138" s="6">
        <v>648</v>
      </c>
      <c r="V138" s="6">
        <v>227</v>
      </c>
      <c r="W138" s="6">
        <v>250</v>
      </c>
      <c r="X138" s="6">
        <v>2.6</v>
      </c>
      <c r="Y138" s="6">
        <v>16</v>
      </c>
      <c r="Z138" s="6">
        <v>7.0000000000000007E-2</v>
      </c>
      <c r="AA138" s="6">
        <v>5.6</v>
      </c>
      <c r="AB138" s="6">
        <v>1470</v>
      </c>
      <c r="AC138" s="6">
        <v>5</v>
      </c>
      <c r="AD138" s="6">
        <v>0.01</v>
      </c>
      <c r="AE138" s="6">
        <v>180</v>
      </c>
      <c r="AF138" s="6">
        <v>0.4</v>
      </c>
      <c r="AG138" s="6">
        <v>0.15</v>
      </c>
      <c r="AH138" s="51">
        <v>0.5</v>
      </c>
      <c r="AI138" s="6">
        <v>3.2</v>
      </c>
      <c r="AJ138" s="6">
        <v>0.61</v>
      </c>
      <c r="AK138" s="6">
        <v>19</v>
      </c>
      <c r="AL138" s="6">
        <v>1.03</v>
      </c>
      <c r="AM138" s="6">
        <v>3</v>
      </c>
      <c r="AN138" s="6">
        <v>1</v>
      </c>
      <c r="AO138" s="6">
        <v>0</v>
      </c>
      <c r="AP138" s="6">
        <v>0</v>
      </c>
      <c r="AQ138" s="6">
        <v>0</v>
      </c>
      <c r="AR138" s="6">
        <v>0.04</v>
      </c>
      <c r="AS138" s="6">
        <v>0.8</v>
      </c>
      <c r="AT138" s="6">
        <v>0</v>
      </c>
      <c r="AU138" s="6">
        <v>5.0999999999999996</v>
      </c>
      <c r="AV138" s="6">
        <v>0</v>
      </c>
      <c r="AW138" s="6">
        <v>0</v>
      </c>
      <c r="AX138" s="6">
        <v>0.15</v>
      </c>
      <c r="AY138" s="6">
        <v>2.4300000000000002</v>
      </c>
      <c r="AZ138" s="6">
        <v>1.54</v>
      </c>
      <c r="BA138" s="6">
        <v>0.04</v>
      </c>
      <c r="BB138" s="6">
        <v>0</v>
      </c>
      <c r="BC138" s="6">
        <v>6.05</v>
      </c>
      <c r="BD138" s="6">
        <v>0</v>
      </c>
      <c r="BE138" s="6">
        <v>0.33</v>
      </c>
      <c r="BF138" s="6">
        <v>5.16</v>
      </c>
      <c r="BG138" s="6">
        <v>0.35</v>
      </c>
      <c r="BH138" s="6">
        <v>0</v>
      </c>
      <c r="BI138" s="6">
        <v>2.4500000000000002</v>
      </c>
      <c r="BJ138" s="6">
        <v>1.89</v>
      </c>
      <c r="BK138" s="6">
        <v>0.16</v>
      </c>
      <c r="BL138" s="6">
        <v>0.35</v>
      </c>
      <c r="BM138" s="6">
        <v>0.04</v>
      </c>
      <c r="BN138" s="6">
        <v>0</v>
      </c>
      <c r="BO138" s="6">
        <v>0.01</v>
      </c>
      <c r="BP138" s="7">
        <v>208</v>
      </c>
      <c r="BQ138" s="7">
        <v>829</v>
      </c>
      <c r="BR138" s="7">
        <v>976</v>
      </c>
      <c r="BS138" s="7">
        <v>1695</v>
      </c>
      <c r="BT138" s="7">
        <v>1739</v>
      </c>
      <c r="BU138" s="7">
        <v>520</v>
      </c>
      <c r="BV138" s="7">
        <v>230</v>
      </c>
      <c r="BW138" s="7">
        <v>805</v>
      </c>
      <c r="BX138" s="7">
        <v>698</v>
      </c>
      <c r="BY138" s="7">
        <v>1186</v>
      </c>
      <c r="BZ138" s="7">
        <v>1265</v>
      </c>
      <c r="CA138" s="7">
        <v>720</v>
      </c>
      <c r="CB138" s="7">
        <v>1174</v>
      </c>
      <c r="CC138" s="7">
        <v>1973</v>
      </c>
      <c r="CD138" s="7">
        <v>3068</v>
      </c>
      <c r="CE138" s="7">
        <v>942</v>
      </c>
      <c r="CF138" s="7">
        <v>821</v>
      </c>
      <c r="CG138" s="7">
        <v>821</v>
      </c>
      <c r="CH138" s="6">
        <v>0.3</v>
      </c>
      <c r="CI138" s="6">
        <v>0.2</v>
      </c>
      <c r="CJ138" s="6">
        <v>0</v>
      </c>
      <c r="CK138" s="6">
        <v>0.3</v>
      </c>
      <c r="CL138" s="6">
        <v>0</v>
      </c>
      <c r="CM138" s="6">
        <v>0.2</v>
      </c>
      <c r="CN138">
        <f t="shared" si="2814"/>
        <v>30.1</v>
      </c>
      <c r="CO138">
        <f t="shared" si="2815"/>
        <v>125.3</v>
      </c>
      <c r="CP138">
        <f t="shared" si="2816"/>
        <v>2.7719999999999998</v>
      </c>
      <c r="CQ138">
        <f t="shared" si="2817"/>
        <v>2.7719999999999998</v>
      </c>
      <c r="CR138">
        <f t="shared" si="2818"/>
        <v>0</v>
      </c>
      <c r="CS138">
        <f t="shared" si="2819"/>
        <v>2.0579999999999998</v>
      </c>
      <c r="CT138">
        <f t="shared" si="2820"/>
        <v>2.0579999999999998</v>
      </c>
      <c r="CU138">
        <f t="shared" si="2821"/>
        <v>0</v>
      </c>
      <c r="CV138">
        <f t="shared" si="2822"/>
        <v>8.68</v>
      </c>
      <c r="CW138">
        <f t="shared" si="2823"/>
        <v>0.126</v>
      </c>
      <c r="CX138">
        <f t="shared" si="2824"/>
        <v>0</v>
      </c>
      <c r="CY138">
        <f t="shared" si="2825"/>
        <v>0.126</v>
      </c>
      <c r="CZ138">
        <f t="shared" si="2826"/>
        <v>0</v>
      </c>
      <c r="DA138">
        <f t="shared" si="2827"/>
        <v>0</v>
      </c>
      <c r="DB138">
        <f t="shared" si="2828"/>
        <v>8.7080000000000002</v>
      </c>
      <c r="DC138">
        <f t="shared" si="2829"/>
        <v>9.799999999999999E-2</v>
      </c>
      <c r="DD138">
        <f t="shared" si="2830"/>
        <v>0.84</v>
      </c>
      <c r="DE138">
        <f t="shared" si="2831"/>
        <v>90.72</v>
      </c>
      <c r="DF138">
        <f t="shared" si="2832"/>
        <v>31.78</v>
      </c>
      <c r="DG138">
        <f t="shared" si="2833"/>
        <v>35</v>
      </c>
      <c r="DH138">
        <f t="shared" si="2834"/>
        <v>0.36399999999999999</v>
      </c>
      <c r="DI138">
        <f t="shared" si="2835"/>
        <v>2.2400000000000002</v>
      </c>
      <c r="DJ138">
        <f t="shared" si="2836"/>
        <v>9.8000000000000014E-3</v>
      </c>
      <c r="DK138">
        <f t="shared" si="2837"/>
        <v>0.78399999999999992</v>
      </c>
      <c r="DL138">
        <f t="shared" si="2838"/>
        <v>205.8</v>
      </c>
      <c r="DM138">
        <f t="shared" si="2839"/>
        <v>0.7</v>
      </c>
      <c r="DN138">
        <f t="shared" si="2840"/>
        <v>1.4000000000000002E-3</v>
      </c>
      <c r="DO138">
        <f t="shared" si="2841"/>
        <v>25.2</v>
      </c>
      <c r="DP138">
        <f t="shared" si="2842"/>
        <v>5.6000000000000008E-2</v>
      </c>
      <c r="DQ138">
        <f t="shared" si="2843"/>
        <v>2.1000000000000001E-2</v>
      </c>
      <c r="DR138">
        <f t="shared" si="2844"/>
        <v>7.0000000000000007E-2</v>
      </c>
      <c r="DS138">
        <f t="shared" si="2845"/>
        <v>0.44800000000000006</v>
      </c>
      <c r="DT138">
        <f t="shared" si="2846"/>
        <v>8.539999999999999E-2</v>
      </c>
      <c r="DU138">
        <f t="shared" si="2847"/>
        <v>2.66</v>
      </c>
      <c r="DV138">
        <f t="shared" si="2848"/>
        <v>0.14419999999999999</v>
      </c>
      <c r="DW138">
        <f t="shared" si="2849"/>
        <v>0.42</v>
      </c>
      <c r="DX138">
        <f t="shared" si="2850"/>
        <v>0.14000000000000001</v>
      </c>
      <c r="DY138">
        <f t="shared" si="2851"/>
        <v>0</v>
      </c>
      <c r="DZ138">
        <f t="shared" si="2852"/>
        <v>0</v>
      </c>
      <c r="EA138">
        <f t="shared" si="2853"/>
        <v>0</v>
      </c>
      <c r="EB138">
        <f t="shared" si="2854"/>
        <v>5.6000000000000008E-3</v>
      </c>
      <c r="EC138">
        <f t="shared" si="2855"/>
        <v>0.11200000000000002</v>
      </c>
      <c r="ED138">
        <f t="shared" si="2856"/>
        <v>0</v>
      </c>
      <c r="EE138">
        <f t="shared" si="2857"/>
        <v>0.71399999999999997</v>
      </c>
      <c r="EF138">
        <f t="shared" si="2858"/>
        <v>0</v>
      </c>
      <c r="EG138">
        <f t="shared" si="2859"/>
        <v>0</v>
      </c>
      <c r="EH138">
        <f t="shared" si="2860"/>
        <v>2.1000000000000001E-2</v>
      </c>
      <c r="EI138">
        <f t="shared" si="2861"/>
        <v>0.34020000000000006</v>
      </c>
      <c r="EJ138">
        <f t="shared" si="2862"/>
        <v>0.21560000000000001</v>
      </c>
      <c r="EK138">
        <f t="shared" si="2863"/>
        <v>5.6000000000000008E-3</v>
      </c>
      <c r="EL138">
        <f t="shared" si="2864"/>
        <v>0</v>
      </c>
      <c r="EM138">
        <f t="shared" si="2865"/>
        <v>0.84699999999999998</v>
      </c>
      <c r="EN138">
        <f t="shared" si="2866"/>
        <v>0</v>
      </c>
      <c r="EO138">
        <f t="shared" si="2867"/>
        <v>4.6199999999999998E-2</v>
      </c>
      <c r="EP138">
        <f t="shared" si="2868"/>
        <v>0.72240000000000004</v>
      </c>
      <c r="EQ138">
        <f t="shared" si="2869"/>
        <v>4.8999999999999995E-2</v>
      </c>
      <c r="ER138">
        <f t="shared" si="2870"/>
        <v>0</v>
      </c>
      <c r="ES138">
        <f t="shared" si="2871"/>
        <v>0.34300000000000003</v>
      </c>
      <c r="ET138">
        <f t="shared" si="2872"/>
        <v>0.26459999999999995</v>
      </c>
      <c r="EU138">
        <f t="shared" si="2873"/>
        <v>2.2400000000000003E-2</v>
      </c>
      <c r="EV138">
        <f t="shared" si="2874"/>
        <v>4.8999999999999995E-2</v>
      </c>
      <c r="EW138">
        <f t="shared" si="2875"/>
        <v>5.6000000000000008E-3</v>
      </c>
      <c r="EX138">
        <f t="shared" si="2876"/>
        <v>0</v>
      </c>
      <c r="EY138">
        <f t="shared" si="2877"/>
        <v>1.4000000000000002E-3</v>
      </c>
      <c r="EZ138">
        <f t="shared" si="2878"/>
        <v>29.12</v>
      </c>
      <c r="FA138">
        <f t="shared" si="2879"/>
        <v>116.06</v>
      </c>
      <c r="FB138">
        <f t="shared" si="2880"/>
        <v>136.63999999999999</v>
      </c>
      <c r="FC138">
        <f t="shared" si="2881"/>
        <v>237.3</v>
      </c>
      <c r="FD138">
        <f t="shared" si="2882"/>
        <v>243.46</v>
      </c>
      <c r="FE138">
        <f t="shared" si="2883"/>
        <v>72.8</v>
      </c>
      <c r="FF138">
        <f t="shared" si="2884"/>
        <v>32.200000000000003</v>
      </c>
      <c r="FG138">
        <f t="shared" si="2885"/>
        <v>112.7</v>
      </c>
      <c r="FH138">
        <f t="shared" si="2886"/>
        <v>97.72</v>
      </c>
      <c r="FI138">
        <f t="shared" si="2887"/>
        <v>166.04</v>
      </c>
      <c r="FJ138">
        <f t="shared" si="2888"/>
        <v>177.1</v>
      </c>
      <c r="FK138">
        <f t="shared" si="2889"/>
        <v>100.8</v>
      </c>
      <c r="FL138">
        <f t="shared" si="2890"/>
        <v>164.36</v>
      </c>
      <c r="FM138">
        <f t="shared" si="2891"/>
        <v>276.22000000000003</v>
      </c>
      <c r="FN138">
        <f t="shared" si="2892"/>
        <v>429.52</v>
      </c>
      <c r="FO138">
        <f t="shared" si="2893"/>
        <v>131.88</v>
      </c>
      <c r="FP138">
        <f t="shared" si="2894"/>
        <v>114.94</v>
      </c>
      <c r="FQ138">
        <f t="shared" si="2895"/>
        <v>114.94</v>
      </c>
      <c r="FR138">
        <f t="shared" si="2896"/>
        <v>4.2000000000000003E-2</v>
      </c>
      <c r="FS138">
        <f t="shared" si="2897"/>
        <v>2.8000000000000004E-2</v>
      </c>
      <c r="FT138">
        <f t="shared" si="2898"/>
        <v>0</v>
      </c>
      <c r="FU138">
        <f t="shared" si="2899"/>
        <v>4.2000000000000003E-2</v>
      </c>
      <c r="FV138">
        <f t="shared" si="2900"/>
        <v>0</v>
      </c>
      <c r="FW138">
        <f t="shared" si="2901"/>
        <v>2.8000000000000004E-2</v>
      </c>
    </row>
    <row r="139" spans="1:179" x14ac:dyDescent="0.35">
      <c r="B139" s="36" t="s">
        <v>314</v>
      </c>
      <c r="C139">
        <v>29</v>
      </c>
      <c r="D139" s="54">
        <v>330</v>
      </c>
      <c r="E139" s="54">
        <v>1367</v>
      </c>
      <c r="F139" s="54">
        <v>20.8</v>
      </c>
      <c r="G139" s="54">
        <v>20.8</v>
      </c>
      <c r="H139" s="54">
        <v>0</v>
      </c>
      <c r="I139" s="54">
        <v>27</v>
      </c>
      <c r="J139" s="54">
        <v>27</v>
      </c>
      <c r="K139" s="54">
        <v>0</v>
      </c>
      <c r="L139" s="54">
        <v>85</v>
      </c>
      <c r="M139" s="54">
        <v>0.9</v>
      </c>
      <c r="N139" s="54">
        <v>0</v>
      </c>
      <c r="O139" s="54">
        <v>0.9</v>
      </c>
      <c r="P139" s="54">
        <v>0</v>
      </c>
      <c r="Q139" s="54">
        <v>0</v>
      </c>
      <c r="R139" s="54">
        <v>45.7</v>
      </c>
      <c r="S139" s="54">
        <v>0.5</v>
      </c>
      <c r="T139" s="54">
        <v>600</v>
      </c>
      <c r="U139" s="54">
        <v>1320</v>
      </c>
      <c r="V139" s="54">
        <v>130</v>
      </c>
      <c r="W139" s="54">
        <v>800</v>
      </c>
      <c r="X139" s="54">
        <v>3.2</v>
      </c>
      <c r="Y139" s="54">
        <v>22</v>
      </c>
      <c r="Z139" s="54">
        <v>0.17</v>
      </c>
      <c r="AA139" s="54">
        <v>10</v>
      </c>
      <c r="AB139" s="54">
        <v>1100</v>
      </c>
      <c r="AC139" s="54">
        <v>29</v>
      </c>
      <c r="AD139" s="51">
        <v>5.0000000000000001E-3</v>
      </c>
      <c r="AE139" s="54">
        <v>120</v>
      </c>
      <c r="AF139" s="54">
        <v>0.03</v>
      </c>
      <c r="AG139" s="54">
        <v>0.28000000000000003</v>
      </c>
      <c r="AH139" s="51">
        <v>0.5</v>
      </c>
      <c r="AI139" s="54">
        <v>0.1</v>
      </c>
      <c r="AJ139" s="54">
        <v>0.08</v>
      </c>
      <c r="AK139" s="54">
        <v>18</v>
      </c>
      <c r="AL139" s="54">
        <v>0.31</v>
      </c>
      <c r="AM139" s="54">
        <v>2.2999999999999998</v>
      </c>
      <c r="AN139" s="54">
        <v>0.9</v>
      </c>
      <c r="AO139" s="54">
        <v>286</v>
      </c>
      <c r="AP139" s="54">
        <v>270</v>
      </c>
      <c r="AQ139" s="54">
        <v>95</v>
      </c>
      <c r="AR139" s="54">
        <v>0.55000000000000004</v>
      </c>
      <c r="AS139" s="54">
        <v>0.21</v>
      </c>
      <c r="AT139" s="55">
        <v>1.39</v>
      </c>
      <c r="AU139" s="54">
        <v>16.135000000000002</v>
      </c>
      <c r="AV139" s="54">
        <v>2.3439999999999999</v>
      </c>
      <c r="AW139" s="54">
        <v>0.89600000000000002</v>
      </c>
      <c r="AX139" s="54">
        <v>2.8620000000000001</v>
      </c>
      <c r="AY139" s="54">
        <v>6.6310000000000002</v>
      </c>
      <c r="AZ139" s="54">
        <v>2.8620000000000001</v>
      </c>
      <c r="BA139" s="65">
        <v>0</v>
      </c>
      <c r="BB139" s="65">
        <v>0</v>
      </c>
      <c r="BC139" s="54">
        <v>8.6080000000000005</v>
      </c>
      <c r="BD139" s="54">
        <v>0.35599999999999998</v>
      </c>
      <c r="BE139" s="54">
        <v>0.69099999999999995</v>
      </c>
      <c r="BF139" s="54">
        <v>7.0960000000000001</v>
      </c>
      <c r="BG139" s="54">
        <v>0</v>
      </c>
      <c r="BH139" s="54">
        <v>0</v>
      </c>
      <c r="BI139" s="54">
        <v>0.73399999999999999</v>
      </c>
      <c r="BJ139" s="54">
        <v>0.35599999999999998</v>
      </c>
      <c r="BK139" s="54">
        <v>0.378</v>
      </c>
      <c r="BL139" s="54">
        <v>0</v>
      </c>
      <c r="BM139" s="54">
        <v>0</v>
      </c>
      <c r="BN139" s="54">
        <v>0</v>
      </c>
      <c r="BO139" s="54">
        <v>0</v>
      </c>
      <c r="BP139" s="56">
        <v>303</v>
      </c>
      <c r="BQ139" s="56">
        <v>675</v>
      </c>
      <c r="BR139" s="56">
        <v>962</v>
      </c>
      <c r="BS139" s="56">
        <v>1839</v>
      </c>
      <c r="BT139" s="56">
        <v>2064</v>
      </c>
      <c r="BU139" s="56">
        <v>538</v>
      </c>
      <c r="BV139" s="56">
        <v>133</v>
      </c>
      <c r="BW139" s="56">
        <v>1056</v>
      </c>
      <c r="BX139" s="56">
        <v>1138</v>
      </c>
      <c r="BY139" s="56">
        <v>1245</v>
      </c>
      <c r="BZ139" s="56">
        <v>871</v>
      </c>
      <c r="CA139" s="56">
        <v>848</v>
      </c>
      <c r="CB139" s="56">
        <v>521</v>
      </c>
      <c r="CC139" s="56">
        <v>1278</v>
      </c>
      <c r="CD139" s="56">
        <v>4317</v>
      </c>
      <c r="CE139" s="56">
        <v>343</v>
      </c>
      <c r="CF139" s="56">
        <v>2116</v>
      </c>
      <c r="CG139" s="56">
        <v>1004</v>
      </c>
      <c r="CH139" s="54">
        <v>0</v>
      </c>
      <c r="CI139" s="54">
        <v>0</v>
      </c>
      <c r="CJ139" s="54">
        <v>0</v>
      </c>
      <c r="CK139" s="54">
        <v>0</v>
      </c>
      <c r="CL139" s="54">
        <v>0</v>
      </c>
      <c r="CM139" s="54">
        <v>0.9</v>
      </c>
      <c r="CN139">
        <f t="shared" si="2814"/>
        <v>95.7</v>
      </c>
      <c r="CO139">
        <f t="shared" si="2815"/>
        <v>396.43</v>
      </c>
      <c r="CP139">
        <f t="shared" si="2816"/>
        <v>6.032</v>
      </c>
      <c r="CQ139">
        <f t="shared" si="2817"/>
        <v>6.032</v>
      </c>
      <c r="CR139">
        <f t="shared" si="2818"/>
        <v>0</v>
      </c>
      <c r="CS139">
        <f t="shared" si="2819"/>
        <v>7.83</v>
      </c>
      <c r="CT139">
        <f t="shared" si="2820"/>
        <v>7.83</v>
      </c>
      <c r="CU139">
        <f t="shared" si="2821"/>
        <v>0</v>
      </c>
      <c r="CV139">
        <f t="shared" si="2822"/>
        <v>24.65</v>
      </c>
      <c r="CW139">
        <f t="shared" si="2823"/>
        <v>0.26100000000000001</v>
      </c>
      <c r="CX139">
        <f t="shared" si="2824"/>
        <v>0</v>
      </c>
      <c r="CY139">
        <f t="shared" si="2825"/>
        <v>0.26100000000000001</v>
      </c>
      <c r="CZ139">
        <f t="shared" si="2826"/>
        <v>0</v>
      </c>
      <c r="DA139">
        <f t="shared" si="2827"/>
        <v>0</v>
      </c>
      <c r="DB139">
        <f t="shared" si="2828"/>
        <v>13.253000000000002</v>
      </c>
      <c r="DC139">
        <f t="shared" si="2829"/>
        <v>0.14499999999999999</v>
      </c>
      <c r="DD139">
        <f t="shared" si="2830"/>
        <v>174</v>
      </c>
      <c r="DE139">
        <f t="shared" si="2831"/>
        <v>382.8</v>
      </c>
      <c r="DF139">
        <f t="shared" si="2832"/>
        <v>37.700000000000003</v>
      </c>
      <c r="DG139">
        <f t="shared" si="2833"/>
        <v>232</v>
      </c>
      <c r="DH139">
        <f t="shared" si="2834"/>
        <v>0.92800000000000016</v>
      </c>
      <c r="DI139">
        <f t="shared" si="2835"/>
        <v>6.38</v>
      </c>
      <c r="DJ139">
        <f t="shared" si="2836"/>
        <v>4.9300000000000004E-2</v>
      </c>
      <c r="DK139">
        <f t="shared" si="2837"/>
        <v>2.9</v>
      </c>
      <c r="DL139">
        <f t="shared" si="2838"/>
        <v>319</v>
      </c>
      <c r="DM139">
        <f t="shared" si="2839"/>
        <v>8.41</v>
      </c>
      <c r="DN139">
        <f t="shared" si="2840"/>
        <v>1.4499999999999999E-3</v>
      </c>
      <c r="DO139">
        <f t="shared" si="2841"/>
        <v>34.799999999999997</v>
      </c>
      <c r="DP139">
        <f t="shared" si="2842"/>
        <v>8.6999999999999994E-3</v>
      </c>
      <c r="DQ139">
        <f t="shared" si="2843"/>
        <v>8.1200000000000008E-2</v>
      </c>
      <c r="DR139">
        <f t="shared" si="2844"/>
        <v>0.14499999999999999</v>
      </c>
      <c r="DS139">
        <f t="shared" si="2845"/>
        <v>2.9000000000000005E-2</v>
      </c>
      <c r="DT139">
        <f t="shared" si="2846"/>
        <v>2.3199999999999998E-2</v>
      </c>
      <c r="DU139">
        <f t="shared" si="2847"/>
        <v>5.22</v>
      </c>
      <c r="DV139">
        <f t="shared" si="2848"/>
        <v>8.9900000000000008E-2</v>
      </c>
      <c r="DW139">
        <f t="shared" si="2849"/>
        <v>0.66699999999999993</v>
      </c>
      <c r="DX139">
        <f t="shared" si="2850"/>
        <v>0.26100000000000001</v>
      </c>
      <c r="DY139">
        <f t="shared" si="2851"/>
        <v>82.94</v>
      </c>
      <c r="DZ139">
        <f t="shared" si="2852"/>
        <v>78.3</v>
      </c>
      <c r="EA139">
        <f t="shared" si="2853"/>
        <v>27.55</v>
      </c>
      <c r="EB139">
        <f t="shared" si="2854"/>
        <v>0.1595</v>
      </c>
      <c r="EC139">
        <f t="shared" si="2855"/>
        <v>6.0899999999999996E-2</v>
      </c>
      <c r="ED139">
        <f t="shared" si="2856"/>
        <v>0.40309999999999996</v>
      </c>
      <c r="EE139">
        <f t="shared" si="2857"/>
        <v>4.6791499999999999</v>
      </c>
      <c r="EF139">
        <f t="shared" si="2858"/>
        <v>0.67976000000000003</v>
      </c>
      <c r="EG139">
        <f t="shared" si="2859"/>
        <v>0.25984000000000002</v>
      </c>
      <c r="EH139">
        <f t="shared" si="2860"/>
        <v>0.82998000000000005</v>
      </c>
      <c r="EI139">
        <f t="shared" si="2861"/>
        <v>1.92299</v>
      </c>
      <c r="EJ139">
        <f t="shared" si="2862"/>
        <v>0.82998000000000005</v>
      </c>
      <c r="EK139">
        <f t="shared" si="2863"/>
        <v>0</v>
      </c>
      <c r="EL139">
        <f t="shared" si="2864"/>
        <v>0</v>
      </c>
      <c r="EM139">
        <f t="shared" si="2865"/>
        <v>2.4963199999999999</v>
      </c>
      <c r="EN139">
        <f t="shared" si="2866"/>
        <v>0.10324</v>
      </c>
      <c r="EO139">
        <f t="shared" si="2867"/>
        <v>0.20038999999999998</v>
      </c>
      <c r="EP139">
        <f t="shared" si="2868"/>
        <v>2.0578400000000001</v>
      </c>
      <c r="EQ139">
        <f t="shared" si="2869"/>
        <v>0</v>
      </c>
      <c r="ER139">
        <f t="shared" si="2870"/>
        <v>0</v>
      </c>
      <c r="ES139">
        <f t="shared" si="2871"/>
        <v>0.21286000000000002</v>
      </c>
      <c r="ET139">
        <f t="shared" si="2872"/>
        <v>0.10324</v>
      </c>
      <c r="EU139">
        <f t="shared" si="2873"/>
        <v>0.10962</v>
      </c>
      <c r="EV139">
        <f t="shared" si="2874"/>
        <v>0</v>
      </c>
      <c r="EW139">
        <f t="shared" si="2875"/>
        <v>0</v>
      </c>
      <c r="EX139">
        <f t="shared" si="2876"/>
        <v>0</v>
      </c>
      <c r="EY139">
        <f t="shared" si="2877"/>
        <v>0</v>
      </c>
      <c r="EZ139">
        <f t="shared" si="2878"/>
        <v>87.87</v>
      </c>
      <c r="FA139">
        <f t="shared" si="2879"/>
        <v>195.75</v>
      </c>
      <c r="FB139">
        <f t="shared" si="2880"/>
        <v>278.98</v>
      </c>
      <c r="FC139">
        <f t="shared" si="2881"/>
        <v>533.30999999999995</v>
      </c>
      <c r="FD139">
        <f t="shared" si="2882"/>
        <v>598.55999999999995</v>
      </c>
      <c r="FE139">
        <f t="shared" si="2883"/>
        <v>156.02000000000001</v>
      </c>
      <c r="FF139">
        <f t="shared" si="2884"/>
        <v>38.57</v>
      </c>
      <c r="FG139">
        <f t="shared" si="2885"/>
        <v>306.24</v>
      </c>
      <c r="FH139">
        <f t="shared" si="2886"/>
        <v>330.02</v>
      </c>
      <c r="FI139">
        <f t="shared" si="2887"/>
        <v>361.05</v>
      </c>
      <c r="FJ139">
        <f t="shared" si="2888"/>
        <v>252.59</v>
      </c>
      <c r="FK139">
        <f t="shared" si="2889"/>
        <v>245.92</v>
      </c>
      <c r="FL139">
        <f t="shared" si="2890"/>
        <v>151.09</v>
      </c>
      <c r="FM139">
        <f t="shared" si="2891"/>
        <v>370.62</v>
      </c>
      <c r="FN139">
        <f t="shared" si="2892"/>
        <v>1251.93</v>
      </c>
      <c r="FO139">
        <f t="shared" si="2893"/>
        <v>99.47</v>
      </c>
      <c r="FP139">
        <f t="shared" si="2894"/>
        <v>613.64</v>
      </c>
      <c r="FQ139">
        <f t="shared" si="2895"/>
        <v>291.16000000000003</v>
      </c>
      <c r="FR139">
        <f t="shared" si="2896"/>
        <v>0</v>
      </c>
      <c r="FS139">
        <f t="shared" si="2897"/>
        <v>0</v>
      </c>
      <c r="FT139">
        <f t="shared" si="2898"/>
        <v>0</v>
      </c>
      <c r="FU139">
        <f t="shared" si="2899"/>
        <v>0</v>
      </c>
      <c r="FV139">
        <f t="shared" si="2900"/>
        <v>0</v>
      </c>
      <c r="FW139">
        <f t="shared" si="2901"/>
        <v>0.26100000000000001</v>
      </c>
    </row>
    <row r="140" spans="1:179" x14ac:dyDescent="0.35">
      <c r="C140">
        <f>SUM(C137:C139)</f>
        <v>100</v>
      </c>
      <c r="CN140">
        <f>SUM(CN137:CN139)</f>
        <v>270.58</v>
      </c>
      <c r="CO140">
        <f t="shared" ref="CO140:EZ140" si="2902">SUM(CO137:CO139)</f>
        <v>1135.6199999999999</v>
      </c>
      <c r="CP140">
        <f t="shared" si="2902"/>
        <v>13.420999999999999</v>
      </c>
      <c r="CQ140">
        <f t="shared" si="2902"/>
        <v>8.8040000000000003</v>
      </c>
      <c r="CR140">
        <f t="shared" si="2902"/>
        <v>4.617</v>
      </c>
      <c r="CS140">
        <f t="shared" si="2902"/>
        <v>12.282</v>
      </c>
      <c r="CT140">
        <f t="shared" si="2902"/>
        <v>9.8879999999999999</v>
      </c>
      <c r="CU140">
        <f t="shared" si="2902"/>
        <v>2.3940000000000001</v>
      </c>
      <c r="CV140">
        <f t="shared" si="2902"/>
        <v>33.33</v>
      </c>
      <c r="CW140">
        <f t="shared" si="2902"/>
        <v>27.404999999999998</v>
      </c>
      <c r="CX140">
        <f t="shared" si="2902"/>
        <v>23.826000000000001</v>
      </c>
      <c r="CY140">
        <f t="shared" si="2902"/>
        <v>3.5789999999999997</v>
      </c>
      <c r="CZ140">
        <f t="shared" si="2902"/>
        <v>1.8240000000000001</v>
      </c>
      <c r="DA140">
        <f t="shared" si="2902"/>
        <v>0</v>
      </c>
      <c r="DB140">
        <f t="shared" si="2902"/>
        <v>40.542999999999999</v>
      </c>
      <c r="DC140">
        <f t="shared" si="2902"/>
        <v>2.2949999999999999</v>
      </c>
      <c r="DD140">
        <f t="shared" si="2902"/>
        <v>256.92</v>
      </c>
      <c r="DE140">
        <f t="shared" si="2902"/>
        <v>769.92000000000007</v>
      </c>
      <c r="DF140">
        <f t="shared" si="2902"/>
        <v>141.30000000000001</v>
      </c>
      <c r="DG140">
        <f t="shared" si="2902"/>
        <v>322.86</v>
      </c>
      <c r="DH140">
        <f t="shared" si="2902"/>
        <v>1.7138000000000002</v>
      </c>
      <c r="DI140">
        <f t="shared" si="2902"/>
        <v>21.73</v>
      </c>
      <c r="DJ140">
        <f t="shared" si="2902"/>
        <v>0.11610000000000001</v>
      </c>
      <c r="DK140">
        <f t="shared" si="2902"/>
        <v>16.224</v>
      </c>
      <c r="DL140">
        <f t="shared" si="2902"/>
        <v>979.66000000000008</v>
      </c>
      <c r="DM140">
        <f t="shared" si="2902"/>
        <v>11.39</v>
      </c>
      <c r="DN140">
        <f t="shared" si="2902"/>
        <v>0.31065000000000004</v>
      </c>
      <c r="DO140">
        <f t="shared" si="2902"/>
        <v>115.28999999999999</v>
      </c>
      <c r="DP140">
        <f t="shared" si="2902"/>
        <v>0.36680000000000001</v>
      </c>
      <c r="DQ140">
        <f t="shared" si="2902"/>
        <v>0.23899999999999999</v>
      </c>
      <c r="DR140">
        <f t="shared" si="2902"/>
        <v>0.215</v>
      </c>
      <c r="DS140">
        <f t="shared" si="2902"/>
        <v>3.2016000000000004</v>
      </c>
      <c r="DT140">
        <f t="shared" si="2902"/>
        <v>0.15989999999999999</v>
      </c>
      <c r="DU140">
        <f t="shared" si="2902"/>
        <v>22.13</v>
      </c>
      <c r="DV140">
        <f t="shared" si="2902"/>
        <v>0.54190000000000005</v>
      </c>
      <c r="DW140">
        <f t="shared" si="2902"/>
        <v>1.657</v>
      </c>
      <c r="DX140">
        <f t="shared" si="2902"/>
        <v>0.40100000000000002</v>
      </c>
      <c r="DY140">
        <f t="shared" si="2902"/>
        <v>82.94</v>
      </c>
      <c r="DZ140">
        <f t="shared" si="2902"/>
        <v>78.3</v>
      </c>
      <c r="EA140">
        <f t="shared" si="2902"/>
        <v>27.55</v>
      </c>
      <c r="EB140">
        <f t="shared" si="2902"/>
        <v>0.29049999999999998</v>
      </c>
      <c r="EC140">
        <f t="shared" si="2902"/>
        <v>0.1729</v>
      </c>
      <c r="ED140">
        <f t="shared" si="2902"/>
        <v>0.5171</v>
      </c>
      <c r="EE140">
        <f t="shared" si="2902"/>
        <v>5.8890500000000001</v>
      </c>
      <c r="EF140">
        <f t="shared" si="2902"/>
        <v>0.69116</v>
      </c>
      <c r="EG140">
        <f t="shared" si="2902"/>
        <v>0.27124000000000004</v>
      </c>
      <c r="EH140">
        <f t="shared" si="2902"/>
        <v>0.85668000000000011</v>
      </c>
      <c r="EI140">
        <f t="shared" si="2902"/>
        <v>2.5652900000000001</v>
      </c>
      <c r="EJ140">
        <f t="shared" si="2902"/>
        <v>1.1994800000000001</v>
      </c>
      <c r="EK140">
        <f t="shared" si="2902"/>
        <v>1.1300000000000001E-2</v>
      </c>
      <c r="EL140">
        <f t="shared" si="2902"/>
        <v>5.7000000000000002E-3</v>
      </c>
      <c r="EM140">
        <f t="shared" si="2902"/>
        <v>3.7765199999999997</v>
      </c>
      <c r="EN140">
        <f t="shared" si="2902"/>
        <v>0.10324</v>
      </c>
      <c r="EO140">
        <f t="shared" si="2902"/>
        <v>0.25799</v>
      </c>
      <c r="EP140">
        <f t="shared" si="2902"/>
        <v>3.1906400000000001</v>
      </c>
      <c r="EQ140">
        <f t="shared" si="2902"/>
        <v>5.4699999999999999E-2</v>
      </c>
      <c r="ER140">
        <f t="shared" si="2902"/>
        <v>0</v>
      </c>
      <c r="ES140">
        <f t="shared" si="2902"/>
        <v>1.70726</v>
      </c>
      <c r="ET140">
        <f t="shared" si="2902"/>
        <v>1.3881399999999999</v>
      </c>
      <c r="EU140">
        <f t="shared" si="2902"/>
        <v>0.25172</v>
      </c>
      <c r="EV140">
        <f t="shared" si="2902"/>
        <v>5.1849999999999993E-2</v>
      </c>
      <c r="EW140">
        <f t="shared" si="2902"/>
        <v>8.4500000000000009E-3</v>
      </c>
      <c r="EX140">
        <f t="shared" si="2902"/>
        <v>0</v>
      </c>
      <c r="EY140">
        <f t="shared" si="2902"/>
        <v>7.1000000000000004E-3</v>
      </c>
      <c r="EZ140">
        <f t="shared" si="2902"/>
        <v>165.97034782608696</v>
      </c>
      <c r="FA140">
        <f t="shared" ref="FA140:FW140" si="2903">SUM(FA137:FA139)</f>
        <v>446.62639999999999</v>
      </c>
      <c r="FB140">
        <f t="shared" si="2903"/>
        <v>596.60640000000001</v>
      </c>
      <c r="FC140">
        <f t="shared" si="2903"/>
        <v>1107.048782608696</v>
      </c>
      <c r="FD140">
        <f t="shared" si="2903"/>
        <v>947.28759999999988</v>
      </c>
      <c r="FE140">
        <f t="shared" si="2903"/>
        <v>303.15369999999996</v>
      </c>
      <c r="FF140">
        <f t="shared" si="2903"/>
        <v>182.03970000000001</v>
      </c>
      <c r="FG140">
        <f t="shared" si="2903"/>
        <v>661.03139130434795</v>
      </c>
      <c r="FH140">
        <f t="shared" si="2903"/>
        <v>581.10469565217363</v>
      </c>
      <c r="FI140">
        <f t="shared" si="2903"/>
        <v>739.93370000000004</v>
      </c>
      <c r="FJ140">
        <f t="shared" si="2903"/>
        <v>604.21260000000007</v>
      </c>
      <c r="FK140">
        <f t="shared" si="2903"/>
        <v>446.90890000000002</v>
      </c>
      <c r="FL140">
        <f t="shared" si="2903"/>
        <v>455.3451</v>
      </c>
      <c r="FM140">
        <f t="shared" si="2903"/>
        <v>827.10373913043452</v>
      </c>
      <c r="FN140">
        <f t="shared" si="2903"/>
        <v>3338.4913000000006</v>
      </c>
      <c r="FO140">
        <f t="shared" si="2903"/>
        <v>398.48540000000003</v>
      </c>
      <c r="FP140">
        <f t="shared" si="2903"/>
        <v>1288.1604000000002</v>
      </c>
      <c r="FQ140">
        <f t="shared" si="2903"/>
        <v>636.02660000000003</v>
      </c>
      <c r="FR140">
        <f t="shared" si="2903"/>
        <v>0.95400000000000007</v>
      </c>
      <c r="FS140">
        <f t="shared" si="2903"/>
        <v>1.3959999999999999</v>
      </c>
      <c r="FT140">
        <f t="shared" si="2903"/>
        <v>0</v>
      </c>
      <c r="FU140">
        <f t="shared" si="2903"/>
        <v>4.2000000000000003E-2</v>
      </c>
      <c r="FV140">
        <f t="shared" si="2903"/>
        <v>0.91200000000000003</v>
      </c>
      <c r="FW140">
        <f t="shared" si="2903"/>
        <v>0.28900000000000003</v>
      </c>
    </row>
    <row r="143" spans="1:179" x14ac:dyDescent="0.35">
      <c r="A143" s="80" t="s">
        <v>353</v>
      </c>
      <c r="B143" s="72" t="s">
        <v>354</v>
      </c>
      <c r="C143">
        <v>80</v>
      </c>
      <c r="D143" s="6">
        <v>192</v>
      </c>
      <c r="E143" s="6">
        <v>802</v>
      </c>
      <c r="F143" s="6">
        <v>25.2</v>
      </c>
      <c r="G143" s="6">
        <v>25.2</v>
      </c>
      <c r="H143" s="6">
        <v>0</v>
      </c>
      <c r="I143" s="6">
        <v>10.1</v>
      </c>
      <c r="J143" s="6">
        <v>8.1999999999999993</v>
      </c>
      <c r="K143" s="6">
        <v>1.9</v>
      </c>
      <c r="L143" s="6">
        <v>65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62.3</v>
      </c>
      <c r="S143" s="6">
        <v>1.7</v>
      </c>
      <c r="T143" s="6">
        <v>7</v>
      </c>
      <c r="U143" s="6">
        <v>316</v>
      </c>
      <c r="V143" s="6">
        <v>301</v>
      </c>
      <c r="W143" s="6">
        <v>205</v>
      </c>
      <c r="X143" s="6">
        <v>1.1000000000000001</v>
      </c>
      <c r="Y143" s="6">
        <v>33</v>
      </c>
      <c r="Z143" s="6">
        <v>0.2</v>
      </c>
      <c r="AA143" s="6">
        <v>90</v>
      </c>
      <c r="AB143" s="6">
        <v>530</v>
      </c>
      <c r="AC143" s="6">
        <v>14</v>
      </c>
      <c r="AD143" s="6">
        <v>0.05</v>
      </c>
      <c r="AE143" s="6">
        <v>390</v>
      </c>
      <c r="AF143" s="6">
        <v>0.04</v>
      </c>
      <c r="AG143" s="6">
        <v>0.11</v>
      </c>
      <c r="AH143" s="6">
        <v>0</v>
      </c>
      <c r="AI143" s="6">
        <v>10.4</v>
      </c>
      <c r="AJ143" s="6">
        <v>0.51</v>
      </c>
      <c r="AK143" s="6">
        <v>5</v>
      </c>
      <c r="AL143" s="6">
        <v>0.32</v>
      </c>
      <c r="AM143" s="6">
        <v>3</v>
      </c>
      <c r="AN143" s="6">
        <v>5</v>
      </c>
      <c r="AO143" s="6">
        <v>14</v>
      </c>
      <c r="AP143" s="6">
        <v>14</v>
      </c>
      <c r="AQ143" s="51">
        <v>0.5</v>
      </c>
      <c r="AR143" s="6">
        <v>2.1800000000000002</v>
      </c>
      <c r="AS143" s="6">
        <v>3.37</v>
      </c>
      <c r="AT143" s="55">
        <v>6.9</v>
      </c>
      <c r="AU143" s="6">
        <v>1.9359999999999999</v>
      </c>
      <c r="AV143" s="6">
        <v>0</v>
      </c>
      <c r="AW143" s="6">
        <v>0</v>
      </c>
      <c r="AX143" s="6">
        <v>0</v>
      </c>
      <c r="AY143" s="6">
        <v>1.7589999999999999</v>
      </c>
      <c r="AZ143" s="6">
        <v>0.17699999999999999</v>
      </c>
      <c r="BA143" s="6">
        <v>0</v>
      </c>
      <c r="BB143" s="6">
        <v>0</v>
      </c>
      <c r="BC143" s="6">
        <v>4.2220000000000004</v>
      </c>
      <c r="BD143" s="6">
        <v>0</v>
      </c>
      <c r="BE143" s="6">
        <v>0</v>
      </c>
      <c r="BF143" s="6">
        <v>4.2220000000000004</v>
      </c>
      <c r="BG143" s="6">
        <v>0</v>
      </c>
      <c r="BH143" s="6">
        <v>0</v>
      </c>
      <c r="BI143" s="6">
        <v>3.9460000000000002</v>
      </c>
      <c r="BJ143" s="6">
        <v>3.7690000000000001</v>
      </c>
      <c r="BK143" s="6">
        <v>9.4E-2</v>
      </c>
      <c r="BL143" s="6">
        <v>0</v>
      </c>
      <c r="BM143" s="6">
        <v>0</v>
      </c>
      <c r="BN143" s="6">
        <v>8.4000000000000005E-2</v>
      </c>
      <c r="BO143" s="6">
        <v>0</v>
      </c>
      <c r="BP143" s="7">
        <v>280</v>
      </c>
      <c r="BQ143" s="7">
        <v>1072</v>
      </c>
      <c r="BR143" s="7">
        <v>1198</v>
      </c>
      <c r="BS143" s="7">
        <v>2029</v>
      </c>
      <c r="BT143" s="7">
        <v>2441</v>
      </c>
      <c r="BU143" s="7">
        <v>881</v>
      </c>
      <c r="BV143" s="7">
        <v>264</v>
      </c>
      <c r="BW143" s="7">
        <v>1007</v>
      </c>
      <c r="BX143" s="7">
        <v>934</v>
      </c>
      <c r="BY143" s="7">
        <v>1392</v>
      </c>
      <c r="BZ143" s="7">
        <v>1477</v>
      </c>
      <c r="CA143" s="7">
        <v>882</v>
      </c>
      <c r="CB143" s="7">
        <v>1440</v>
      </c>
      <c r="CC143" s="7">
        <v>2348</v>
      </c>
      <c r="CD143" s="7">
        <v>3285</v>
      </c>
      <c r="CE143" s="7">
        <v>1128</v>
      </c>
      <c r="CF143" s="7">
        <v>919</v>
      </c>
      <c r="CG143" s="7">
        <v>1095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>
        <f t="shared" ref="CN143:CN146" si="2904">($C143*D143)/100</f>
        <v>153.6</v>
      </c>
      <c r="CO143">
        <f t="shared" ref="CO143:CO146" si="2905">($C143*E143)/100</f>
        <v>641.6</v>
      </c>
      <c r="CP143">
        <f t="shared" ref="CP143:CP146" si="2906">($C143*F143)/100</f>
        <v>20.16</v>
      </c>
      <c r="CQ143">
        <f t="shared" ref="CQ143:CQ146" si="2907">($C143*G143)/100</f>
        <v>20.16</v>
      </c>
      <c r="CR143">
        <f t="shared" ref="CR143:CR146" si="2908">($C143*H143)/100</f>
        <v>0</v>
      </c>
      <c r="CS143">
        <f t="shared" ref="CS143:CS146" si="2909">($C143*I143)/100</f>
        <v>8.08</v>
      </c>
      <c r="CT143">
        <f t="shared" ref="CT143:CT146" si="2910">($C143*J143)/100</f>
        <v>6.56</v>
      </c>
      <c r="CU143">
        <f t="shared" ref="CU143:CU146" si="2911">($C143*K143)/100</f>
        <v>1.52</v>
      </c>
      <c r="CV143">
        <f t="shared" ref="CV143:CV146" si="2912">($C143*L143)/100</f>
        <v>52</v>
      </c>
      <c r="CW143">
        <f t="shared" ref="CW143:CW146" si="2913">($C143*M143)/100</f>
        <v>0</v>
      </c>
      <c r="CX143">
        <f t="shared" ref="CX143:CX146" si="2914">($C143*N143)/100</f>
        <v>0</v>
      </c>
      <c r="CY143">
        <f t="shared" ref="CY143:CY146" si="2915">($C143*O143)/100</f>
        <v>0</v>
      </c>
      <c r="CZ143">
        <f t="shared" ref="CZ143:CZ146" si="2916">($C143*P143)/100</f>
        <v>0</v>
      </c>
      <c r="DA143">
        <f t="shared" ref="DA143:DA146" si="2917">($C143*Q143)/100</f>
        <v>0</v>
      </c>
      <c r="DB143">
        <f t="shared" ref="DB143:DB146" si="2918">($C143*R143)/100</f>
        <v>49.84</v>
      </c>
      <c r="DC143">
        <f t="shared" ref="DC143:DC146" si="2919">($C143*S143)/100</f>
        <v>1.36</v>
      </c>
      <c r="DD143">
        <f t="shared" ref="DD143:DD146" si="2920">($C143*T143)/100</f>
        <v>5.6</v>
      </c>
      <c r="DE143">
        <f t="shared" ref="DE143:DE146" si="2921">($C143*U143)/100</f>
        <v>252.8</v>
      </c>
      <c r="DF143">
        <f t="shared" ref="DF143:DF146" si="2922">($C143*V143)/100</f>
        <v>240.8</v>
      </c>
      <c r="DG143">
        <f t="shared" ref="DG143:DG146" si="2923">($C143*W143)/100</f>
        <v>164</v>
      </c>
      <c r="DH143">
        <f t="shared" ref="DH143:DH146" si="2924">($C143*X143)/100</f>
        <v>0.88</v>
      </c>
      <c r="DI143">
        <f t="shared" ref="DI143:DI146" si="2925">($C143*Y143)/100</f>
        <v>26.4</v>
      </c>
      <c r="DJ143">
        <f t="shared" ref="DJ143:DJ146" si="2926">($C143*Z143)/100</f>
        <v>0.16</v>
      </c>
      <c r="DK143">
        <f t="shared" ref="DK143:DK146" si="2927">($C143*AA143)/100</f>
        <v>72</v>
      </c>
      <c r="DL143">
        <f t="shared" ref="DL143:DL146" si="2928">($C143*AB143)/100</f>
        <v>424</v>
      </c>
      <c r="DM143">
        <f t="shared" ref="DM143:DM146" si="2929">($C143*AC143)/100</f>
        <v>11.2</v>
      </c>
      <c r="DN143">
        <f t="shared" ref="DN143:DN146" si="2930">($C143*AD143)/100</f>
        <v>0.04</v>
      </c>
      <c r="DO143">
        <f t="shared" ref="DO143:DO146" si="2931">($C143*AE143)/100</f>
        <v>312</v>
      </c>
      <c r="DP143">
        <f t="shared" ref="DP143:DP146" si="2932">($C143*AF143)/100</f>
        <v>3.2000000000000001E-2</v>
      </c>
      <c r="DQ143">
        <f t="shared" ref="DQ143:DQ146" si="2933">($C143*AG143)/100</f>
        <v>8.8000000000000009E-2</v>
      </c>
      <c r="DR143">
        <f t="shared" ref="DR143:DR146" si="2934">($C143*AH143)/100</f>
        <v>0</v>
      </c>
      <c r="DS143">
        <f t="shared" ref="DS143:DS146" si="2935">($C143*AI143)/100</f>
        <v>8.32</v>
      </c>
      <c r="DT143">
        <f t="shared" ref="DT143:DT146" si="2936">($C143*AJ143)/100</f>
        <v>0.40799999999999997</v>
      </c>
      <c r="DU143">
        <f t="shared" ref="DU143:DU146" si="2937">($C143*AK143)/100</f>
        <v>4</v>
      </c>
      <c r="DV143">
        <f t="shared" ref="DV143:DV146" si="2938">($C143*AL143)/100</f>
        <v>0.25600000000000001</v>
      </c>
      <c r="DW143">
        <f t="shared" ref="DW143:DW146" si="2939">($C143*AM143)/100</f>
        <v>2.4</v>
      </c>
      <c r="DX143">
        <f t="shared" ref="DX143:DX146" si="2940">($C143*AN143)/100</f>
        <v>4</v>
      </c>
      <c r="DY143">
        <f t="shared" ref="DY143:DY146" si="2941">($C143*AO143)/100</f>
        <v>11.2</v>
      </c>
      <c r="DZ143">
        <f t="shared" ref="DZ143:DZ146" si="2942">($C143*AP143)/100</f>
        <v>11.2</v>
      </c>
      <c r="EA143">
        <f t="shared" ref="EA143:EA146" si="2943">($C143*AQ143)/100</f>
        <v>0.4</v>
      </c>
      <c r="EB143">
        <f t="shared" ref="EB143:EB146" si="2944">($C143*AR143)/100</f>
        <v>1.744</v>
      </c>
      <c r="EC143">
        <f t="shared" ref="EC143:EC146" si="2945">($C143*AS143)/100</f>
        <v>2.6960000000000002</v>
      </c>
      <c r="ED143">
        <f t="shared" ref="ED143:ED146" si="2946">($C143*AT143)/100</f>
        <v>5.52</v>
      </c>
      <c r="EE143">
        <f t="shared" ref="EE143:EE146" si="2947">($C143*AU143)/100</f>
        <v>1.5488</v>
      </c>
      <c r="EF143">
        <f t="shared" ref="EF143:EF146" si="2948">($C143*AV143)/100</f>
        <v>0</v>
      </c>
      <c r="EG143">
        <f t="shared" ref="EG143:EG146" si="2949">($C143*AW143)/100</f>
        <v>0</v>
      </c>
      <c r="EH143">
        <f t="shared" ref="EH143:EH146" si="2950">($C143*AX143)/100</f>
        <v>0</v>
      </c>
      <c r="EI143">
        <f t="shared" ref="EI143:EI146" si="2951">($C143*AY143)/100</f>
        <v>1.4072</v>
      </c>
      <c r="EJ143">
        <f t="shared" ref="EJ143:EJ146" si="2952">($C143*AZ143)/100</f>
        <v>0.1416</v>
      </c>
      <c r="EK143">
        <f t="shared" ref="EK143:EK146" si="2953">($C143*BA143)/100</f>
        <v>0</v>
      </c>
      <c r="EL143">
        <f t="shared" ref="EL143:EL146" si="2954">($C143*BB143)/100</f>
        <v>0</v>
      </c>
      <c r="EM143">
        <f t="shared" ref="EM143:EM146" si="2955">($C143*BC143)/100</f>
        <v>3.3776000000000006</v>
      </c>
      <c r="EN143">
        <f t="shared" ref="EN143:EN146" si="2956">($C143*BD143)/100</f>
        <v>0</v>
      </c>
      <c r="EO143">
        <f t="shared" ref="EO143:EO146" si="2957">($C143*BE143)/100</f>
        <v>0</v>
      </c>
      <c r="EP143">
        <f t="shared" ref="EP143:EP146" si="2958">($C143*BF143)/100</f>
        <v>3.3776000000000006</v>
      </c>
      <c r="EQ143">
        <f t="shared" ref="EQ143:EQ146" si="2959">($C143*BG143)/100</f>
        <v>0</v>
      </c>
      <c r="ER143">
        <f t="shared" ref="ER143:ER146" si="2960">($C143*BH143)/100</f>
        <v>0</v>
      </c>
      <c r="ES143">
        <f t="shared" ref="ES143:ES146" si="2961">($C143*BI143)/100</f>
        <v>3.1568000000000001</v>
      </c>
      <c r="ET143">
        <f t="shared" ref="ET143:ET146" si="2962">($C143*BJ143)/100</f>
        <v>3.0151999999999997</v>
      </c>
      <c r="EU143">
        <f t="shared" ref="EU143:EU146" si="2963">($C143*BK143)/100</f>
        <v>7.5199999999999989E-2</v>
      </c>
      <c r="EV143">
        <f t="shared" ref="EV143:EV146" si="2964">($C143*BL143)/100</f>
        <v>0</v>
      </c>
      <c r="EW143">
        <f t="shared" ref="EW143:EW146" si="2965">($C143*BM143)/100</f>
        <v>0</v>
      </c>
      <c r="EX143">
        <f t="shared" ref="EX143:EX146" si="2966">($C143*BN143)/100</f>
        <v>6.720000000000001E-2</v>
      </c>
      <c r="EY143">
        <f t="shared" ref="EY143:EY146" si="2967">($C143*BO143)/100</f>
        <v>0</v>
      </c>
      <c r="EZ143">
        <f t="shared" ref="EZ143:EZ146" si="2968">($C143*BP143)/100</f>
        <v>224</v>
      </c>
      <c r="FA143">
        <f t="shared" ref="FA143:FA146" si="2969">($C143*BQ143)/100</f>
        <v>857.6</v>
      </c>
      <c r="FB143">
        <f t="shared" ref="FB143:FB146" si="2970">($C143*BR143)/100</f>
        <v>958.4</v>
      </c>
      <c r="FC143">
        <f t="shared" ref="FC143:FC146" si="2971">($C143*BS143)/100</f>
        <v>1623.2</v>
      </c>
      <c r="FD143">
        <f t="shared" ref="FD143:FD146" si="2972">($C143*BT143)/100</f>
        <v>1952.8</v>
      </c>
      <c r="FE143">
        <f t="shared" ref="FE143:FE146" si="2973">($C143*BU143)/100</f>
        <v>704.8</v>
      </c>
      <c r="FF143">
        <f t="shared" ref="FF143:FF146" si="2974">($C143*BV143)/100</f>
        <v>211.2</v>
      </c>
      <c r="FG143">
        <f t="shared" ref="FG143:FG146" si="2975">($C143*BW143)/100</f>
        <v>805.6</v>
      </c>
      <c r="FH143">
        <f t="shared" ref="FH143:FH146" si="2976">($C143*BX143)/100</f>
        <v>747.2</v>
      </c>
      <c r="FI143">
        <f t="shared" ref="FI143:FI146" si="2977">($C143*BY143)/100</f>
        <v>1113.5999999999999</v>
      </c>
      <c r="FJ143">
        <f t="shared" ref="FJ143:FJ146" si="2978">($C143*BZ143)/100</f>
        <v>1181.5999999999999</v>
      </c>
      <c r="FK143">
        <f t="shared" ref="FK143:FK146" si="2979">($C143*CA143)/100</f>
        <v>705.6</v>
      </c>
      <c r="FL143">
        <f t="shared" ref="FL143:FL146" si="2980">($C143*CB143)/100</f>
        <v>1152</v>
      </c>
      <c r="FM143">
        <f t="shared" ref="FM143:FM146" si="2981">($C143*CC143)/100</f>
        <v>1878.4</v>
      </c>
      <c r="FN143">
        <f t="shared" ref="FN143:FN146" si="2982">($C143*CD143)/100</f>
        <v>2628</v>
      </c>
      <c r="FO143">
        <f t="shared" ref="FO143:FO146" si="2983">($C143*CE143)/100</f>
        <v>902.4</v>
      </c>
      <c r="FP143">
        <f t="shared" ref="FP143:FP146" si="2984">($C143*CF143)/100</f>
        <v>735.2</v>
      </c>
      <c r="FQ143">
        <f t="shared" ref="FQ143:FQ146" si="2985">($C143*CG143)/100</f>
        <v>876</v>
      </c>
      <c r="FR143">
        <f t="shared" ref="FR143:FR146" si="2986">($C143*CH143)/100</f>
        <v>0</v>
      </c>
      <c r="FS143">
        <f t="shared" ref="FS143:FS146" si="2987">($C143*CI143)/100</f>
        <v>0</v>
      </c>
      <c r="FT143">
        <f t="shared" ref="FT143:FT146" si="2988">($C143*CJ143)/100</f>
        <v>0</v>
      </c>
      <c r="FU143">
        <f t="shared" ref="FU143:FU146" si="2989">($C143*CK143)/100</f>
        <v>0</v>
      </c>
      <c r="FV143">
        <f t="shared" ref="FV143:FV146" si="2990">($C143*CL143)/100</f>
        <v>0</v>
      </c>
      <c r="FW143">
        <f t="shared" ref="FW143:FW146" si="2991">($C143*CM143)/100</f>
        <v>0</v>
      </c>
    </row>
    <row r="144" spans="1:179" x14ac:dyDescent="0.35">
      <c r="B144" s="72" t="s">
        <v>253</v>
      </c>
      <c r="C144">
        <v>5</v>
      </c>
      <c r="D144" s="54">
        <v>28</v>
      </c>
      <c r="E144" s="54">
        <v>121</v>
      </c>
      <c r="F144" s="54">
        <v>1</v>
      </c>
      <c r="G144" s="54">
        <v>0</v>
      </c>
      <c r="H144" s="54">
        <v>1</v>
      </c>
      <c r="I144" s="54">
        <v>0.1</v>
      </c>
      <c r="J144" s="54">
        <v>0</v>
      </c>
      <c r="K144" s="54">
        <v>0.1</v>
      </c>
      <c r="L144" s="54">
        <v>0</v>
      </c>
      <c r="M144" s="54">
        <v>5.7</v>
      </c>
      <c r="N144" s="54">
        <v>0</v>
      </c>
      <c r="O144" s="54">
        <v>5.7</v>
      </c>
      <c r="P144" s="54">
        <v>1.1000000000000001</v>
      </c>
      <c r="Q144" s="54">
        <v>0</v>
      </c>
      <c r="R144" s="54">
        <v>92.1</v>
      </c>
      <c r="S144" s="54">
        <v>0.4</v>
      </c>
      <c r="T144" s="54">
        <v>25</v>
      </c>
      <c r="U144" s="54">
        <v>10</v>
      </c>
      <c r="V144" s="54">
        <v>140</v>
      </c>
      <c r="W144" s="54">
        <v>35</v>
      </c>
      <c r="X144" s="54">
        <v>0.3</v>
      </c>
      <c r="Y144" s="81">
        <v>0</v>
      </c>
      <c r="Z144" s="81">
        <v>0</v>
      </c>
      <c r="AA144" s="81">
        <v>0</v>
      </c>
      <c r="AB144" s="81">
        <v>0</v>
      </c>
      <c r="AC144" s="81">
        <v>0</v>
      </c>
      <c r="AD144" s="81">
        <v>0</v>
      </c>
      <c r="AE144" s="81">
        <v>0</v>
      </c>
      <c r="AF144" s="54">
        <v>0.02</v>
      </c>
      <c r="AG144" s="54">
        <v>0.03</v>
      </c>
      <c r="AH144" s="54">
        <v>5</v>
      </c>
      <c r="AI144" s="54">
        <v>0.5</v>
      </c>
      <c r="AJ144" s="54">
        <v>0.14000000000000001</v>
      </c>
      <c r="AK144" s="54">
        <v>12</v>
      </c>
      <c r="AL144" s="81">
        <v>0</v>
      </c>
      <c r="AM144" s="81">
        <v>0</v>
      </c>
      <c r="AN144" s="81">
        <v>0</v>
      </c>
      <c r="AO144" s="54">
        <v>0</v>
      </c>
      <c r="AP144" s="54">
        <v>0</v>
      </c>
      <c r="AQ144" s="54">
        <v>0</v>
      </c>
      <c r="AR144" s="54">
        <v>0.22</v>
      </c>
      <c r="AS144" s="54">
        <v>0</v>
      </c>
      <c r="AT144" s="81">
        <v>0</v>
      </c>
      <c r="AU144" s="54">
        <v>0.02</v>
      </c>
      <c r="AV144" s="81">
        <v>0</v>
      </c>
      <c r="AW144" s="81">
        <v>0</v>
      </c>
      <c r="AX144" s="81">
        <v>0</v>
      </c>
      <c r="AY144" s="81">
        <v>0</v>
      </c>
      <c r="AZ144" s="81">
        <v>0</v>
      </c>
      <c r="BA144" s="81">
        <v>0</v>
      </c>
      <c r="BB144" s="81">
        <v>0</v>
      </c>
      <c r="BC144" s="54">
        <v>0.01</v>
      </c>
      <c r="BD144" s="82">
        <v>0</v>
      </c>
      <c r="BE144" s="82">
        <v>0</v>
      </c>
      <c r="BF144" s="54">
        <v>0.01</v>
      </c>
      <c r="BG144" s="82">
        <v>0</v>
      </c>
      <c r="BH144" s="82">
        <v>0</v>
      </c>
      <c r="BI144" s="54">
        <v>0.03</v>
      </c>
      <c r="BJ144" s="54">
        <v>0.03</v>
      </c>
      <c r="BK144" s="51">
        <v>5.0000000000000001E-3</v>
      </c>
      <c r="BL144" s="82">
        <v>0</v>
      </c>
      <c r="BM144" s="82">
        <v>0</v>
      </c>
      <c r="BN144" s="82">
        <v>0</v>
      </c>
      <c r="BO144" s="54">
        <v>0</v>
      </c>
      <c r="BP144" s="56">
        <v>15</v>
      </c>
      <c r="BQ144" s="56">
        <v>24</v>
      </c>
      <c r="BR144" s="56">
        <v>35</v>
      </c>
      <c r="BS144" s="56">
        <v>35</v>
      </c>
      <c r="BT144" s="56">
        <v>47</v>
      </c>
      <c r="BU144" s="56">
        <v>9</v>
      </c>
      <c r="BV144" s="56">
        <v>18</v>
      </c>
      <c r="BW144" s="56">
        <v>26</v>
      </c>
      <c r="BX144" s="56">
        <v>25</v>
      </c>
      <c r="BY144" s="56">
        <v>23</v>
      </c>
      <c r="BZ144" s="56">
        <v>134</v>
      </c>
      <c r="CA144" s="56">
        <v>16</v>
      </c>
      <c r="CB144" s="56">
        <v>28</v>
      </c>
      <c r="CC144" s="56">
        <v>54</v>
      </c>
      <c r="CD144" s="56">
        <v>161</v>
      </c>
      <c r="CE144" s="56">
        <v>41</v>
      </c>
      <c r="CF144" s="56">
        <v>31</v>
      </c>
      <c r="CG144" s="56">
        <v>29</v>
      </c>
      <c r="CH144" s="81">
        <v>0</v>
      </c>
      <c r="CI144" s="81">
        <v>0</v>
      </c>
      <c r="CJ144" s="83">
        <v>0</v>
      </c>
      <c r="CK144" s="81">
        <v>0</v>
      </c>
      <c r="CL144" s="81">
        <v>0</v>
      </c>
      <c r="CM144" s="83">
        <v>0</v>
      </c>
      <c r="CN144">
        <f t="shared" si="2904"/>
        <v>1.4</v>
      </c>
      <c r="CO144">
        <f t="shared" si="2905"/>
        <v>6.05</v>
      </c>
      <c r="CP144">
        <f t="shared" si="2906"/>
        <v>0.05</v>
      </c>
      <c r="CQ144">
        <f t="shared" si="2907"/>
        <v>0</v>
      </c>
      <c r="CR144">
        <f t="shared" si="2908"/>
        <v>0.05</v>
      </c>
      <c r="CS144">
        <f t="shared" si="2909"/>
        <v>5.0000000000000001E-3</v>
      </c>
      <c r="CT144">
        <f t="shared" si="2910"/>
        <v>0</v>
      </c>
      <c r="CU144">
        <f t="shared" si="2911"/>
        <v>5.0000000000000001E-3</v>
      </c>
      <c r="CV144">
        <f t="shared" si="2912"/>
        <v>0</v>
      </c>
      <c r="CW144">
        <f t="shared" si="2913"/>
        <v>0.28499999999999998</v>
      </c>
      <c r="CX144">
        <f t="shared" si="2914"/>
        <v>0</v>
      </c>
      <c r="CY144">
        <f t="shared" si="2915"/>
        <v>0.28499999999999998</v>
      </c>
      <c r="CZ144">
        <f t="shared" si="2916"/>
        <v>5.5E-2</v>
      </c>
      <c r="DA144">
        <f t="shared" si="2917"/>
        <v>0</v>
      </c>
      <c r="DB144">
        <f t="shared" si="2918"/>
        <v>4.6050000000000004</v>
      </c>
      <c r="DC144">
        <f t="shared" si="2919"/>
        <v>0.02</v>
      </c>
      <c r="DD144">
        <f t="shared" si="2920"/>
        <v>1.25</v>
      </c>
      <c r="DE144">
        <f t="shared" si="2921"/>
        <v>0.5</v>
      </c>
      <c r="DF144">
        <f t="shared" si="2922"/>
        <v>7</v>
      </c>
      <c r="DG144">
        <f t="shared" si="2923"/>
        <v>1.75</v>
      </c>
      <c r="DH144">
        <f t="shared" si="2924"/>
        <v>1.4999999999999999E-2</v>
      </c>
      <c r="DI144">
        <f t="shared" si="2925"/>
        <v>0</v>
      </c>
      <c r="DJ144">
        <f t="shared" si="2926"/>
        <v>0</v>
      </c>
      <c r="DK144">
        <f t="shared" si="2927"/>
        <v>0</v>
      </c>
      <c r="DL144">
        <f t="shared" si="2928"/>
        <v>0</v>
      </c>
      <c r="DM144">
        <f t="shared" si="2929"/>
        <v>0</v>
      </c>
      <c r="DN144">
        <f t="shared" si="2930"/>
        <v>0</v>
      </c>
      <c r="DO144">
        <f t="shared" si="2931"/>
        <v>0</v>
      </c>
      <c r="DP144">
        <f t="shared" si="2932"/>
        <v>1E-3</v>
      </c>
      <c r="DQ144">
        <f t="shared" si="2933"/>
        <v>1.5E-3</v>
      </c>
      <c r="DR144">
        <f t="shared" si="2934"/>
        <v>0.25</v>
      </c>
      <c r="DS144">
        <f t="shared" si="2935"/>
        <v>2.5000000000000001E-2</v>
      </c>
      <c r="DT144">
        <f t="shared" si="2936"/>
        <v>7.000000000000001E-3</v>
      </c>
      <c r="DU144">
        <f t="shared" si="2937"/>
        <v>0.6</v>
      </c>
      <c r="DV144">
        <f t="shared" si="2938"/>
        <v>0</v>
      </c>
      <c r="DW144">
        <f t="shared" si="2939"/>
        <v>0</v>
      </c>
      <c r="DX144">
        <f t="shared" si="2940"/>
        <v>0</v>
      </c>
      <c r="DY144">
        <f t="shared" si="2941"/>
        <v>0</v>
      </c>
      <c r="DZ144">
        <f t="shared" si="2942"/>
        <v>0</v>
      </c>
      <c r="EA144">
        <f t="shared" si="2943"/>
        <v>0</v>
      </c>
      <c r="EB144">
        <f t="shared" si="2944"/>
        <v>1.1000000000000001E-2</v>
      </c>
      <c r="EC144">
        <f t="shared" si="2945"/>
        <v>0</v>
      </c>
      <c r="ED144">
        <f t="shared" si="2946"/>
        <v>0</v>
      </c>
      <c r="EE144">
        <f t="shared" si="2947"/>
        <v>1E-3</v>
      </c>
      <c r="EF144">
        <f t="shared" si="2948"/>
        <v>0</v>
      </c>
      <c r="EG144">
        <f t="shared" si="2949"/>
        <v>0</v>
      </c>
      <c r="EH144">
        <f t="shared" si="2950"/>
        <v>0</v>
      </c>
      <c r="EI144">
        <f t="shared" si="2951"/>
        <v>0</v>
      </c>
      <c r="EJ144">
        <f t="shared" si="2952"/>
        <v>0</v>
      </c>
      <c r="EK144">
        <f t="shared" si="2953"/>
        <v>0</v>
      </c>
      <c r="EL144">
        <f t="shared" si="2954"/>
        <v>0</v>
      </c>
      <c r="EM144">
        <f t="shared" si="2955"/>
        <v>5.0000000000000001E-4</v>
      </c>
      <c r="EN144">
        <f t="shared" si="2956"/>
        <v>0</v>
      </c>
      <c r="EO144">
        <f t="shared" si="2957"/>
        <v>0</v>
      </c>
      <c r="EP144">
        <f t="shared" si="2958"/>
        <v>5.0000000000000001E-4</v>
      </c>
      <c r="EQ144">
        <f t="shared" si="2959"/>
        <v>0</v>
      </c>
      <c r="ER144">
        <f t="shared" si="2960"/>
        <v>0</v>
      </c>
      <c r="ES144">
        <f t="shared" si="2961"/>
        <v>1.5E-3</v>
      </c>
      <c r="ET144">
        <f t="shared" si="2962"/>
        <v>1.5E-3</v>
      </c>
      <c r="EU144">
        <f t="shared" si="2963"/>
        <v>2.5000000000000001E-4</v>
      </c>
      <c r="EV144">
        <f t="shared" si="2964"/>
        <v>0</v>
      </c>
      <c r="EW144">
        <f t="shared" si="2965"/>
        <v>0</v>
      </c>
      <c r="EX144">
        <f t="shared" si="2966"/>
        <v>0</v>
      </c>
      <c r="EY144">
        <f t="shared" si="2967"/>
        <v>0</v>
      </c>
      <c r="EZ144">
        <f t="shared" si="2968"/>
        <v>0.75</v>
      </c>
      <c r="FA144">
        <f t="shared" si="2969"/>
        <v>1.2</v>
      </c>
      <c r="FB144">
        <f t="shared" si="2970"/>
        <v>1.75</v>
      </c>
      <c r="FC144">
        <f t="shared" si="2971"/>
        <v>1.75</v>
      </c>
      <c r="FD144">
        <f t="shared" si="2972"/>
        <v>2.35</v>
      </c>
      <c r="FE144">
        <f t="shared" si="2973"/>
        <v>0.45</v>
      </c>
      <c r="FF144">
        <f t="shared" si="2974"/>
        <v>0.9</v>
      </c>
      <c r="FG144">
        <f t="shared" si="2975"/>
        <v>1.3</v>
      </c>
      <c r="FH144">
        <f t="shared" si="2976"/>
        <v>1.25</v>
      </c>
      <c r="FI144">
        <f t="shared" si="2977"/>
        <v>1.1499999999999999</v>
      </c>
      <c r="FJ144">
        <f t="shared" si="2978"/>
        <v>6.7</v>
      </c>
      <c r="FK144">
        <f t="shared" si="2979"/>
        <v>0.8</v>
      </c>
      <c r="FL144">
        <f t="shared" si="2980"/>
        <v>1.4</v>
      </c>
      <c r="FM144">
        <f t="shared" si="2981"/>
        <v>2.7</v>
      </c>
      <c r="FN144">
        <f t="shared" si="2982"/>
        <v>8.0500000000000007</v>
      </c>
      <c r="FO144">
        <f t="shared" si="2983"/>
        <v>2.0499999999999998</v>
      </c>
      <c r="FP144">
        <f t="shared" si="2984"/>
        <v>1.55</v>
      </c>
      <c r="FQ144">
        <f t="shared" si="2985"/>
        <v>1.45</v>
      </c>
      <c r="FR144">
        <f t="shared" si="2986"/>
        <v>0</v>
      </c>
      <c r="FS144">
        <f t="shared" si="2987"/>
        <v>0</v>
      </c>
      <c r="FT144">
        <f t="shared" si="2988"/>
        <v>0</v>
      </c>
      <c r="FU144">
        <f t="shared" si="2989"/>
        <v>0</v>
      </c>
      <c r="FV144">
        <f t="shared" si="2990"/>
        <v>0</v>
      </c>
      <c r="FW144">
        <f t="shared" si="2991"/>
        <v>0</v>
      </c>
    </row>
    <row r="145" spans="1:179" x14ac:dyDescent="0.35">
      <c r="B145" s="72" t="s">
        <v>355</v>
      </c>
      <c r="C145">
        <v>5</v>
      </c>
      <c r="D145" s="54">
        <v>39</v>
      </c>
      <c r="E145" s="54">
        <v>165</v>
      </c>
      <c r="F145" s="54">
        <v>1.1000000000000001</v>
      </c>
      <c r="G145" s="54">
        <v>0</v>
      </c>
      <c r="H145" s="54">
        <v>1.1000000000000001</v>
      </c>
      <c r="I145" s="54">
        <v>0</v>
      </c>
      <c r="J145" s="54">
        <v>0</v>
      </c>
      <c r="K145" s="54">
        <v>0</v>
      </c>
      <c r="L145" s="54">
        <v>0</v>
      </c>
      <c r="M145" s="54">
        <v>7.6</v>
      </c>
      <c r="N145" s="54">
        <v>0</v>
      </c>
      <c r="O145" s="54">
        <v>7.6</v>
      </c>
      <c r="P145" s="54">
        <v>3.1</v>
      </c>
      <c r="Q145" s="54">
        <v>0</v>
      </c>
      <c r="R145" s="54">
        <v>91.6</v>
      </c>
      <c r="S145" s="54">
        <v>0.7</v>
      </c>
      <c r="T145" s="54">
        <v>44</v>
      </c>
      <c r="U145" s="54">
        <v>95</v>
      </c>
      <c r="V145" s="54">
        <v>220</v>
      </c>
      <c r="W145" s="54">
        <v>37</v>
      </c>
      <c r="X145" s="54">
        <v>0.4</v>
      </c>
      <c r="Y145" s="81">
        <v>0</v>
      </c>
      <c r="Z145" s="81">
        <v>0</v>
      </c>
      <c r="AA145" s="81">
        <v>0</v>
      </c>
      <c r="AB145" s="81">
        <v>0</v>
      </c>
      <c r="AC145" s="81">
        <v>0</v>
      </c>
      <c r="AD145" s="81">
        <v>0</v>
      </c>
      <c r="AE145" s="81">
        <v>0</v>
      </c>
      <c r="AF145" s="54">
        <v>0.04</v>
      </c>
      <c r="AG145" s="54">
        <v>0.04</v>
      </c>
      <c r="AH145" s="54">
        <v>4</v>
      </c>
      <c r="AI145" s="54">
        <v>0.7</v>
      </c>
      <c r="AJ145" s="54">
        <v>0.12</v>
      </c>
      <c r="AK145" s="54">
        <v>10</v>
      </c>
      <c r="AL145" s="81">
        <v>0</v>
      </c>
      <c r="AM145" s="81">
        <v>0</v>
      </c>
      <c r="AN145" s="81">
        <v>0</v>
      </c>
      <c r="AO145" s="54">
        <v>1148</v>
      </c>
      <c r="AP145" s="54">
        <v>0</v>
      </c>
      <c r="AQ145" s="54">
        <v>6888</v>
      </c>
      <c r="AR145" s="54">
        <v>0.46</v>
      </c>
      <c r="AS145" s="54">
        <v>0</v>
      </c>
      <c r="AT145" s="81">
        <v>0</v>
      </c>
      <c r="AU145" s="54">
        <v>0</v>
      </c>
      <c r="AV145" s="54">
        <v>0</v>
      </c>
      <c r="AW145" s="54">
        <v>0</v>
      </c>
      <c r="AX145" s="54">
        <v>0</v>
      </c>
      <c r="AY145" s="54">
        <v>0</v>
      </c>
      <c r="AZ145" s="54">
        <v>0</v>
      </c>
      <c r="BA145" s="54">
        <v>0</v>
      </c>
      <c r="BB145" s="54">
        <v>0</v>
      </c>
      <c r="BC145" s="54">
        <v>0</v>
      </c>
      <c r="BD145" s="54">
        <v>0</v>
      </c>
      <c r="BE145" s="54">
        <v>0</v>
      </c>
      <c r="BF145" s="54">
        <v>0</v>
      </c>
      <c r="BG145" s="54">
        <v>0</v>
      </c>
      <c r="BH145" s="54">
        <v>0</v>
      </c>
      <c r="BI145" s="54">
        <v>0</v>
      </c>
      <c r="BJ145" s="54">
        <v>0</v>
      </c>
      <c r="BK145" s="54">
        <v>0</v>
      </c>
      <c r="BL145" s="54">
        <v>0</v>
      </c>
      <c r="BM145" s="54">
        <v>0</v>
      </c>
      <c r="BN145" s="54">
        <v>0</v>
      </c>
      <c r="BO145" s="54">
        <v>0</v>
      </c>
      <c r="BP145" s="56">
        <v>12</v>
      </c>
      <c r="BQ145" s="56">
        <v>41</v>
      </c>
      <c r="BR145" s="56">
        <v>44</v>
      </c>
      <c r="BS145" s="56">
        <v>46</v>
      </c>
      <c r="BT145" s="56">
        <v>43</v>
      </c>
      <c r="BU145" s="56">
        <v>7</v>
      </c>
      <c r="BV145" s="56">
        <v>9</v>
      </c>
      <c r="BW145" s="56">
        <v>34</v>
      </c>
      <c r="BX145" s="56">
        <v>21</v>
      </c>
      <c r="BY145" s="56">
        <v>47</v>
      </c>
      <c r="BZ145" s="56">
        <v>46</v>
      </c>
      <c r="CA145" s="56">
        <v>17</v>
      </c>
      <c r="CB145" s="56">
        <v>63</v>
      </c>
      <c r="CC145" s="56">
        <v>146</v>
      </c>
      <c r="CD145" s="56">
        <v>216</v>
      </c>
      <c r="CE145" s="56">
        <v>32</v>
      </c>
      <c r="CF145" s="56">
        <v>31</v>
      </c>
      <c r="CG145" s="56">
        <v>37</v>
      </c>
      <c r="CH145" s="81">
        <v>0</v>
      </c>
      <c r="CI145" s="81">
        <v>0</v>
      </c>
      <c r="CJ145" s="83">
        <v>0</v>
      </c>
      <c r="CK145" s="81">
        <v>0</v>
      </c>
      <c r="CL145" s="81">
        <v>0</v>
      </c>
      <c r="CM145" s="83">
        <v>0</v>
      </c>
      <c r="CN145">
        <f t="shared" si="2904"/>
        <v>1.95</v>
      </c>
      <c r="CO145">
        <f t="shared" si="2905"/>
        <v>8.25</v>
      </c>
      <c r="CP145">
        <f t="shared" si="2906"/>
        <v>5.5E-2</v>
      </c>
      <c r="CQ145">
        <f t="shared" si="2907"/>
        <v>0</v>
      </c>
      <c r="CR145">
        <f t="shared" si="2908"/>
        <v>5.5E-2</v>
      </c>
      <c r="CS145">
        <f t="shared" si="2909"/>
        <v>0</v>
      </c>
      <c r="CT145">
        <f t="shared" si="2910"/>
        <v>0</v>
      </c>
      <c r="CU145">
        <f t="shared" si="2911"/>
        <v>0</v>
      </c>
      <c r="CV145">
        <f t="shared" si="2912"/>
        <v>0</v>
      </c>
      <c r="CW145">
        <f t="shared" si="2913"/>
        <v>0.38</v>
      </c>
      <c r="CX145">
        <f t="shared" si="2914"/>
        <v>0</v>
      </c>
      <c r="CY145">
        <f t="shared" si="2915"/>
        <v>0.38</v>
      </c>
      <c r="CZ145">
        <f t="shared" si="2916"/>
        <v>0.155</v>
      </c>
      <c r="DA145">
        <f t="shared" si="2917"/>
        <v>0</v>
      </c>
      <c r="DB145">
        <f t="shared" si="2918"/>
        <v>4.58</v>
      </c>
      <c r="DC145">
        <f t="shared" si="2919"/>
        <v>3.5000000000000003E-2</v>
      </c>
      <c r="DD145">
        <f t="shared" si="2920"/>
        <v>2.2000000000000002</v>
      </c>
      <c r="DE145">
        <f t="shared" si="2921"/>
        <v>4.75</v>
      </c>
      <c r="DF145">
        <f t="shared" si="2922"/>
        <v>11</v>
      </c>
      <c r="DG145">
        <f t="shared" si="2923"/>
        <v>1.85</v>
      </c>
      <c r="DH145">
        <f t="shared" si="2924"/>
        <v>0.02</v>
      </c>
      <c r="DI145">
        <f t="shared" si="2925"/>
        <v>0</v>
      </c>
      <c r="DJ145">
        <f t="shared" si="2926"/>
        <v>0</v>
      </c>
      <c r="DK145">
        <f t="shared" si="2927"/>
        <v>0</v>
      </c>
      <c r="DL145">
        <f t="shared" si="2928"/>
        <v>0</v>
      </c>
      <c r="DM145">
        <f t="shared" si="2929"/>
        <v>0</v>
      </c>
      <c r="DN145">
        <f t="shared" si="2930"/>
        <v>0</v>
      </c>
      <c r="DO145">
        <f t="shared" si="2931"/>
        <v>0</v>
      </c>
      <c r="DP145">
        <f t="shared" si="2932"/>
        <v>2E-3</v>
      </c>
      <c r="DQ145">
        <f t="shared" si="2933"/>
        <v>2E-3</v>
      </c>
      <c r="DR145">
        <f t="shared" si="2934"/>
        <v>0.2</v>
      </c>
      <c r="DS145">
        <f t="shared" si="2935"/>
        <v>3.5000000000000003E-2</v>
      </c>
      <c r="DT145">
        <f t="shared" si="2936"/>
        <v>6.0000000000000001E-3</v>
      </c>
      <c r="DU145">
        <f t="shared" si="2937"/>
        <v>0.5</v>
      </c>
      <c r="DV145">
        <f t="shared" si="2938"/>
        <v>0</v>
      </c>
      <c r="DW145">
        <f t="shared" si="2939"/>
        <v>0</v>
      </c>
      <c r="DX145">
        <f t="shared" si="2940"/>
        <v>0</v>
      </c>
      <c r="DY145">
        <f t="shared" si="2941"/>
        <v>57.4</v>
      </c>
      <c r="DZ145">
        <f t="shared" si="2942"/>
        <v>0</v>
      </c>
      <c r="EA145">
        <f t="shared" si="2943"/>
        <v>344.4</v>
      </c>
      <c r="EB145">
        <f t="shared" si="2944"/>
        <v>2.3000000000000003E-2</v>
      </c>
      <c r="EC145">
        <f t="shared" si="2945"/>
        <v>0</v>
      </c>
      <c r="ED145">
        <f t="shared" si="2946"/>
        <v>0</v>
      </c>
      <c r="EE145">
        <f t="shared" si="2947"/>
        <v>0</v>
      </c>
      <c r="EF145">
        <f t="shared" si="2948"/>
        <v>0</v>
      </c>
      <c r="EG145">
        <f t="shared" si="2949"/>
        <v>0</v>
      </c>
      <c r="EH145">
        <f t="shared" si="2950"/>
        <v>0</v>
      </c>
      <c r="EI145">
        <f t="shared" si="2951"/>
        <v>0</v>
      </c>
      <c r="EJ145">
        <f t="shared" si="2952"/>
        <v>0</v>
      </c>
      <c r="EK145">
        <f t="shared" si="2953"/>
        <v>0</v>
      </c>
      <c r="EL145">
        <f t="shared" si="2954"/>
        <v>0</v>
      </c>
      <c r="EM145">
        <f t="shared" si="2955"/>
        <v>0</v>
      </c>
      <c r="EN145">
        <f t="shared" si="2956"/>
        <v>0</v>
      </c>
      <c r="EO145">
        <f t="shared" si="2957"/>
        <v>0</v>
      </c>
      <c r="EP145">
        <f t="shared" si="2958"/>
        <v>0</v>
      </c>
      <c r="EQ145">
        <f t="shared" si="2959"/>
        <v>0</v>
      </c>
      <c r="ER145">
        <f t="shared" si="2960"/>
        <v>0</v>
      </c>
      <c r="ES145">
        <f t="shared" si="2961"/>
        <v>0</v>
      </c>
      <c r="ET145">
        <f t="shared" si="2962"/>
        <v>0</v>
      </c>
      <c r="EU145">
        <f t="shared" si="2963"/>
        <v>0</v>
      </c>
      <c r="EV145">
        <f t="shared" si="2964"/>
        <v>0</v>
      </c>
      <c r="EW145">
        <f t="shared" si="2965"/>
        <v>0</v>
      </c>
      <c r="EX145">
        <f t="shared" si="2966"/>
        <v>0</v>
      </c>
      <c r="EY145">
        <f t="shared" si="2967"/>
        <v>0</v>
      </c>
      <c r="EZ145">
        <f t="shared" si="2968"/>
        <v>0.6</v>
      </c>
      <c r="FA145">
        <f t="shared" si="2969"/>
        <v>2.0499999999999998</v>
      </c>
      <c r="FB145">
        <f t="shared" si="2970"/>
        <v>2.2000000000000002</v>
      </c>
      <c r="FC145">
        <f t="shared" si="2971"/>
        <v>2.2999999999999998</v>
      </c>
      <c r="FD145">
        <f t="shared" si="2972"/>
        <v>2.15</v>
      </c>
      <c r="FE145">
        <f t="shared" si="2973"/>
        <v>0.35</v>
      </c>
      <c r="FF145">
        <f t="shared" si="2974"/>
        <v>0.45</v>
      </c>
      <c r="FG145">
        <f t="shared" si="2975"/>
        <v>1.7</v>
      </c>
      <c r="FH145">
        <f t="shared" si="2976"/>
        <v>1.05</v>
      </c>
      <c r="FI145">
        <f t="shared" si="2977"/>
        <v>2.35</v>
      </c>
      <c r="FJ145">
        <f t="shared" si="2978"/>
        <v>2.2999999999999998</v>
      </c>
      <c r="FK145">
        <f t="shared" si="2979"/>
        <v>0.85</v>
      </c>
      <c r="FL145">
        <f t="shared" si="2980"/>
        <v>3.15</v>
      </c>
      <c r="FM145">
        <f t="shared" si="2981"/>
        <v>7.3</v>
      </c>
      <c r="FN145">
        <f t="shared" si="2982"/>
        <v>10.8</v>
      </c>
      <c r="FO145">
        <f t="shared" si="2983"/>
        <v>1.6</v>
      </c>
      <c r="FP145">
        <f t="shared" si="2984"/>
        <v>1.55</v>
      </c>
      <c r="FQ145">
        <f t="shared" si="2985"/>
        <v>1.85</v>
      </c>
      <c r="FR145">
        <f t="shared" si="2986"/>
        <v>0</v>
      </c>
      <c r="FS145">
        <f t="shared" si="2987"/>
        <v>0</v>
      </c>
      <c r="FT145">
        <f t="shared" si="2988"/>
        <v>0</v>
      </c>
      <c r="FU145">
        <f t="shared" si="2989"/>
        <v>0</v>
      </c>
      <c r="FV145">
        <f t="shared" si="2990"/>
        <v>0</v>
      </c>
      <c r="FW145">
        <f t="shared" si="2991"/>
        <v>0</v>
      </c>
    </row>
    <row r="146" spans="1:179" x14ac:dyDescent="0.35">
      <c r="B146" s="72" t="s">
        <v>356</v>
      </c>
      <c r="C146">
        <v>10</v>
      </c>
      <c r="D146" s="54">
        <v>23</v>
      </c>
      <c r="E146" s="54">
        <v>98</v>
      </c>
      <c r="F146" s="54">
        <v>2.2999999999999998</v>
      </c>
      <c r="G146" s="54">
        <v>0</v>
      </c>
      <c r="H146" s="54">
        <v>2.2999999999999998</v>
      </c>
      <c r="I146" s="54">
        <v>0.2</v>
      </c>
      <c r="J146" s="54">
        <v>0</v>
      </c>
      <c r="K146" s="54">
        <v>0.2</v>
      </c>
      <c r="L146" s="54">
        <v>0</v>
      </c>
      <c r="M146" s="54">
        <v>2.4</v>
      </c>
      <c r="N146" s="54">
        <v>0.2</v>
      </c>
      <c r="O146" s="54">
        <v>2.2000000000000002</v>
      </c>
      <c r="P146" s="54">
        <v>1.6</v>
      </c>
      <c r="Q146" s="54">
        <v>0</v>
      </c>
      <c r="R146" s="54">
        <v>88.3</v>
      </c>
      <c r="S146" s="54">
        <v>0.5</v>
      </c>
      <c r="T146" s="54">
        <v>31</v>
      </c>
      <c r="U146" s="54">
        <v>140</v>
      </c>
      <c r="V146" s="54">
        <v>280</v>
      </c>
      <c r="W146" s="54">
        <v>45</v>
      </c>
      <c r="X146" s="54">
        <v>0.1</v>
      </c>
      <c r="Y146" s="81">
        <v>0</v>
      </c>
      <c r="Z146" s="81">
        <v>0</v>
      </c>
      <c r="AA146" s="81">
        <v>0</v>
      </c>
      <c r="AB146" s="81">
        <v>0</v>
      </c>
      <c r="AC146" s="81">
        <v>0</v>
      </c>
      <c r="AD146" s="81">
        <v>0</v>
      </c>
      <c r="AE146" s="81">
        <v>0</v>
      </c>
      <c r="AF146" s="54">
        <v>0.06</v>
      </c>
      <c r="AG146" s="54">
        <v>0.19</v>
      </c>
      <c r="AH146" s="54">
        <v>32</v>
      </c>
      <c r="AI146" s="54">
        <v>0.2</v>
      </c>
      <c r="AJ146" s="54">
        <v>7.0000000000000007E-2</v>
      </c>
      <c r="AK146" s="54">
        <v>38</v>
      </c>
      <c r="AL146" s="81">
        <v>0</v>
      </c>
      <c r="AM146" s="81">
        <v>0</v>
      </c>
      <c r="AN146" s="81">
        <v>0</v>
      </c>
      <c r="AO146" s="54">
        <v>207</v>
      </c>
      <c r="AP146" s="54">
        <v>0</v>
      </c>
      <c r="AQ146" s="54">
        <v>1242</v>
      </c>
      <c r="AR146" s="54">
        <v>0.48</v>
      </c>
      <c r="AS146" s="54">
        <v>0</v>
      </c>
      <c r="AT146" s="81">
        <v>0</v>
      </c>
      <c r="AU146" s="54">
        <v>0.05</v>
      </c>
      <c r="AV146" s="81">
        <v>0</v>
      </c>
      <c r="AW146" s="81">
        <v>0</v>
      </c>
      <c r="AX146" s="81">
        <v>0</v>
      </c>
      <c r="AY146" s="81">
        <v>0</v>
      </c>
      <c r="AZ146" s="81">
        <v>0</v>
      </c>
      <c r="BA146" s="81">
        <v>0</v>
      </c>
      <c r="BB146" s="81">
        <v>0</v>
      </c>
      <c r="BC146" s="54">
        <v>0.04</v>
      </c>
      <c r="BD146" s="82">
        <v>0</v>
      </c>
      <c r="BE146" s="82">
        <v>0</v>
      </c>
      <c r="BF146" s="54">
        <v>0.04</v>
      </c>
      <c r="BG146" s="82">
        <v>0</v>
      </c>
      <c r="BH146" s="82">
        <v>0</v>
      </c>
      <c r="BI146" s="54">
        <v>0.1</v>
      </c>
      <c r="BJ146" s="54">
        <v>0.1</v>
      </c>
      <c r="BK146" s="54">
        <v>0</v>
      </c>
      <c r="BL146" s="82">
        <v>0</v>
      </c>
      <c r="BM146" s="82">
        <v>0</v>
      </c>
      <c r="BN146" s="82">
        <v>0</v>
      </c>
      <c r="BO146" s="54">
        <v>0</v>
      </c>
      <c r="BP146" s="56">
        <v>31</v>
      </c>
      <c r="BQ146" s="56">
        <v>67</v>
      </c>
      <c r="BR146" s="56">
        <v>71</v>
      </c>
      <c r="BS146" s="56">
        <v>107</v>
      </c>
      <c r="BT146" s="56">
        <v>89</v>
      </c>
      <c r="BU146" s="56">
        <v>18</v>
      </c>
      <c r="BV146" s="56">
        <v>12</v>
      </c>
      <c r="BW146" s="56">
        <v>67</v>
      </c>
      <c r="BX146" s="56">
        <v>31</v>
      </c>
      <c r="BY146" s="56">
        <v>92</v>
      </c>
      <c r="BZ146" s="56">
        <v>67</v>
      </c>
      <c r="CA146" s="56">
        <v>40</v>
      </c>
      <c r="CB146" s="56">
        <v>77</v>
      </c>
      <c r="CC146" s="56">
        <v>393</v>
      </c>
      <c r="CD146" s="56">
        <v>301</v>
      </c>
      <c r="CE146" s="56">
        <v>71</v>
      </c>
      <c r="CF146" s="56">
        <v>61</v>
      </c>
      <c r="CG146" s="56">
        <v>67</v>
      </c>
      <c r="CH146" s="81">
        <v>0</v>
      </c>
      <c r="CI146" s="81">
        <v>0</v>
      </c>
      <c r="CJ146" s="83">
        <v>0</v>
      </c>
      <c r="CK146" s="81">
        <v>0</v>
      </c>
      <c r="CL146" s="81">
        <v>0</v>
      </c>
      <c r="CM146" s="83">
        <v>0</v>
      </c>
      <c r="CN146">
        <f t="shared" si="2904"/>
        <v>2.2999999999999998</v>
      </c>
      <c r="CO146">
        <f t="shared" si="2905"/>
        <v>9.8000000000000007</v>
      </c>
      <c r="CP146">
        <f t="shared" si="2906"/>
        <v>0.23</v>
      </c>
      <c r="CQ146">
        <f t="shared" si="2907"/>
        <v>0</v>
      </c>
      <c r="CR146">
        <f t="shared" si="2908"/>
        <v>0.23</v>
      </c>
      <c r="CS146">
        <f t="shared" si="2909"/>
        <v>0.02</v>
      </c>
      <c r="CT146">
        <f t="shared" si="2910"/>
        <v>0</v>
      </c>
      <c r="CU146">
        <f t="shared" si="2911"/>
        <v>0.02</v>
      </c>
      <c r="CV146">
        <f t="shared" si="2912"/>
        <v>0</v>
      </c>
      <c r="CW146">
        <f t="shared" si="2913"/>
        <v>0.24</v>
      </c>
      <c r="CX146">
        <f t="shared" si="2914"/>
        <v>0.02</v>
      </c>
      <c r="CY146">
        <f t="shared" si="2915"/>
        <v>0.22</v>
      </c>
      <c r="CZ146">
        <f t="shared" si="2916"/>
        <v>0.16</v>
      </c>
      <c r="DA146">
        <f t="shared" si="2917"/>
        <v>0</v>
      </c>
      <c r="DB146">
        <f t="shared" si="2918"/>
        <v>8.83</v>
      </c>
      <c r="DC146">
        <f t="shared" si="2919"/>
        <v>0.05</v>
      </c>
      <c r="DD146">
        <f t="shared" si="2920"/>
        <v>3.1</v>
      </c>
      <c r="DE146">
        <f t="shared" si="2921"/>
        <v>14</v>
      </c>
      <c r="DF146">
        <f t="shared" si="2922"/>
        <v>28</v>
      </c>
      <c r="DG146">
        <f t="shared" si="2923"/>
        <v>4.5</v>
      </c>
      <c r="DH146">
        <f t="shared" si="2924"/>
        <v>0.01</v>
      </c>
      <c r="DI146">
        <f t="shared" si="2925"/>
        <v>0</v>
      </c>
      <c r="DJ146">
        <f t="shared" si="2926"/>
        <v>0</v>
      </c>
      <c r="DK146">
        <f t="shared" si="2927"/>
        <v>0</v>
      </c>
      <c r="DL146">
        <f t="shared" si="2928"/>
        <v>0</v>
      </c>
      <c r="DM146">
        <f t="shared" si="2929"/>
        <v>0</v>
      </c>
      <c r="DN146">
        <f t="shared" si="2930"/>
        <v>0</v>
      </c>
      <c r="DO146">
        <f t="shared" si="2931"/>
        <v>0</v>
      </c>
      <c r="DP146">
        <f t="shared" si="2932"/>
        <v>6.0000000000000001E-3</v>
      </c>
      <c r="DQ146">
        <f t="shared" si="2933"/>
        <v>1.9E-2</v>
      </c>
      <c r="DR146">
        <f t="shared" si="2934"/>
        <v>3.2</v>
      </c>
      <c r="DS146">
        <f t="shared" si="2935"/>
        <v>0.02</v>
      </c>
      <c r="DT146">
        <f t="shared" si="2936"/>
        <v>7.000000000000001E-3</v>
      </c>
      <c r="DU146">
        <f t="shared" si="2937"/>
        <v>3.8</v>
      </c>
      <c r="DV146">
        <f t="shared" si="2938"/>
        <v>0</v>
      </c>
      <c r="DW146">
        <f t="shared" si="2939"/>
        <v>0</v>
      </c>
      <c r="DX146">
        <f t="shared" si="2940"/>
        <v>0</v>
      </c>
      <c r="DY146">
        <f t="shared" si="2941"/>
        <v>20.7</v>
      </c>
      <c r="DZ146">
        <f t="shared" si="2942"/>
        <v>0</v>
      </c>
      <c r="EA146">
        <f t="shared" si="2943"/>
        <v>124.2</v>
      </c>
      <c r="EB146">
        <f t="shared" si="2944"/>
        <v>4.8000000000000001E-2</v>
      </c>
      <c r="EC146">
        <f t="shared" si="2945"/>
        <v>0</v>
      </c>
      <c r="ED146">
        <f t="shared" si="2946"/>
        <v>0</v>
      </c>
      <c r="EE146">
        <f t="shared" si="2947"/>
        <v>5.0000000000000001E-3</v>
      </c>
      <c r="EF146">
        <f t="shared" si="2948"/>
        <v>0</v>
      </c>
      <c r="EG146">
        <f t="shared" si="2949"/>
        <v>0</v>
      </c>
      <c r="EH146">
        <f t="shared" si="2950"/>
        <v>0</v>
      </c>
      <c r="EI146">
        <f t="shared" si="2951"/>
        <v>0</v>
      </c>
      <c r="EJ146">
        <f t="shared" si="2952"/>
        <v>0</v>
      </c>
      <c r="EK146">
        <f t="shared" si="2953"/>
        <v>0</v>
      </c>
      <c r="EL146">
        <f t="shared" si="2954"/>
        <v>0</v>
      </c>
      <c r="EM146">
        <f t="shared" si="2955"/>
        <v>4.0000000000000001E-3</v>
      </c>
      <c r="EN146">
        <f t="shared" si="2956"/>
        <v>0</v>
      </c>
      <c r="EO146">
        <f t="shared" si="2957"/>
        <v>0</v>
      </c>
      <c r="EP146">
        <f t="shared" si="2958"/>
        <v>4.0000000000000001E-3</v>
      </c>
      <c r="EQ146">
        <f t="shared" si="2959"/>
        <v>0</v>
      </c>
      <c r="ER146">
        <f t="shared" si="2960"/>
        <v>0</v>
      </c>
      <c r="ES146">
        <f t="shared" si="2961"/>
        <v>0.01</v>
      </c>
      <c r="ET146">
        <f t="shared" si="2962"/>
        <v>0.01</v>
      </c>
      <c r="EU146">
        <f t="shared" si="2963"/>
        <v>0</v>
      </c>
      <c r="EV146">
        <f t="shared" si="2964"/>
        <v>0</v>
      </c>
      <c r="EW146">
        <f t="shared" si="2965"/>
        <v>0</v>
      </c>
      <c r="EX146">
        <f t="shared" si="2966"/>
        <v>0</v>
      </c>
      <c r="EY146">
        <f t="shared" si="2967"/>
        <v>0</v>
      </c>
      <c r="EZ146">
        <f t="shared" si="2968"/>
        <v>3.1</v>
      </c>
      <c r="FA146">
        <f t="shared" si="2969"/>
        <v>6.7</v>
      </c>
      <c r="FB146">
        <f t="shared" si="2970"/>
        <v>7.1</v>
      </c>
      <c r="FC146">
        <f t="shared" si="2971"/>
        <v>10.7</v>
      </c>
      <c r="FD146">
        <f t="shared" si="2972"/>
        <v>8.9</v>
      </c>
      <c r="FE146">
        <f t="shared" si="2973"/>
        <v>1.8</v>
      </c>
      <c r="FF146">
        <f t="shared" si="2974"/>
        <v>1.2</v>
      </c>
      <c r="FG146">
        <f t="shared" si="2975"/>
        <v>6.7</v>
      </c>
      <c r="FH146">
        <f t="shared" si="2976"/>
        <v>3.1</v>
      </c>
      <c r="FI146">
        <f t="shared" si="2977"/>
        <v>9.1999999999999993</v>
      </c>
      <c r="FJ146">
        <f t="shared" si="2978"/>
        <v>6.7</v>
      </c>
      <c r="FK146">
        <f t="shared" si="2979"/>
        <v>4</v>
      </c>
      <c r="FL146">
        <f t="shared" si="2980"/>
        <v>7.7</v>
      </c>
      <c r="FM146">
        <f t="shared" si="2981"/>
        <v>39.299999999999997</v>
      </c>
      <c r="FN146">
        <f t="shared" si="2982"/>
        <v>30.1</v>
      </c>
      <c r="FO146">
        <f t="shared" si="2983"/>
        <v>7.1</v>
      </c>
      <c r="FP146">
        <f t="shared" si="2984"/>
        <v>6.1</v>
      </c>
      <c r="FQ146">
        <f t="shared" si="2985"/>
        <v>6.7</v>
      </c>
      <c r="FR146">
        <f t="shared" si="2986"/>
        <v>0</v>
      </c>
      <c r="FS146">
        <f t="shared" si="2987"/>
        <v>0</v>
      </c>
      <c r="FT146">
        <f t="shared" si="2988"/>
        <v>0</v>
      </c>
      <c r="FU146">
        <f t="shared" si="2989"/>
        <v>0</v>
      </c>
      <c r="FV146">
        <f t="shared" si="2990"/>
        <v>0</v>
      </c>
      <c r="FW146">
        <f t="shared" si="2991"/>
        <v>0</v>
      </c>
    </row>
    <row r="147" spans="1:179" x14ac:dyDescent="0.35">
      <c r="C147">
        <f>SUM(C143:C146)</f>
        <v>100</v>
      </c>
      <c r="CN147">
        <f>SUM(CN143:CN146)</f>
        <v>159.25</v>
      </c>
      <c r="CO147">
        <f t="shared" ref="CO147:EZ147" si="2992">SUM(CO143:CO146)</f>
        <v>665.69999999999993</v>
      </c>
      <c r="CP147">
        <f t="shared" si="2992"/>
        <v>20.495000000000001</v>
      </c>
      <c r="CQ147">
        <f t="shared" si="2992"/>
        <v>20.16</v>
      </c>
      <c r="CR147">
        <f t="shared" si="2992"/>
        <v>0.33500000000000002</v>
      </c>
      <c r="CS147">
        <f t="shared" si="2992"/>
        <v>8.1050000000000004</v>
      </c>
      <c r="CT147">
        <f t="shared" si="2992"/>
        <v>6.56</v>
      </c>
      <c r="CU147">
        <f t="shared" si="2992"/>
        <v>1.5449999999999999</v>
      </c>
      <c r="CV147">
        <f t="shared" si="2992"/>
        <v>52</v>
      </c>
      <c r="CW147">
        <f t="shared" si="2992"/>
        <v>0.90500000000000003</v>
      </c>
      <c r="CX147">
        <f t="shared" si="2992"/>
        <v>0.02</v>
      </c>
      <c r="CY147">
        <f t="shared" si="2992"/>
        <v>0.88500000000000001</v>
      </c>
      <c r="CZ147">
        <f t="shared" si="2992"/>
        <v>0.37</v>
      </c>
      <c r="DA147">
        <f t="shared" si="2992"/>
        <v>0</v>
      </c>
      <c r="DB147">
        <f t="shared" si="2992"/>
        <v>67.855000000000004</v>
      </c>
      <c r="DC147">
        <f t="shared" si="2992"/>
        <v>1.4650000000000001</v>
      </c>
      <c r="DD147">
        <f t="shared" si="2992"/>
        <v>12.15</v>
      </c>
      <c r="DE147">
        <f t="shared" si="2992"/>
        <v>272.05</v>
      </c>
      <c r="DF147">
        <f t="shared" si="2992"/>
        <v>286.8</v>
      </c>
      <c r="DG147">
        <f t="shared" si="2992"/>
        <v>172.1</v>
      </c>
      <c r="DH147">
        <f t="shared" si="2992"/>
        <v>0.92500000000000004</v>
      </c>
      <c r="DI147">
        <f t="shared" si="2992"/>
        <v>26.4</v>
      </c>
      <c r="DJ147">
        <f t="shared" si="2992"/>
        <v>0.16</v>
      </c>
      <c r="DK147">
        <f t="shared" si="2992"/>
        <v>72</v>
      </c>
      <c r="DL147">
        <f t="shared" si="2992"/>
        <v>424</v>
      </c>
      <c r="DM147">
        <f t="shared" si="2992"/>
        <v>11.2</v>
      </c>
      <c r="DN147">
        <f t="shared" si="2992"/>
        <v>0.04</v>
      </c>
      <c r="DO147">
        <f t="shared" si="2992"/>
        <v>312</v>
      </c>
      <c r="DP147">
        <f t="shared" si="2992"/>
        <v>4.1000000000000002E-2</v>
      </c>
      <c r="DQ147">
        <f t="shared" si="2992"/>
        <v>0.11050000000000001</v>
      </c>
      <c r="DR147">
        <f t="shared" si="2992"/>
        <v>3.6500000000000004</v>
      </c>
      <c r="DS147">
        <f t="shared" si="2992"/>
        <v>8.4</v>
      </c>
      <c r="DT147">
        <f t="shared" si="2992"/>
        <v>0.42799999999999999</v>
      </c>
      <c r="DU147">
        <f t="shared" si="2992"/>
        <v>8.8999999999999986</v>
      </c>
      <c r="DV147">
        <f t="shared" si="2992"/>
        <v>0.25600000000000001</v>
      </c>
      <c r="DW147">
        <f t="shared" si="2992"/>
        <v>2.4</v>
      </c>
      <c r="DX147">
        <f t="shared" si="2992"/>
        <v>4</v>
      </c>
      <c r="DY147">
        <f t="shared" si="2992"/>
        <v>89.3</v>
      </c>
      <c r="DZ147">
        <f t="shared" si="2992"/>
        <v>11.2</v>
      </c>
      <c r="EA147">
        <f t="shared" si="2992"/>
        <v>468.99999999999994</v>
      </c>
      <c r="EB147">
        <f t="shared" si="2992"/>
        <v>1.8259999999999998</v>
      </c>
      <c r="EC147">
        <f t="shared" si="2992"/>
        <v>2.6960000000000002</v>
      </c>
      <c r="ED147">
        <f t="shared" si="2992"/>
        <v>5.52</v>
      </c>
      <c r="EE147">
        <f t="shared" si="2992"/>
        <v>1.5547999999999997</v>
      </c>
      <c r="EF147">
        <f t="shared" si="2992"/>
        <v>0</v>
      </c>
      <c r="EG147">
        <f t="shared" si="2992"/>
        <v>0</v>
      </c>
      <c r="EH147">
        <f t="shared" si="2992"/>
        <v>0</v>
      </c>
      <c r="EI147">
        <f t="shared" si="2992"/>
        <v>1.4072</v>
      </c>
      <c r="EJ147">
        <f t="shared" si="2992"/>
        <v>0.1416</v>
      </c>
      <c r="EK147">
        <f t="shared" si="2992"/>
        <v>0</v>
      </c>
      <c r="EL147">
        <f t="shared" si="2992"/>
        <v>0</v>
      </c>
      <c r="EM147">
        <f t="shared" si="2992"/>
        <v>3.3821000000000008</v>
      </c>
      <c r="EN147">
        <f t="shared" si="2992"/>
        <v>0</v>
      </c>
      <c r="EO147">
        <f t="shared" si="2992"/>
        <v>0</v>
      </c>
      <c r="EP147">
        <f t="shared" si="2992"/>
        <v>3.3821000000000008</v>
      </c>
      <c r="EQ147">
        <f t="shared" si="2992"/>
        <v>0</v>
      </c>
      <c r="ER147">
        <f t="shared" si="2992"/>
        <v>0</v>
      </c>
      <c r="ES147">
        <f t="shared" si="2992"/>
        <v>3.1682999999999999</v>
      </c>
      <c r="ET147">
        <f t="shared" si="2992"/>
        <v>3.0266999999999995</v>
      </c>
      <c r="EU147">
        <f t="shared" si="2992"/>
        <v>7.5449999999999989E-2</v>
      </c>
      <c r="EV147">
        <f t="shared" si="2992"/>
        <v>0</v>
      </c>
      <c r="EW147">
        <f t="shared" si="2992"/>
        <v>0</v>
      </c>
      <c r="EX147">
        <f t="shared" si="2992"/>
        <v>6.720000000000001E-2</v>
      </c>
      <c r="EY147">
        <f t="shared" si="2992"/>
        <v>0</v>
      </c>
      <c r="EZ147">
        <f t="shared" si="2992"/>
        <v>228.45</v>
      </c>
      <c r="FA147">
        <f t="shared" ref="FA147:FW147" si="2993">SUM(FA143:FA146)</f>
        <v>867.55000000000007</v>
      </c>
      <c r="FB147">
        <f t="shared" si="2993"/>
        <v>969.45</v>
      </c>
      <c r="FC147">
        <f t="shared" si="2993"/>
        <v>1637.95</v>
      </c>
      <c r="FD147">
        <f t="shared" si="2993"/>
        <v>1966.2</v>
      </c>
      <c r="FE147">
        <f t="shared" si="2993"/>
        <v>707.4</v>
      </c>
      <c r="FF147">
        <f t="shared" si="2993"/>
        <v>213.74999999999997</v>
      </c>
      <c r="FG147">
        <f t="shared" si="2993"/>
        <v>815.30000000000007</v>
      </c>
      <c r="FH147">
        <f t="shared" si="2993"/>
        <v>752.6</v>
      </c>
      <c r="FI147">
        <f t="shared" si="2993"/>
        <v>1126.3</v>
      </c>
      <c r="FJ147">
        <f t="shared" si="2993"/>
        <v>1197.3</v>
      </c>
      <c r="FK147">
        <f t="shared" si="2993"/>
        <v>711.25</v>
      </c>
      <c r="FL147">
        <f t="shared" si="2993"/>
        <v>1164.2500000000002</v>
      </c>
      <c r="FM147">
        <f t="shared" si="2993"/>
        <v>1927.7</v>
      </c>
      <c r="FN147">
        <f t="shared" si="2993"/>
        <v>2676.9500000000003</v>
      </c>
      <c r="FO147">
        <f t="shared" si="2993"/>
        <v>913.15</v>
      </c>
      <c r="FP147">
        <f t="shared" si="2993"/>
        <v>744.4</v>
      </c>
      <c r="FQ147">
        <f t="shared" si="2993"/>
        <v>886.00000000000011</v>
      </c>
      <c r="FR147">
        <f t="shared" si="2993"/>
        <v>0</v>
      </c>
      <c r="FS147">
        <f t="shared" si="2993"/>
        <v>0</v>
      </c>
      <c r="FT147">
        <f t="shared" si="2993"/>
        <v>0</v>
      </c>
      <c r="FU147">
        <f t="shared" si="2993"/>
        <v>0</v>
      </c>
      <c r="FV147">
        <f t="shared" si="2993"/>
        <v>0</v>
      </c>
      <c r="FW147">
        <f t="shared" si="2993"/>
        <v>0</v>
      </c>
    </row>
    <row r="149" spans="1:179" x14ac:dyDescent="0.35">
      <c r="A149" s="80" t="s">
        <v>357</v>
      </c>
      <c r="B149" s="72" t="s">
        <v>358</v>
      </c>
      <c r="C149">
        <v>50</v>
      </c>
      <c r="D149" s="54">
        <v>19</v>
      </c>
      <c r="E149" s="54">
        <v>77</v>
      </c>
      <c r="F149" s="54">
        <v>1.5</v>
      </c>
      <c r="G149" s="54">
        <v>0</v>
      </c>
      <c r="H149" s="54">
        <v>1.5</v>
      </c>
      <c r="I149" s="54">
        <v>0.3</v>
      </c>
      <c r="J149" s="54">
        <v>0</v>
      </c>
      <c r="K149" s="54">
        <v>0.3</v>
      </c>
      <c r="L149" s="54">
        <v>0</v>
      </c>
      <c r="M149" s="54">
        <v>1.5</v>
      </c>
      <c r="N149" s="54">
        <v>0</v>
      </c>
      <c r="O149" s="54">
        <v>1.5</v>
      </c>
      <c r="P149" s="54">
        <v>2.1</v>
      </c>
      <c r="Q149" s="54">
        <v>0</v>
      </c>
      <c r="R149" s="54">
        <v>92.6</v>
      </c>
      <c r="S149" s="54">
        <v>2.2999999999999998</v>
      </c>
      <c r="T149" s="54">
        <v>72.599999999999994</v>
      </c>
      <c r="U149" s="54">
        <v>11</v>
      </c>
      <c r="V149" s="54">
        <v>284</v>
      </c>
      <c r="W149" s="54">
        <v>34</v>
      </c>
      <c r="X149" s="54">
        <v>0.3</v>
      </c>
      <c r="Y149" s="81">
        <v>0</v>
      </c>
      <c r="Z149" s="81">
        <v>0</v>
      </c>
      <c r="AA149" s="81">
        <v>0</v>
      </c>
      <c r="AB149" s="81">
        <v>0</v>
      </c>
      <c r="AC149" s="81">
        <v>0</v>
      </c>
      <c r="AD149" s="81">
        <v>0</v>
      </c>
      <c r="AE149" s="81">
        <v>0</v>
      </c>
      <c r="AF149" s="54">
        <v>0.05</v>
      </c>
      <c r="AG149" s="54">
        <v>0.25</v>
      </c>
      <c r="AH149" s="54">
        <v>23</v>
      </c>
      <c r="AI149" s="54">
        <v>0.4</v>
      </c>
      <c r="AJ149" s="54">
        <v>0.03</v>
      </c>
      <c r="AK149" s="54">
        <v>56</v>
      </c>
      <c r="AL149" s="81">
        <v>0</v>
      </c>
      <c r="AM149" s="81">
        <v>0</v>
      </c>
      <c r="AN149" s="81">
        <v>0</v>
      </c>
      <c r="AO149" s="54">
        <v>241</v>
      </c>
      <c r="AP149" s="54">
        <v>0</v>
      </c>
      <c r="AQ149" s="54">
        <v>1444</v>
      </c>
      <c r="AR149" s="54">
        <v>0.59</v>
      </c>
      <c r="AS149" s="54">
        <v>0</v>
      </c>
      <c r="AT149" s="81">
        <v>0</v>
      </c>
      <c r="AU149" s="54">
        <v>0.06</v>
      </c>
      <c r="AV149" s="81">
        <v>0</v>
      </c>
      <c r="AW149" s="81">
        <v>0</v>
      </c>
      <c r="AX149" s="81">
        <v>0</v>
      </c>
      <c r="AY149" s="81">
        <v>0</v>
      </c>
      <c r="AZ149" s="81">
        <v>0</v>
      </c>
      <c r="BA149" s="81">
        <v>0</v>
      </c>
      <c r="BB149" s="81">
        <v>0</v>
      </c>
      <c r="BC149" s="54">
        <v>0.01</v>
      </c>
      <c r="BD149" s="82">
        <v>0</v>
      </c>
      <c r="BE149" s="82">
        <v>0</v>
      </c>
      <c r="BF149" s="54">
        <v>0.01</v>
      </c>
      <c r="BG149" s="82">
        <v>0</v>
      </c>
      <c r="BH149" s="82">
        <v>0</v>
      </c>
      <c r="BI149" s="54">
        <v>0.14000000000000001</v>
      </c>
      <c r="BJ149" s="54">
        <v>0.09</v>
      </c>
      <c r="BK149" s="54">
        <v>0.04</v>
      </c>
      <c r="BL149" s="82">
        <v>0</v>
      </c>
      <c r="BM149" s="82">
        <v>0</v>
      </c>
      <c r="BN149" s="82">
        <v>0</v>
      </c>
      <c r="BO149" s="54">
        <v>0.01</v>
      </c>
      <c r="BP149" s="56">
        <v>13</v>
      </c>
      <c r="BQ149" s="56">
        <v>63</v>
      </c>
      <c r="BR149" s="56">
        <v>58</v>
      </c>
      <c r="BS149" s="56">
        <v>96</v>
      </c>
      <c r="BT149" s="56">
        <v>58</v>
      </c>
      <c r="BU149" s="56">
        <v>28</v>
      </c>
      <c r="BV149" s="88">
        <v>0</v>
      </c>
      <c r="BW149" s="56">
        <v>78</v>
      </c>
      <c r="BX149" s="56">
        <v>40</v>
      </c>
      <c r="BY149" s="56">
        <v>82</v>
      </c>
      <c r="BZ149" s="56">
        <v>68</v>
      </c>
      <c r="CA149" s="56">
        <v>24</v>
      </c>
      <c r="CB149" s="56">
        <v>65</v>
      </c>
      <c r="CC149" s="56">
        <v>174</v>
      </c>
      <c r="CD149" s="56">
        <v>155</v>
      </c>
      <c r="CE149" s="56">
        <v>63</v>
      </c>
      <c r="CF149" s="56">
        <v>78</v>
      </c>
      <c r="CG149" s="56">
        <v>50</v>
      </c>
      <c r="CH149" s="81">
        <v>0</v>
      </c>
      <c r="CI149" s="81">
        <v>0</v>
      </c>
      <c r="CJ149" s="83">
        <v>0</v>
      </c>
      <c r="CK149" s="81">
        <v>0</v>
      </c>
      <c r="CL149" s="81">
        <v>0</v>
      </c>
      <c r="CM149" s="83">
        <v>0</v>
      </c>
      <c r="CN149">
        <f t="shared" ref="CN149:CN150" si="2994">($C149*D149)/100</f>
        <v>9.5</v>
      </c>
      <c r="CO149">
        <f t="shared" ref="CO149:CO150" si="2995">($C149*E149)/100</f>
        <v>38.5</v>
      </c>
      <c r="CP149">
        <f t="shared" ref="CP149:CP150" si="2996">($C149*F149)/100</f>
        <v>0.75</v>
      </c>
      <c r="CQ149">
        <f t="shared" ref="CQ149:CQ150" si="2997">($C149*G149)/100</f>
        <v>0</v>
      </c>
      <c r="CR149">
        <f t="shared" ref="CR149:CR150" si="2998">($C149*H149)/100</f>
        <v>0.75</v>
      </c>
      <c r="CS149">
        <f t="shared" ref="CS149:CS150" si="2999">($C149*I149)/100</f>
        <v>0.15</v>
      </c>
      <c r="CT149">
        <f t="shared" ref="CT149:CT150" si="3000">($C149*J149)/100</f>
        <v>0</v>
      </c>
      <c r="CU149">
        <f t="shared" ref="CU149:CU150" si="3001">($C149*K149)/100</f>
        <v>0.15</v>
      </c>
      <c r="CV149">
        <f t="shared" ref="CV149:CV150" si="3002">($C149*L149)/100</f>
        <v>0</v>
      </c>
      <c r="CW149">
        <f t="shared" ref="CW149:CW150" si="3003">($C149*M149)/100</f>
        <v>0.75</v>
      </c>
      <c r="CX149">
        <f t="shared" ref="CX149:CX150" si="3004">($C149*N149)/100</f>
        <v>0</v>
      </c>
      <c r="CY149">
        <f t="shared" ref="CY149:CY150" si="3005">($C149*O149)/100</f>
        <v>0.75</v>
      </c>
      <c r="CZ149">
        <f t="shared" ref="CZ149:CZ150" si="3006">($C149*P149)/100</f>
        <v>1.05</v>
      </c>
      <c r="DA149">
        <f t="shared" ref="DA149:DA150" si="3007">($C149*Q149)/100</f>
        <v>0</v>
      </c>
      <c r="DB149">
        <f t="shared" ref="DB149:DB150" si="3008">($C149*R149)/100</f>
        <v>46.3</v>
      </c>
      <c r="DC149">
        <f t="shared" ref="DC149:DC150" si="3009">($C149*S149)/100</f>
        <v>1.1499999999999999</v>
      </c>
      <c r="DD149">
        <f t="shared" ref="DD149:DD150" si="3010">($C149*T149)/100</f>
        <v>36.299999999999997</v>
      </c>
      <c r="DE149">
        <f t="shared" ref="DE149:DE150" si="3011">($C149*U149)/100</f>
        <v>5.5</v>
      </c>
      <c r="DF149">
        <f t="shared" ref="DF149:DF150" si="3012">($C149*V149)/100</f>
        <v>142</v>
      </c>
      <c r="DG149">
        <f t="shared" ref="DG149:DG150" si="3013">($C149*W149)/100</f>
        <v>17</v>
      </c>
      <c r="DH149">
        <f t="shared" ref="DH149:DH150" si="3014">($C149*X149)/100</f>
        <v>0.15</v>
      </c>
      <c r="DI149">
        <f t="shared" ref="DI149:DI150" si="3015">($C149*Y149)/100</f>
        <v>0</v>
      </c>
      <c r="DJ149">
        <f t="shared" ref="DJ149:DJ150" si="3016">($C149*Z149)/100</f>
        <v>0</v>
      </c>
      <c r="DK149">
        <f t="shared" ref="DK149:DK150" si="3017">($C149*AA149)/100</f>
        <v>0</v>
      </c>
      <c r="DL149">
        <f t="shared" ref="DL149:DL150" si="3018">($C149*AB149)/100</f>
        <v>0</v>
      </c>
      <c r="DM149">
        <f t="shared" ref="DM149:DM150" si="3019">($C149*AC149)/100</f>
        <v>0</v>
      </c>
      <c r="DN149">
        <f t="shared" ref="DN149:DN150" si="3020">($C149*AD149)/100</f>
        <v>0</v>
      </c>
      <c r="DO149">
        <f t="shared" ref="DO149:DO150" si="3021">($C149*AE149)/100</f>
        <v>0</v>
      </c>
      <c r="DP149">
        <f t="shared" ref="DP149:DP150" si="3022">($C149*AF149)/100</f>
        <v>2.5000000000000001E-2</v>
      </c>
      <c r="DQ149">
        <f t="shared" ref="DQ149:DQ150" si="3023">($C149*AG149)/100</f>
        <v>0.125</v>
      </c>
      <c r="DR149">
        <f t="shared" ref="DR149:DR150" si="3024">($C149*AH149)/100</f>
        <v>11.5</v>
      </c>
      <c r="DS149">
        <f t="shared" ref="DS149:DS150" si="3025">($C149*AI149)/100</f>
        <v>0.2</v>
      </c>
      <c r="DT149">
        <f t="shared" ref="DT149:DT150" si="3026">($C149*AJ149)/100</f>
        <v>1.4999999999999999E-2</v>
      </c>
      <c r="DU149">
        <f t="shared" ref="DU149:DU150" si="3027">($C149*AK149)/100</f>
        <v>28</v>
      </c>
      <c r="DV149">
        <f t="shared" ref="DV149:DV150" si="3028">($C149*AL149)/100</f>
        <v>0</v>
      </c>
      <c r="DW149">
        <f t="shared" ref="DW149:DW150" si="3029">($C149*AM149)/100</f>
        <v>0</v>
      </c>
      <c r="DX149">
        <f t="shared" ref="DX149:DX150" si="3030">($C149*AN149)/100</f>
        <v>0</v>
      </c>
      <c r="DY149">
        <f t="shared" ref="DY149:DY150" si="3031">($C149*AO149)/100</f>
        <v>120.5</v>
      </c>
      <c r="DZ149">
        <f t="shared" ref="DZ149:DZ150" si="3032">($C149*AP149)/100</f>
        <v>0</v>
      </c>
      <c r="EA149">
        <f t="shared" ref="EA149:EA150" si="3033">($C149*AQ149)/100</f>
        <v>722</v>
      </c>
      <c r="EB149">
        <f t="shared" ref="EB149:EB150" si="3034">($C149*AR149)/100</f>
        <v>0.29499999999999998</v>
      </c>
      <c r="EC149">
        <f t="shared" ref="EC149:EC150" si="3035">($C149*AS149)/100</f>
        <v>0</v>
      </c>
      <c r="ED149">
        <f t="shared" ref="ED149:ED150" si="3036">($C149*AT149)/100</f>
        <v>0</v>
      </c>
      <c r="EE149">
        <f t="shared" ref="EE149:EE150" si="3037">($C149*AU149)/100</f>
        <v>0.03</v>
      </c>
      <c r="EF149">
        <f t="shared" ref="EF149:EF150" si="3038">($C149*AV149)/100</f>
        <v>0</v>
      </c>
      <c r="EG149">
        <f t="shared" ref="EG149:EG150" si="3039">($C149*AW149)/100</f>
        <v>0</v>
      </c>
      <c r="EH149">
        <f t="shared" ref="EH149:EH150" si="3040">($C149*AX149)/100</f>
        <v>0</v>
      </c>
      <c r="EI149">
        <f t="shared" ref="EI149:EI150" si="3041">($C149*AY149)/100</f>
        <v>0</v>
      </c>
      <c r="EJ149">
        <f t="shared" ref="EJ149:EJ150" si="3042">($C149*AZ149)/100</f>
        <v>0</v>
      </c>
      <c r="EK149">
        <f t="shared" ref="EK149:EK150" si="3043">($C149*BA149)/100</f>
        <v>0</v>
      </c>
      <c r="EL149">
        <f t="shared" ref="EL149:EL150" si="3044">($C149*BB149)/100</f>
        <v>0</v>
      </c>
      <c r="EM149">
        <f t="shared" ref="EM149:EM150" si="3045">($C149*BC149)/100</f>
        <v>5.0000000000000001E-3</v>
      </c>
      <c r="EN149">
        <f t="shared" ref="EN149:EN150" si="3046">($C149*BD149)/100</f>
        <v>0</v>
      </c>
      <c r="EO149">
        <f t="shared" ref="EO149:EO150" si="3047">($C149*BE149)/100</f>
        <v>0</v>
      </c>
      <c r="EP149">
        <f t="shared" ref="EP149:EP150" si="3048">($C149*BF149)/100</f>
        <v>5.0000000000000001E-3</v>
      </c>
      <c r="EQ149">
        <f t="shared" ref="EQ149:EQ150" si="3049">($C149*BG149)/100</f>
        <v>0</v>
      </c>
      <c r="ER149">
        <f t="shared" ref="ER149:ER150" si="3050">($C149*BH149)/100</f>
        <v>0</v>
      </c>
      <c r="ES149">
        <f t="shared" ref="ES149:ES150" si="3051">($C149*BI149)/100</f>
        <v>7.0000000000000007E-2</v>
      </c>
      <c r="ET149">
        <f t="shared" ref="ET149:ET150" si="3052">($C149*BJ149)/100</f>
        <v>4.4999999999999998E-2</v>
      </c>
      <c r="EU149">
        <f t="shared" ref="EU149:EU150" si="3053">($C149*BK149)/100</f>
        <v>0.02</v>
      </c>
      <c r="EV149">
        <f t="shared" ref="EV149:EV150" si="3054">($C149*BL149)/100</f>
        <v>0</v>
      </c>
      <c r="EW149">
        <f t="shared" ref="EW149:EW150" si="3055">($C149*BM149)/100</f>
        <v>0</v>
      </c>
      <c r="EX149">
        <f t="shared" ref="EX149:EX150" si="3056">($C149*BN149)/100</f>
        <v>0</v>
      </c>
      <c r="EY149">
        <f t="shared" ref="EY149:EY150" si="3057">($C149*BO149)/100</f>
        <v>5.0000000000000001E-3</v>
      </c>
      <c r="EZ149">
        <f t="shared" ref="EZ149:EZ150" si="3058">($C149*BP149)/100</f>
        <v>6.5</v>
      </c>
      <c r="FA149">
        <f t="shared" ref="FA149:FA150" si="3059">($C149*BQ149)/100</f>
        <v>31.5</v>
      </c>
      <c r="FB149">
        <f t="shared" ref="FB149:FB150" si="3060">($C149*BR149)/100</f>
        <v>29</v>
      </c>
      <c r="FC149">
        <f t="shared" ref="FC149:FC150" si="3061">($C149*BS149)/100</f>
        <v>48</v>
      </c>
      <c r="FD149">
        <f t="shared" ref="FD149:FD150" si="3062">($C149*BT149)/100</f>
        <v>29</v>
      </c>
      <c r="FE149">
        <f t="shared" ref="FE149:FE150" si="3063">($C149*BU149)/100</f>
        <v>14</v>
      </c>
      <c r="FF149">
        <f t="shared" ref="FF149:FF150" si="3064">($C149*BV149)/100</f>
        <v>0</v>
      </c>
      <c r="FG149">
        <f t="shared" ref="FG149:FG150" si="3065">($C149*BW149)/100</f>
        <v>39</v>
      </c>
      <c r="FH149">
        <f t="shared" ref="FH149:FH150" si="3066">($C149*BX149)/100</f>
        <v>20</v>
      </c>
      <c r="FI149">
        <f t="shared" ref="FI149:FI150" si="3067">($C149*BY149)/100</f>
        <v>41</v>
      </c>
      <c r="FJ149">
        <f t="shared" ref="FJ149:FJ150" si="3068">($C149*BZ149)/100</f>
        <v>34</v>
      </c>
      <c r="FK149">
        <f t="shared" ref="FK149:FK150" si="3069">($C149*CA149)/100</f>
        <v>12</v>
      </c>
      <c r="FL149">
        <f t="shared" ref="FL149:FL150" si="3070">($C149*CB149)/100</f>
        <v>32.5</v>
      </c>
      <c r="FM149">
        <f t="shared" ref="FM149:FM150" si="3071">($C149*CC149)/100</f>
        <v>87</v>
      </c>
      <c r="FN149">
        <f t="shared" ref="FN149:FN150" si="3072">($C149*CD149)/100</f>
        <v>77.5</v>
      </c>
      <c r="FO149">
        <f t="shared" ref="FO149:FO150" si="3073">($C149*CE149)/100</f>
        <v>31.5</v>
      </c>
      <c r="FP149">
        <f t="shared" ref="FP149:FP150" si="3074">($C149*CF149)/100</f>
        <v>39</v>
      </c>
      <c r="FQ149">
        <f t="shared" ref="FQ149:FQ150" si="3075">($C149*CG149)/100</f>
        <v>25</v>
      </c>
      <c r="FR149">
        <f t="shared" ref="FR149:FR150" si="3076">($C149*CH149)/100</f>
        <v>0</v>
      </c>
      <c r="FS149">
        <f t="shared" ref="FS149:FS150" si="3077">($C149*CI149)/100</f>
        <v>0</v>
      </c>
      <c r="FT149">
        <f t="shared" ref="FT149:FT150" si="3078">($C149*CJ149)/100</f>
        <v>0</v>
      </c>
      <c r="FU149">
        <f t="shared" ref="FU149:FU150" si="3079">($C149*CK149)/100</f>
        <v>0</v>
      </c>
      <c r="FV149">
        <f t="shared" ref="FV149:FV150" si="3080">($C149*CL149)/100</f>
        <v>0</v>
      </c>
      <c r="FW149">
        <f t="shared" ref="FW149:FW150" si="3081">($C149*CM149)/100</f>
        <v>0</v>
      </c>
    </row>
    <row r="150" spans="1:179" x14ac:dyDescent="0.35">
      <c r="B150" s="72" t="s">
        <v>359</v>
      </c>
      <c r="C150">
        <v>50</v>
      </c>
      <c r="D150" s="6">
        <v>341</v>
      </c>
      <c r="E150" s="6">
        <v>1451</v>
      </c>
      <c r="F150" s="6">
        <v>13.5</v>
      </c>
      <c r="G150" s="6">
        <v>0</v>
      </c>
      <c r="H150" s="6">
        <v>13.5</v>
      </c>
      <c r="I150" s="6">
        <v>1.2</v>
      </c>
      <c r="J150" s="6">
        <v>0</v>
      </c>
      <c r="K150" s="6">
        <v>1.2</v>
      </c>
      <c r="L150" s="6">
        <v>0</v>
      </c>
      <c r="M150" s="6">
        <v>72.7</v>
      </c>
      <c r="N150" s="6">
        <v>70.5</v>
      </c>
      <c r="O150" s="6">
        <v>2.2000000000000002</v>
      </c>
      <c r="P150" s="6">
        <v>1.7</v>
      </c>
      <c r="Q150" s="6">
        <v>0</v>
      </c>
      <c r="R150" s="6">
        <v>10.8</v>
      </c>
      <c r="S150" s="6">
        <v>1.4</v>
      </c>
      <c r="T150" s="6">
        <v>22</v>
      </c>
      <c r="U150" s="6">
        <v>4</v>
      </c>
      <c r="V150" s="6">
        <v>192</v>
      </c>
      <c r="W150" s="6">
        <v>189</v>
      </c>
      <c r="X150" s="6">
        <v>1.1499999999999999</v>
      </c>
      <c r="Y150" s="6">
        <v>51</v>
      </c>
      <c r="Z150" s="6">
        <v>0.32</v>
      </c>
      <c r="AA150" s="6">
        <v>2.7</v>
      </c>
      <c r="AB150" s="6">
        <v>100</v>
      </c>
      <c r="AC150" s="51">
        <v>0.5</v>
      </c>
      <c r="AD150" s="6">
        <v>0.8</v>
      </c>
      <c r="AE150" s="6">
        <v>180</v>
      </c>
      <c r="AF150" s="6">
        <v>0.1</v>
      </c>
      <c r="AG150" s="6">
        <v>0.2</v>
      </c>
      <c r="AH150" s="6">
        <v>0</v>
      </c>
      <c r="AI150" s="6">
        <v>2.5</v>
      </c>
      <c r="AJ150" s="6">
        <v>0.14000000000000001</v>
      </c>
      <c r="AK150" s="6">
        <v>19</v>
      </c>
      <c r="AL150" s="6">
        <v>0.8</v>
      </c>
      <c r="AM150" s="6">
        <v>1</v>
      </c>
      <c r="AN150" s="6">
        <v>0</v>
      </c>
      <c r="AO150" s="6">
        <v>0</v>
      </c>
      <c r="AP150" s="6">
        <v>0</v>
      </c>
      <c r="AQ150" s="6">
        <v>0</v>
      </c>
      <c r="AR150" s="51">
        <v>5.0000000000000001E-3</v>
      </c>
      <c r="AS150" s="6">
        <v>0</v>
      </c>
      <c r="AT150" s="6">
        <v>0.2</v>
      </c>
      <c r="AU150" s="6">
        <v>0.19</v>
      </c>
      <c r="AV150" s="6">
        <v>0</v>
      </c>
      <c r="AW150" s="6">
        <v>0</v>
      </c>
      <c r="AX150" s="6">
        <v>0</v>
      </c>
      <c r="AY150" s="6">
        <v>0.18</v>
      </c>
      <c r="AZ150" s="6">
        <v>0.01</v>
      </c>
      <c r="BA150" s="6">
        <v>0.01</v>
      </c>
      <c r="BB150" s="6">
        <v>0</v>
      </c>
      <c r="BC150" s="6">
        <v>0.14000000000000001</v>
      </c>
      <c r="BD150" s="6">
        <v>0</v>
      </c>
      <c r="BE150" s="51">
        <v>5.0000000000000001E-3</v>
      </c>
      <c r="BF150" s="6">
        <v>0.14000000000000001</v>
      </c>
      <c r="BG150" s="51">
        <v>5.0000000000000001E-3</v>
      </c>
      <c r="BH150" s="6">
        <v>0</v>
      </c>
      <c r="BI150" s="6">
        <v>0.61</v>
      </c>
      <c r="BJ150" s="6">
        <v>0.56999999999999995</v>
      </c>
      <c r="BK150" s="6">
        <v>0.04</v>
      </c>
      <c r="BL150" s="51">
        <v>5.0000000000000001E-3</v>
      </c>
      <c r="BM150" s="6">
        <v>0</v>
      </c>
      <c r="BN150" s="6">
        <v>0</v>
      </c>
      <c r="BO150" s="6">
        <v>0</v>
      </c>
      <c r="BP150" s="7">
        <v>130</v>
      </c>
      <c r="BQ150" s="7">
        <v>389</v>
      </c>
      <c r="BR150" s="7">
        <v>563</v>
      </c>
      <c r="BS150" s="7">
        <v>1033</v>
      </c>
      <c r="BT150" s="7">
        <v>271</v>
      </c>
      <c r="BU150" s="7">
        <v>227</v>
      </c>
      <c r="BV150" s="7">
        <v>316</v>
      </c>
      <c r="BW150" s="7">
        <v>671</v>
      </c>
      <c r="BX150" s="7">
        <v>383</v>
      </c>
      <c r="BY150" s="7">
        <v>674</v>
      </c>
      <c r="BZ150" s="7">
        <v>489</v>
      </c>
      <c r="CA150" s="7">
        <v>279</v>
      </c>
      <c r="CB150" s="7">
        <v>444</v>
      </c>
      <c r="CC150" s="7">
        <v>630</v>
      </c>
      <c r="CD150" s="7">
        <v>4350</v>
      </c>
      <c r="CE150" s="7">
        <v>439</v>
      </c>
      <c r="CF150" s="7">
        <v>1473</v>
      </c>
      <c r="CG150" s="7">
        <v>703</v>
      </c>
      <c r="CH150" s="6">
        <v>0.1</v>
      </c>
      <c r="CI150" s="6">
        <v>0.2</v>
      </c>
      <c r="CJ150" s="6">
        <v>0</v>
      </c>
      <c r="CK150" s="6">
        <v>0.2</v>
      </c>
      <c r="CL150" s="6">
        <v>1.2</v>
      </c>
      <c r="CM150" s="6">
        <v>0</v>
      </c>
      <c r="CN150">
        <f t="shared" si="2994"/>
        <v>170.5</v>
      </c>
      <c r="CO150">
        <f t="shared" si="2995"/>
        <v>725.5</v>
      </c>
      <c r="CP150">
        <f t="shared" si="2996"/>
        <v>6.75</v>
      </c>
      <c r="CQ150">
        <f t="shared" si="2997"/>
        <v>0</v>
      </c>
      <c r="CR150">
        <f t="shared" si="2998"/>
        <v>6.75</v>
      </c>
      <c r="CS150">
        <f t="shared" si="2999"/>
        <v>0.6</v>
      </c>
      <c r="CT150">
        <f t="shared" si="3000"/>
        <v>0</v>
      </c>
      <c r="CU150">
        <f t="shared" si="3001"/>
        <v>0.6</v>
      </c>
      <c r="CV150">
        <f t="shared" si="3002"/>
        <v>0</v>
      </c>
      <c r="CW150">
        <f t="shared" si="3003"/>
        <v>36.35</v>
      </c>
      <c r="CX150">
        <f t="shared" si="3004"/>
        <v>35.25</v>
      </c>
      <c r="CY150">
        <f t="shared" si="3005"/>
        <v>1.1000000000000001</v>
      </c>
      <c r="CZ150">
        <f t="shared" si="3006"/>
        <v>0.85</v>
      </c>
      <c r="DA150">
        <f t="shared" si="3007"/>
        <v>0</v>
      </c>
      <c r="DB150">
        <f t="shared" si="3008"/>
        <v>5.4</v>
      </c>
      <c r="DC150">
        <f t="shared" si="3009"/>
        <v>0.7</v>
      </c>
      <c r="DD150">
        <f t="shared" si="3010"/>
        <v>11</v>
      </c>
      <c r="DE150">
        <f t="shared" si="3011"/>
        <v>2</v>
      </c>
      <c r="DF150">
        <f t="shared" si="3012"/>
        <v>96</v>
      </c>
      <c r="DG150">
        <f t="shared" si="3013"/>
        <v>94.5</v>
      </c>
      <c r="DH150">
        <f t="shared" si="3014"/>
        <v>0.57499999999999996</v>
      </c>
      <c r="DI150">
        <f t="shared" si="3015"/>
        <v>25.5</v>
      </c>
      <c r="DJ150">
        <f t="shared" si="3016"/>
        <v>0.16</v>
      </c>
      <c r="DK150">
        <f t="shared" si="3017"/>
        <v>1.35</v>
      </c>
      <c r="DL150">
        <f t="shared" si="3018"/>
        <v>50</v>
      </c>
      <c r="DM150">
        <f t="shared" si="3019"/>
        <v>0.25</v>
      </c>
      <c r="DN150">
        <f t="shared" si="3020"/>
        <v>0.4</v>
      </c>
      <c r="DO150">
        <f t="shared" si="3021"/>
        <v>90</v>
      </c>
      <c r="DP150">
        <f t="shared" si="3022"/>
        <v>0.05</v>
      </c>
      <c r="DQ150">
        <f t="shared" si="3023"/>
        <v>0.1</v>
      </c>
      <c r="DR150">
        <f t="shared" si="3024"/>
        <v>0</v>
      </c>
      <c r="DS150">
        <f t="shared" si="3025"/>
        <v>1.25</v>
      </c>
      <c r="DT150">
        <f t="shared" si="3026"/>
        <v>7.0000000000000007E-2</v>
      </c>
      <c r="DU150">
        <f t="shared" si="3027"/>
        <v>9.5</v>
      </c>
      <c r="DV150">
        <f t="shared" si="3028"/>
        <v>0.4</v>
      </c>
      <c r="DW150">
        <f t="shared" si="3029"/>
        <v>0.5</v>
      </c>
      <c r="DX150">
        <f t="shared" si="3030"/>
        <v>0</v>
      </c>
      <c r="DY150">
        <f t="shared" si="3031"/>
        <v>0</v>
      </c>
      <c r="DZ150">
        <f t="shared" si="3032"/>
        <v>0</v>
      </c>
      <c r="EA150">
        <f t="shared" si="3033"/>
        <v>0</v>
      </c>
      <c r="EB150">
        <f t="shared" si="3034"/>
        <v>2.5000000000000001E-3</v>
      </c>
      <c r="EC150">
        <f t="shared" si="3035"/>
        <v>0</v>
      </c>
      <c r="ED150">
        <f t="shared" si="3036"/>
        <v>0.1</v>
      </c>
      <c r="EE150">
        <f t="shared" si="3037"/>
        <v>9.5000000000000001E-2</v>
      </c>
      <c r="EF150">
        <f t="shared" si="3038"/>
        <v>0</v>
      </c>
      <c r="EG150">
        <f t="shared" si="3039"/>
        <v>0</v>
      </c>
      <c r="EH150">
        <f t="shared" si="3040"/>
        <v>0</v>
      </c>
      <c r="EI150">
        <f t="shared" si="3041"/>
        <v>0.09</v>
      </c>
      <c r="EJ150">
        <f t="shared" si="3042"/>
        <v>5.0000000000000001E-3</v>
      </c>
      <c r="EK150">
        <f t="shared" si="3043"/>
        <v>5.0000000000000001E-3</v>
      </c>
      <c r="EL150">
        <f t="shared" si="3044"/>
        <v>0</v>
      </c>
      <c r="EM150">
        <f t="shared" si="3045"/>
        <v>7.0000000000000007E-2</v>
      </c>
      <c r="EN150">
        <f t="shared" si="3046"/>
        <v>0</v>
      </c>
      <c r="EO150">
        <f t="shared" si="3047"/>
        <v>2.5000000000000001E-3</v>
      </c>
      <c r="EP150">
        <f t="shared" si="3048"/>
        <v>7.0000000000000007E-2</v>
      </c>
      <c r="EQ150">
        <f t="shared" si="3049"/>
        <v>2.5000000000000001E-3</v>
      </c>
      <c r="ER150">
        <f t="shared" si="3050"/>
        <v>0</v>
      </c>
      <c r="ES150">
        <f t="shared" si="3051"/>
        <v>0.30499999999999999</v>
      </c>
      <c r="ET150">
        <f t="shared" si="3052"/>
        <v>0.28499999999999998</v>
      </c>
      <c r="EU150">
        <f t="shared" si="3053"/>
        <v>0.02</v>
      </c>
      <c r="EV150">
        <f t="shared" si="3054"/>
        <v>2.5000000000000001E-3</v>
      </c>
      <c r="EW150">
        <f t="shared" si="3055"/>
        <v>0</v>
      </c>
      <c r="EX150">
        <f t="shared" si="3056"/>
        <v>0</v>
      </c>
      <c r="EY150">
        <f t="shared" si="3057"/>
        <v>0</v>
      </c>
      <c r="EZ150">
        <f t="shared" si="3058"/>
        <v>65</v>
      </c>
      <c r="FA150">
        <f t="shared" si="3059"/>
        <v>194.5</v>
      </c>
      <c r="FB150">
        <f t="shared" si="3060"/>
        <v>281.5</v>
      </c>
      <c r="FC150">
        <f t="shared" si="3061"/>
        <v>516.5</v>
      </c>
      <c r="FD150">
        <f t="shared" si="3062"/>
        <v>135.5</v>
      </c>
      <c r="FE150">
        <f t="shared" si="3063"/>
        <v>113.5</v>
      </c>
      <c r="FF150">
        <f t="shared" si="3064"/>
        <v>158</v>
      </c>
      <c r="FG150">
        <f t="shared" si="3065"/>
        <v>335.5</v>
      </c>
      <c r="FH150">
        <f t="shared" si="3066"/>
        <v>191.5</v>
      </c>
      <c r="FI150">
        <f t="shared" si="3067"/>
        <v>337</v>
      </c>
      <c r="FJ150">
        <f t="shared" si="3068"/>
        <v>244.5</v>
      </c>
      <c r="FK150">
        <f t="shared" si="3069"/>
        <v>139.5</v>
      </c>
      <c r="FL150">
        <f t="shared" si="3070"/>
        <v>222</v>
      </c>
      <c r="FM150">
        <f t="shared" si="3071"/>
        <v>315</v>
      </c>
      <c r="FN150">
        <f t="shared" si="3072"/>
        <v>2175</v>
      </c>
      <c r="FO150">
        <f t="shared" si="3073"/>
        <v>219.5</v>
      </c>
      <c r="FP150">
        <f t="shared" si="3074"/>
        <v>736.5</v>
      </c>
      <c r="FQ150">
        <f t="shared" si="3075"/>
        <v>351.5</v>
      </c>
      <c r="FR150">
        <f t="shared" si="3076"/>
        <v>0.05</v>
      </c>
      <c r="FS150">
        <f t="shared" si="3077"/>
        <v>0.1</v>
      </c>
      <c r="FT150">
        <f t="shared" si="3078"/>
        <v>0</v>
      </c>
      <c r="FU150">
        <f t="shared" si="3079"/>
        <v>0.1</v>
      </c>
      <c r="FV150">
        <f t="shared" si="3080"/>
        <v>0.6</v>
      </c>
      <c r="FW150">
        <f t="shared" si="3081"/>
        <v>0</v>
      </c>
    </row>
    <row r="151" spans="1:179" x14ac:dyDescent="0.35">
      <c r="CN151">
        <f>SUM(CN149:CN150)</f>
        <v>180</v>
      </c>
      <c r="CO151">
        <f t="shared" ref="CO151:EZ151" si="3082">SUM(CO149:CO150)</f>
        <v>764</v>
      </c>
      <c r="CP151">
        <f t="shared" si="3082"/>
        <v>7.5</v>
      </c>
      <c r="CQ151">
        <f t="shared" si="3082"/>
        <v>0</v>
      </c>
      <c r="CR151">
        <f t="shared" si="3082"/>
        <v>7.5</v>
      </c>
      <c r="CS151">
        <f t="shared" si="3082"/>
        <v>0.75</v>
      </c>
      <c r="CT151">
        <f t="shared" si="3082"/>
        <v>0</v>
      </c>
      <c r="CU151">
        <f t="shared" si="3082"/>
        <v>0.75</v>
      </c>
      <c r="CV151">
        <f t="shared" si="3082"/>
        <v>0</v>
      </c>
      <c r="CW151">
        <f t="shared" si="3082"/>
        <v>37.1</v>
      </c>
      <c r="CX151">
        <f t="shared" si="3082"/>
        <v>35.25</v>
      </c>
      <c r="CY151">
        <f t="shared" si="3082"/>
        <v>1.85</v>
      </c>
      <c r="CZ151">
        <f t="shared" si="3082"/>
        <v>1.9</v>
      </c>
      <c r="DA151">
        <f t="shared" si="3082"/>
        <v>0</v>
      </c>
      <c r="DB151">
        <f t="shared" si="3082"/>
        <v>51.699999999999996</v>
      </c>
      <c r="DC151">
        <f t="shared" si="3082"/>
        <v>1.8499999999999999</v>
      </c>
      <c r="DD151">
        <f t="shared" si="3082"/>
        <v>47.3</v>
      </c>
      <c r="DE151">
        <f t="shared" si="3082"/>
        <v>7.5</v>
      </c>
      <c r="DF151">
        <f t="shared" si="3082"/>
        <v>238</v>
      </c>
      <c r="DG151">
        <f t="shared" si="3082"/>
        <v>111.5</v>
      </c>
      <c r="DH151">
        <f t="shared" si="3082"/>
        <v>0.72499999999999998</v>
      </c>
      <c r="DI151">
        <f t="shared" si="3082"/>
        <v>25.5</v>
      </c>
      <c r="DJ151">
        <f t="shared" si="3082"/>
        <v>0.16</v>
      </c>
      <c r="DK151">
        <f t="shared" si="3082"/>
        <v>1.35</v>
      </c>
      <c r="DL151">
        <f t="shared" si="3082"/>
        <v>50</v>
      </c>
      <c r="DM151">
        <f t="shared" si="3082"/>
        <v>0.25</v>
      </c>
      <c r="DN151">
        <f t="shared" si="3082"/>
        <v>0.4</v>
      </c>
      <c r="DO151">
        <f t="shared" si="3082"/>
        <v>90</v>
      </c>
      <c r="DP151">
        <f t="shared" si="3082"/>
        <v>7.5000000000000011E-2</v>
      </c>
      <c r="DQ151">
        <f t="shared" si="3082"/>
        <v>0.22500000000000001</v>
      </c>
      <c r="DR151">
        <f t="shared" si="3082"/>
        <v>11.5</v>
      </c>
      <c r="DS151">
        <f t="shared" si="3082"/>
        <v>1.45</v>
      </c>
      <c r="DT151">
        <f t="shared" si="3082"/>
        <v>8.5000000000000006E-2</v>
      </c>
      <c r="DU151">
        <f t="shared" si="3082"/>
        <v>37.5</v>
      </c>
      <c r="DV151">
        <f t="shared" si="3082"/>
        <v>0.4</v>
      </c>
      <c r="DW151">
        <f t="shared" si="3082"/>
        <v>0.5</v>
      </c>
      <c r="DX151">
        <f t="shared" si="3082"/>
        <v>0</v>
      </c>
      <c r="DY151">
        <f t="shared" si="3082"/>
        <v>120.5</v>
      </c>
      <c r="DZ151">
        <f t="shared" si="3082"/>
        <v>0</v>
      </c>
      <c r="EA151">
        <f t="shared" si="3082"/>
        <v>722</v>
      </c>
      <c r="EB151">
        <f t="shared" si="3082"/>
        <v>0.29749999999999999</v>
      </c>
      <c r="EC151">
        <f t="shared" si="3082"/>
        <v>0</v>
      </c>
      <c r="ED151">
        <f t="shared" si="3082"/>
        <v>0.1</v>
      </c>
      <c r="EE151">
        <f t="shared" si="3082"/>
        <v>0.125</v>
      </c>
      <c r="EF151">
        <f t="shared" si="3082"/>
        <v>0</v>
      </c>
      <c r="EG151">
        <f t="shared" si="3082"/>
        <v>0</v>
      </c>
      <c r="EH151">
        <f t="shared" si="3082"/>
        <v>0</v>
      </c>
      <c r="EI151">
        <f t="shared" si="3082"/>
        <v>0.09</v>
      </c>
      <c r="EJ151">
        <f t="shared" si="3082"/>
        <v>5.0000000000000001E-3</v>
      </c>
      <c r="EK151">
        <f t="shared" si="3082"/>
        <v>5.0000000000000001E-3</v>
      </c>
      <c r="EL151">
        <f t="shared" si="3082"/>
        <v>0</v>
      </c>
      <c r="EM151">
        <f t="shared" si="3082"/>
        <v>7.5000000000000011E-2</v>
      </c>
      <c r="EN151">
        <f t="shared" si="3082"/>
        <v>0</v>
      </c>
      <c r="EO151">
        <f t="shared" si="3082"/>
        <v>2.5000000000000001E-3</v>
      </c>
      <c r="EP151">
        <f t="shared" si="3082"/>
        <v>7.5000000000000011E-2</v>
      </c>
      <c r="EQ151">
        <f t="shared" si="3082"/>
        <v>2.5000000000000001E-3</v>
      </c>
      <c r="ER151">
        <f t="shared" si="3082"/>
        <v>0</v>
      </c>
      <c r="ES151">
        <f t="shared" si="3082"/>
        <v>0.375</v>
      </c>
      <c r="ET151">
        <f t="shared" si="3082"/>
        <v>0.32999999999999996</v>
      </c>
      <c r="EU151">
        <f t="shared" si="3082"/>
        <v>0.04</v>
      </c>
      <c r="EV151">
        <f t="shared" si="3082"/>
        <v>2.5000000000000001E-3</v>
      </c>
      <c r="EW151">
        <f t="shared" si="3082"/>
        <v>0</v>
      </c>
      <c r="EX151">
        <f t="shared" si="3082"/>
        <v>0</v>
      </c>
      <c r="EY151">
        <f t="shared" si="3082"/>
        <v>5.0000000000000001E-3</v>
      </c>
      <c r="EZ151">
        <f t="shared" si="3082"/>
        <v>71.5</v>
      </c>
      <c r="FA151">
        <f t="shared" ref="FA151:FW151" si="3083">SUM(FA149:FA150)</f>
        <v>226</v>
      </c>
      <c r="FB151">
        <f t="shared" si="3083"/>
        <v>310.5</v>
      </c>
      <c r="FC151">
        <f t="shared" si="3083"/>
        <v>564.5</v>
      </c>
      <c r="FD151">
        <f t="shared" si="3083"/>
        <v>164.5</v>
      </c>
      <c r="FE151">
        <f t="shared" si="3083"/>
        <v>127.5</v>
      </c>
      <c r="FF151">
        <f t="shared" si="3083"/>
        <v>158</v>
      </c>
      <c r="FG151">
        <f t="shared" si="3083"/>
        <v>374.5</v>
      </c>
      <c r="FH151">
        <f t="shared" si="3083"/>
        <v>211.5</v>
      </c>
      <c r="FI151">
        <f t="shared" si="3083"/>
        <v>378</v>
      </c>
      <c r="FJ151">
        <f t="shared" si="3083"/>
        <v>278.5</v>
      </c>
      <c r="FK151">
        <f t="shared" si="3083"/>
        <v>151.5</v>
      </c>
      <c r="FL151">
        <f t="shared" si="3083"/>
        <v>254.5</v>
      </c>
      <c r="FM151">
        <f t="shared" si="3083"/>
        <v>402</v>
      </c>
      <c r="FN151">
        <f t="shared" si="3083"/>
        <v>2252.5</v>
      </c>
      <c r="FO151">
        <f t="shared" si="3083"/>
        <v>251</v>
      </c>
      <c r="FP151">
        <f t="shared" si="3083"/>
        <v>775.5</v>
      </c>
      <c r="FQ151">
        <f t="shared" si="3083"/>
        <v>376.5</v>
      </c>
      <c r="FR151">
        <f t="shared" si="3083"/>
        <v>0.05</v>
      </c>
      <c r="FS151">
        <f t="shared" si="3083"/>
        <v>0.1</v>
      </c>
      <c r="FT151">
        <f t="shared" si="3083"/>
        <v>0</v>
      </c>
      <c r="FU151">
        <f t="shared" si="3083"/>
        <v>0.1</v>
      </c>
      <c r="FV151">
        <f t="shared" si="3083"/>
        <v>0.6</v>
      </c>
      <c r="FW151">
        <f t="shared" si="3083"/>
        <v>0</v>
      </c>
    </row>
    <row r="153" spans="1:179" x14ac:dyDescent="0.35">
      <c r="A153" s="80" t="s">
        <v>360</v>
      </c>
      <c r="B153" s="72" t="s">
        <v>361</v>
      </c>
      <c r="C153">
        <v>65</v>
      </c>
      <c r="D153" s="6">
        <v>109</v>
      </c>
      <c r="E153" s="6">
        <v>461</v>
      </c>
      <c r="F153" s="6">
        <v>21.9</v>
      </c>
      <c r="G153" s="6">
        <v>21.9</v>
      </c>
      <c r="H153" s="6">
        <v>0</v>
      </c>
      <c r="I153" s="6">
        <v>2.4</v>
      </c>
      <c r="J153" s="6">
        <v>2.4</v>
      </c>
      <c r="K153" s="6">
        <v>0</v>
      </c>
      <c r="L153" s="6">
        <v>63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74.900000000000006</v>
      </c>
      <c r="S153" s="6">
        <v>1</v>
      </c>
      <c r="T153" s="6">
        <v>6</v>
      </c>
      <c r="U153" s="6">
        <v>75</v>
      </c>
      <c r="V153" s="6">
        <v>320</v>
      </c>
      <c r="W153" s="6">
        <v>200</v>
      </c>
      <c r="X153" s="6">
        <v>2.7</v>
      </c>
      <c r="Y153" s="6">
        <v>23</v>
      </c>
      <c r="Z153" s="6">
        <v>0.12</v>
      </c>
      <c r="AA153" s="6">
        <v>15</v>
      </c>
      <c r="AB153" s="6">
        <v>73</v>
      </c>
      <c r="AC153" s="6">
        <v>5</v>
      </c>
      <c r="AD153" s="51">
        <v>5.0000000000000001E-3</v>
      </c>
      <c r="AE153" s="6">
        <v>160</v>
      </c>
      <c r="AF153" s="6">
        <v>0.08</v>
      </c>
      <c r="AG153" s="6">
        <v>0.31</v>
      </c>
      <c r="AH153" s="6">
        <v>0</v>
      </c>
      <c r="AI153" s="6">
        <v>4.5999999999999996</v>
      </c>
      <c r="AJ153" s="6">
        <v>0.35</v>
      </c>
      <c r="AK153" s="6">
        <v>28</v>
      </c>
      <c r="AL153" s="6">
        <v>0.75</v>
      </c>
      <c r="AM153" s="6">
        <v>2</v>
      </c>
      <c r="AN153" s="6">
        <v>2</v>
      </c>
      <c r="AO153" s="51">
        <v>0.5</v>
      </c>
      <c r="AP153" s="51">
        <v>0.5</v>
      </c>
      <c r="AQ153" s="51">
        <v>0.5</v>
      </c>
      <c r="AR153" s="51">
        <v>5.0000000000000001E-3</v>
      </c>
      <c r="AS153" s="6">
        <v>0.4</v>
      </c>
      <c r="AT153" s="84">
        <v>0</v>
      </c>
      <c r="AU153" s="6">
        <v>0.9</v>
      </c>
      <c r="AV153" s="6">
        <v>0</v>
      </c>
      <c r="AW153" s="6">
        <v>0</v>
      </c>
      <c r="AX153" s="6">
        <v>0.04</v>
      </c>
      <c r="AY153" s="6">
        <v>0.46</v>
      </c>
      <c r="AZ153" s="6">
        <v>0.4</v>
      </c>
      <c r="BA153" s="6">
        <v>0</v>
      </c>
      <c r="BB153" s="6">
        <v>0</v>
      </c>
      <c r="BC153" s="6">
        <v>0.62</v>
      </c>
      <c r="BD153" s="51">
        <v>5.0000000000000001E-3</v>
      </c>
      <c r="BE153" s="6">
        <v>0.08</v>
      </c>
      <c r="BF153" s="6">
        <v>0.51</v>
      </c>
      <c r="BG153" s="6">
        <v>0.01</v>
      </c>
      <c r="BH153" s="6">
        <v>0</v>
      </c>
      <c r="BI153" s="6">
        <v>0.6</v>
      </c>
      <c r="BJ153" s="6">
        <v>0.45</v>
      </c>
      <c r="BK153" s="6">
        <v>0.03</v>
      </c>
      <c r="BL153" s="6">
        <v>0.08</v>
      </c>
      <c r="BM153" s="51">
        <v>5.0000000000000001E-3</v>
      </c>
      <c r="BN153" s="6">
        <v>0.02</v>
      </c>
      <c r="BO153" s="6">
        <v>0.02</v>
      </c>
      <c r="BP153" s="7">
        <v>250</v>
      </c>
      <c r="BQ153" s="7">
        <v>1137</v>
      </c>
      <c r="BR153" s="7">
        <v>1137</v>
      </c>
      <c r="BS153" s="7">
        <v>1752</v>
      </c>
      <c r="BT153" s="7">
        <v>1993</v>
      </c>
      <c r="BU153" s="7">
        <v>694</v>
      </c>
      <c r="BV153" s="7">
        <v>254</v>
      </c>
      <c r="BW153" s="7">
        <v>889</v>
      </c>
      <c r="BX153" s="7">
        <v>749</v>
      </c>
      <c r="BY153" s="7">
        <v>1154</v>
      </c>
      <c r="BZ153" s="7">
        <v>1480</v>
      </c>
      <c r="CA153" s="7">
        <v>618</v>
      </c>
      <c r="CB153" s="7">
        <v>1301</v>
      </c>
      <c r="CC153" s="7">
        <v>2074</v>
      </c>
      <c r="CD153" s="7">
        <v>3211</v>
      </c>
      <c r="CE153" s="7">
        <v>1137</v>
      </c>
      <c r="CF153" s="7">
        <v>926</v>
      </c>
      <c r="CG153" s="7">
        <v>933</v>
      </c>
      <c r="CH153" s="6">
        <v>0</v>
      </c>
      <c r="CI153" s="6">
        <v>0</v>
      </c>
      <c r="CJ153" s="6">
        <v>0</v>
      </c>
      <c r="CK153" s="6">
        <v>0</v>
      </c>
      <c r="CL153" s="6">
        <v>0</v>
      </c>
      <c r="CM153" s="6">
        <v>0</v>
      </c>
      <c r="CN153">
        <f t="shared" ref="CN153:CN157" si="3084">($C153*D153)/100</f>
        <v>70.849999999999994</v>
      </c>
      <c r="CO153">
        <f t="shared" ref="CO153:CO157" si="3085">($C153*E153)/100</f>
        <v>299.64999999999998</v>
      </c>
      <c r="CP153">
        <f t="shared" ref="CP153:CP157" si="3086">($C153*F153)/100</f>
        <v>14.234999999999999</v>
      </c>
      <c r="CQ153">
        <f t="shared" ref="CQ153:CQ157" si="3087">($C153*G153)/100</f>
        <v>14.234999999999999</v>
      </c>
      <c r="CR153">
        <f t="shared" ref="CR153:CR157" si="3088">($C153*H153)/100</f>
        <v>0</v>
      </c>
      <c r="CS153">
        <f t="shared" ref="CS153:CS157" si="3089">($C153*I153)/100</f>
        <v>1.56</v>
      </c>
      <c r="CT153">
        <f t="shared" ref="CT153:CT157" si="3090">($C153*J153)/100</f>
        <v>1.56</v>
      </c>
      <c r="CU153">
        <f t="shared" ref="CU153:CU157" si="3091">($C153*K153)/100</f>
        <v>0</v>
      </c>
      <c r="CV153">
        <f t="shared" ref="CV153:CV157" si="3092">($C153*L153)/100</f>
        <v>40.950000000000003</v>
      </c>
      <c r="CW153">
        <f t="shared" ref="CW153:CW157" si="3093">($C153*M153)/100</f>
        <v>0</v>
      </c>
      <c r="CX153">
        <f t="shared" ref="CX153:CX157" si="3094">($C153*N153)/100</f>
        <v>0</v>
      </c>
      <c r="CY153">
        <f t="shared" ref="CY153:CY157" si="3095">($C153*O153)/100</f>
        <v>0</v>
      </c>
      <c r="CZ153">
        <f t="shared" ref="CZ153:CZ157" si="3096">($C153*P153)/100</f>
        <v>0</v>
      </c>
      <c r="DA153">
        <f t="shared" ref="DA153:DA157" si="3097">($C153*Q153)/100</f>
        <v>0</v>
      </c>
      <c r="DB153">
        <f t="shared" ref="DB153:DB157" si="3098">($C153*R153)/100</f>
        <v>48.685000000000002</v>
      </c>
      <c r="DC153">
        <f t="shared" ref="DC153:DC157" si="3099">($C153*S153)/100</f>
        <v>0.65</v>
      </c>
      <c r="DD153">
        <f t="shared" ref="DD153:DD157" si="3100">($C153*T153)/100</f>
        <v>3.9</v>
      </c>
      <c r="DE153">
        <f t="shared" ref="DE153:DE157" si="3101">($C153*U153)/100</f>
        <v>48.75</v>
      </c>
      <c r="DF153">
        <f t="shared" ref="DF153:DF157" si="3102">($C153*V153)/100</f>
        <v>208</v>
      </c>
      <c r="DG153">
        <f t="shared" ref="DG153:DG157" si="3103">($C153*W153)/100</f>
        <v>130</v>
      </c>
      <c r="DH153">
        <f t="shared" ref="DH153:DH157" si="3104">($C153*X153)/100</f>
        <v>1.7549999999999999</v>
      </c>
      <c r="DI153">
        <f t="shared" ref="DI153:DI157" si="3105">($C153*Y153)/100</f>
        <v>14.95</v>
      </c>
      <c r="DJ153">
        <f t="shared" ref="DJ153:DJ157" si="3106">($C153*Z153)/100</f>
        <v>7.8E-2</v>
      </c>
      <c r="DK153">
        <f t="shared" ref="DK153:DK157" si="3107">($C153*AA153)/100</f>
        <v>9.75</v>
      </c>
      <c r="DL153">
        <f t="shared" ref="DL153:DL157" si="3108">($C153*AB153)/100</f>
        <v>47.45</v>
      </c>
      <c r="DM153">
        <f t="shared" ref="DM153:DM157" si="3109">($C153*AC153)/100</f>
        <v>3.25</v>
      </c>
      <c r="DN153">
        <f t="shared" ref="DN153:DN157" si="3110">($C153*AD153)/100</f>
        <v>3.2500000000000003E-3</v>
      </c>
      <c r="DO153">
        <f t="shared" ref="DO153:DO157" si="3111">($C153*AE153)/100</f>
        <v>104</v>
      </c>
      <c r="DP153">
        <f t="shared" ref="DP153:DP157" si="3112">($C153*AF153)/100</f>
        <v>5.2000000000000005E-2</v>
      </c>
      <c r="DQ153">
        <f t="shared" ref="DQ153:DQ157" si="3113">($C153*AG153)/100</f>
        <v>0.20149999999999998</v>
      </c>
      <c r="DR153">
        <f t="shared" ref="DR153:DR157" si="3114">($C153*AH153)/100</f>
        <v>0</v>
      </c>
      <c r="DS153">
        <f t="shared" ref="DS153:DS157" si="3115">($C153*AI153)/100</f>
        <v>2.99</v>
      </c>
      <c r="DT153">
        <f t="shared" ref="DT153:DT157" si="3116">($C153*AJ153)/100</f>
        <v>0.22750000000000001</v>
      </c>
      <c r="DU153">
        <f t="shared" ref="DU153:DU157" si="3117">($C153*AK153)/100</f>
        <v>18.2</v>
      </c>
      <c r="DV153">
        <f t="shared" ref="DV153:DV157" si="3118">($C153*AL153)/100</f>
        <v>0.48749999999999999</v>
      </c>
      <c r="DW153">
        <f t="shared" ref="DW153:DW157" si="3119">($C153*AM153)/100</f>
        <v>1.3</v>
      </c>
      <c r="DX153">
        <f t="shared" ref="DX153:DX157" si="3120">($C153*AN153)/100</f>
        <v>1.3</v>
      </c>
      <c r="DY153">
        <f t="shared" ref="DY153:DY157" si="3121">($C153*AO153)/100</f>
        <v>0.32500000000000001</v>
      </c>
      <c r="DZ153">
        <f t="shared" ref="DZ153:DZ157" si="3122">($C153*AP153)/100</f>
        <v>0.32500000000000001</v>
      </c>
      <c r="EA153">
        <f t="shared" ref="EA153:EA157" si="3123">($C153*AQ153)/100</f>
        <v>0.32500000000000001</v>
      </c>
      <c r="EB153">
        <f t="shared" ref="EB153:EB157" si="3124">($C153*AR153)/100</f>
        <v>3.2500000000000003E-3</v>
      </c>
      <c r="EC153">
        <f t="shared" ref="EC153:EC157" si="3125">($C153*AS153)/100</f>
        <v>0.26</v>
      </c>
      <c r="ED153">
        <f t="shared" ref="ED153:ED157" si="3126">($C153*AT153)/100</f>
        <v>0</v>
      </c>
      <c r="EE153">
        <f t="shared" ref="EE153:EE157" si="3127">($C153*AU153)/100</f>
        <v>0.58499999999999996</v>
      </c>
      <c r="EF153">
        <f t="shared" ref="EF153:EF157" si="3128">($C153*AV153)/100</f>
        <v>0</v>
      </c>
      <c r="EG153">
        <f t="shared" ref="EG153:EG157" si="3129">($C153*AW153)/100</f>
        <v>0</v>
      </c>
      <c r="EH153">
        <f t="shared" ref="EH153:EH157" si="3130">($C153*AX153)/100</f>
        <v>2.6000000000000002E-2</v>
      </c>
      <c r="EI153">
        <f t="shared" ref="EI153:EI157" si="3131">($C153*AY153)/100</f>
        <v>0.29900000000000004</v>
      </c>
      <c r="EJ153">
        <f t="shared" ref="EJ153:EJ157" si="3132">($C153*AZ153)/100</f>
        <v>0.26</v>
      </c>
      <c r="EK153">
        <f t="shared" ref="EK153:EK157" si="3133">($C153*BA153)/100</f>
        <v>0</v>
      </c>
      <c r="EL153">
        <f t="shared" ref="EL153:EL157" si="3134">($C153*BB153)/100</f>
        <v>0</v>
      </c>
      <c r="EM153">
        <f t="shared" ref="EM153:EM157" si="3135">($C153*BC153)/100</f>
        <v>0.40299999999999997</v>
      </c>
      <c r="EN153">
        <f t="shared" ref="EN153:EN157" si="3136">($C153*BD153)/100</f>
        <v>3.2500000000000003E-3</v>
      </c>
      <c r="EO153">
        <f t="shared" ref="EO153:EO157" si="3137">($C153*BE153)/100</f>
        <v>5.2000000000000005E-2</v>
      </c>
      <c r="EP153">
        <f t="shared" ref="EP153:EP157" si="3138">($C153*BF153)/100</f>
        <v>0.33149999999999996</v>
      </c>
      <c r="EQ153">
        <f t="shared" ref="EQ153:EQ157" si="3139">($C153*BG153)/100</f>
        <v>6.5000000000000006E-3</v>
      </c>
      <c r="ER153">
        <f t="shared" ref="ER153:ER157" si="3140">($C153*BH153)/100</f>
        <v>0</v>
      </c>
      <c r="ES153">
        <f t="shared" ref="ES153:ES157" si="3141">($C153*BI153)/100</f>
        <v>0.39</v>
      </c>
      <c r="ET153">
        <f t="shared" ref="ET153:ET157" si="3142">($C153*BJ153)/100</f>
        <v>0.29249999999999998</v>
      </c>
      <c r="EU153">
        <f t="shared" ref="EU153:EU157" si="3143">($C153*BK153)/100</f>
        <v>1.95E-2</v>
      </c>
      <c r="EV153">
        <f t="shared" ref="EV153:EV157" si="3144">($C153*BL153)/100</f>
        <v>5.2000000000000005E-2</v>
      </c>
      <c r="EW153">
        <f t="shared" ref="EW153:EW157" si="3145">($C153*BM153)/100</f>
        <v>3.2500000000000003E-3</v>
      </c>
      <c r="EX153">
        <f t="shared" ref="EX153:EX157" si="3146">($C153*BN153)/100</f>
        <v>1.3000000000000001E-2</v>
      </c>
      <c r="EY153">
        <f t="shared" ref="EY153:EY157" si="3147">($C153*BO153)/100</f>
        <v>1.3000000000000001E-2</v>
      </c>
      <c r="EZ153">
        <f t="shared" ref="EZ153:EZ157" si="3148">($C153*BP153)/100</f>
        <v>162.5</v>
      </c>
      <c r="FA153">
        <f t="shared" ref="FA153:FA157" si="3149">($C153*BQ153)/100</f>
        <v>739.05</v>
      </c>
      <c r="FB153">
        <f t="shared" ref="FB153:FB157" si="3150">($C153*BR153)/100</f>
        <v>739.05</v>
      </c>
      <c r="FC153">
        <f t="shared" ref="FC153:FC157" si="3151">($C153*BS153)/100</f>
        <v>1138.8</v>
      </c>
      <c r="FD153">
        <f t="shared" ref="FD153:FD157" si="3152">($C153*BT153)/100</f>
        <v>1295.45</v>
      </c>
      <c r="FE153">
        <f t="shared" ref="FE153:FE157" si="3153">($C153*BU153)/100</f>
        <v>451.1</v>
      </c>
      <c r="FF153">
        <f t="shared" ref="FF153:FF157" si="3154">($C153*BV153)/100</f>
        <v>165.1</v>
      </c>
      <c r="FG153">
        <f t="shared" ref="FG153:FG157" si="3155">($C153*BW153)/100</f>
        <v>577.85</v>
      </c>
      <c r="FH153">
        <f t="shared" ref="FH153:FH157" si="3156">($C153*BX153)/100</f>
        <v>486.85</v>
      </c>
      <c r="FI153">
        <f t="shared" ref="FI153:FI157" si="3157">($C153*BY153)/100</f>
        <v>750.1</v>
      </c>
      <c r="FJ153">
        <f t="shared" ref="FJ153:FJ157" si="3158">($C153*BZ153)/100</f>
        <v>962</v>
      </c>
      <c r="FK153">
        <f t="shared" ref="FK153:FK157" si="3159">($C153*CA153)/100</f>
        <v>401.7</v>
      </c>
      <c r="FL153">
        <f t="shared" ref="FL153:FL157" si="3160">($C153*CB153)/100</f>
        <v>845.65</v>
      </c>
      <c r="FM153">
        <f t="shared" ref="FM153:FM157" si="3161">($C153*CC153)/100</f>
        <v>1348.1</v>
      </c>
      <c r="FN153">
        <f t="shared" ref="FN153:FN157" si="3162">($C153*CD153)/100</f>
        <v>2087.15</v>
      </c>
      <c r="FO153">
        <f t="shared" ref="FO153:FO157" si="3163">($C153*CE153)/100</f>
        <v>739.05</v>
      </c>
      <c r="FP153">
        <f t="shared" ref="FP153:FP157" si="3164">($C153*CF153)/100</f>
        <v>601.9</v>
      </c>
      <c r="FQ153">
        <f t="shared" ref="FQ153:FQ157" si="3165">($C153*CG153)/100</f>
        <v>606.45000000000005</v>
      </c>
      <c r="FR153">
        <f t="shared" ref="FR153:FR157" si="3166">($C153*CH153)/100</f>
        <v>0</v>
      </c>
      <c r="FS153">
        <f t="shared" ref="FS153:FS157" si="3167">($C153*CI153)/100</f>
        <v>0</v>
      </c>
      <c r="FT153">
        <f t="shared" ref="FT153:FT157" si="3168">($C153*CJ153)/100</f>
        <v>0</v>
      </c>
      <c r="FU153">
        <f t="shared" ref="FU153:FU157" si="3169">($C153*CK153)/100</f>
        <v>0</v>
      </c>
      <c r="FV153">
        <f t="shared" ref="FV153:FV157" si="3170">($C153*CL153)/100</f>
        <v>0</v>
      </c>
      <c r="FW153">
        <f t="shared" ref="FW153:FW157" si="3171">($C153*CM153)/100</f>
        <v>0</v>
      </c>
    </row>
    <row r="154" spans="1:179" x14ac:dyDescent="0.35">
      <c r="B154" s="72" t="s">
        <v>222</v>
      </c>
      <c r="C154">
        <v>15</v>
      </c>
      <c r="D154" s="6">
        <v>128</v>
      </c>
      <c r="E154" s="6">
        <v>533</v>
      </c>
      <c r="F154" s="6">
        <v>12.4</v>
      </c>
      <c r="G154" s="6">
        <v>12.4</v>
      </c>
      <c r="H154" s="6">
        <v>0</v>
      </c>
      <c r="I154" s="6">
        <v>8.6999999999999993</v>
      </c>
      <c r="J154" s="6">
        <v>8.6999999999999993</v>
      </c>
      <c r="K154" s="6">
        <v>0</v>
      </c>
      <c r="L154" s="6">
        <v>371</v>
      </c>
      <c r="M154" s="51">
        <v>0.05</v>
      </c>
      <c r="N154" s="6">
        <v>0</v>
      </c>
      <c r="O154" s="51">
        <v>0.05</v>
      </c>
      <c r="P154" s="6">
        <v>0</v>
      </c>
      <c r="Q154" s="6">
        <v>0</v>
      </c>
      <c r="R154" s="6">
        <v>77.099999999999994</v>
      </c>
      <c r="S154" s="6">
        <v>1.5</v>
      </c>
      <c r="T154" s="6">
        <v>48</v>
      </c>
      <c r="U154" s="6">
        <v>137</v>
      </c>
      <c r="V154" s="6">
        <v>133</v>
      </c>
      <c r="W154" s="6">
        <v>210</v>
      </c>
      <c r="X154" s="6">
        <v>1.2</v>
      </c>
      <c r="Y154" s="6">
        <v>13</v>
      </c>
      <c r="Z154" s="6">
        <v>0.06</v>
      </c>
      <c r="AA154" s="6">
        <v>5.8</v>
      </c>
      <c r="AB154" s="6">
        <v>160</v>
      </c>
      <c r="AC154" s="6">
        <v>53</v>
      </c>
      <c r="AD154" s="51">
        <v>5.0000000000000001E-3</v>
      </c>
      <c r="AE154" s="6">
        <v>180</v>
      </c>
      <c r="AF154" s="6">
        <v>0.09</v>
      </c>
      <c r="AG154" s="6">
        <v>0.3</v>
      </c>
      <c r="AH154" s="6">
        <v>0</v>
      </c>
      <c r="AI154" s="6">
        <v>0.1</v>
      </c>
      <c r="AJ154" s="6">
        <v>0.12</v>
      </c>
      <c r="AK154" s="6">
        <v>50</v>
      </c>
      <c r="AL154" s="6">
        <v>1.77</v>
      </c>
      <c r="AM154" s="6">
        <v>20</v>
      </c>
      <c r="AN154" s="6">
        <v>2.5</v>
      </c>
      <c r="AO154" s="6">
        <v>225</v>
      </c>
      <c r="AP154" s="6">
        <v>211</v>
      </c>
      <c r="AQ154" s="6">
        <v>84</v>
      </c>
      <c r="AR154" s="6">
        <v>1.1100000000000001</v>
      </c>
      <c r="AS154" s="6">
        <v>1.75</v>
      </c>
      <c r="AT154" s="51">
        <v>5.0000000000000001E-3</v>
      </c>
      <c r="AU154" s="6">
        <v>3.17</v>
      </c>
      <c r="AV154" s="6">
        <v>0</v>
      </c>
      <c r="AW154" s="6">
        <v>0</v>
      </c>
      <c r="AX154" s="6">
        <v>0.03</v>
      </c>
      <c r="AY154" s="6">
        <v>1.9</v>
      </c>
      <c r="AZ154" s="6">
        <v>1.21</v>
      </c>
      <c r="BA154" s="6">
        <v>0</v>
      </c>
      <c r="BB154" s="6">
        <v>0</v>
      </c>
      <c r="BC154" s="6">
        <v>2.58</v>
      </c>
      <c r="BD154" s="6">
        <v>0</v>
      </c>
      <c r="BE154" s="6">
        <v>0.23</v>
      </c>
      <c r="BF154" s="6">
        <v>2.35</v>
      </c>
      <c r="BG154" s="6">
        <v>0</v>
      </c>
      <c r="BH154" s="6">
        <v>0</v>
      </c>
      <c r="BI154" s="6">
        <v>1.26</v>
      </c>
      <c r="BJ154" s="6">
        <v>1.06</v>
      </c>
      <c r="BK154" s="6">
        <v>0.04</v>
      </c>
      <c r="BL154" s="6">
        <v>0.16</v>
      </c>
      <c r="BM154" s="6">
        <v>0</v>
      </c>
      <c r="BN154" s="6">
        <v>0</v>
      </c>
      <c r="BO154" s="6">
        <v>0</v>
      </c>
      <c r="BP154" s="7">
        <v>197</v>
      </c>
      <c r="BQ154" s="7">
        <v>623</v>
      </c>
      <c r="BR154" s="7">
        <v>657</v>
      </c>
      <c r="BS154" s="7">
        <v>1041</v>
      </c>
      <c r="BT154" s="7">
        <v>880</v>
      </c>
      <c r="BU154" s="7">
        <v>437</v>
      </c>
      <c r="BV154" s="7">
        <v>323</v>
      </c>
      <c r="BW154" s="7">
        <v>662</v>
      </c>
      <c r="BX154" s="7">
        <v>503</v>
      </c>
      <c r="BY154" s="7">
        <v>823</v>
      </c>
      <c r="BZ154" s="7">
        <v>767</v>
      </c>
      <c r="CA154" s="7">
        <v>298</v>
      </c>
      <c r="CB154" s="7">
        <v>719</v>
      </c>
      <c r="CC154" s="7">
        <v>1209</v>
      </c>
      <c r="CD154" s="7">
        <v>1508</v>
      </c>
      <c r="CE154" s="7">
        <v>416</v>
      </c>
      <c r="CF154" s="7">
        <v>496</v>
      </c>
      <c r="CG154" s="7">
        <v>842</v>
      </c>
      <c r="CH154" s="51">
        <v>0.05</v>
      </c>
      <c r="CI154" s="6">
        <v>0</v>
      </c>
      <c r="CJ154" s="6">
        <v>0</v>
      </c>
      <c r="CK154" s="6">
        <v>0</v>
      </c>
      <c r="CL154" s="6">
        <v>0</v>
      </c>
      <c r="CM154" s="6">
        <v>0</v>
      </c>
      <c r="CN154">
        <f t="shared" si="3084"/>
        <v>19.2</v>
      </c>
      <c r="CO154">
        <f t="shared" si="3085"/>
        <v>79.95</v>
      </c>
      <c r="CP154">
        <f t="shared" si="3086"/>
        <v>1.86</v>
      </c>
      <c r="CQ154">
        <f t="shared" si="3087"/>
        <v>1.86</v>
      </c>
      <c r="CR154">
        <f t="shared" si="3088"/>
        <v>0</v>
      </c>
      <c r="CS154">
        <f t="shared" si="3089"/>
        <v>1.3049999999999999</v>
      </c>
      <c r="CT154">
        <f t="shared" si="3090"/>
        <v>1.3049999999999999</v>
      </c>
      <c r="CU154">
        <f t="shared" si="3091"/>
        <v>0</v>
      </c>
      <c r="CV154">
        <f t="shared" si="3092"/>
        <v>55.65</v>
      </c>
      <c r="CW154">
        <f t="shared" si="3093"/>
        <v>7.4999999999999997E-3</v>
      </c>
      <c r="CX154">
        <f t="shared" si="3094"/>
        <v>0</v>
      </c>
      <c r="CY154">
        <f t="shared" si="3095"/>
        <v>7.4999999999999997E-3</v>
      </c>
      <c r="CZ154">
        <f t="shared" si="3096"/>
        <v>0</v>
      </c>
      <c r="DA154">
        <f t="shared" si="3097"/>
        <v>0</v>
      </c>
      <c r="DB154">
        <f t="shared" si="3098"/>
        <v>11.565</v>
      </c>
      <c r="DC154">
        <f t="shared" si="3099"/>
        <v>0.22500000000000001</v>
      </c>
      <c r="DD154">
        <f t="shared" si="3100"/>
        <v>7.2</v>
      </c>
      <c r="DE154">
        <f t="shared" si="3101"/>
        <v>20.55</v>
      </c>
      <c r="DF154">
        <f t="shared" si="3102"/>
        <v>19.95</v>
      </c>
      <c r="DG154">
        <f t="shared" si="3103"/>
        <v>31.5</v>
      </c>
      <c r="DH154">
        <f t="shared" si="3104"/>
        <v>0.18</v>
      </c>
      <c r="DI154">
        <f t="shared" si="3105"/>
        <v>1.95</v>
      </c>
      <c r="DJ154">
        <f t="shared" si="3106"/>
        <v>8.9999999999999993E-3</v>
      </c>
      <c r="DK154">
        <f t="shared" si="3107"/>
        <v>0.87</v>
      </c>
      <c r="DL154">
        <f t="shared" si="3108"/>
        <v>24</v>
      </c>
      <c r="DM154">
        <f t="shared" si="3109"/>
        <v>7.95</v>
      </c>
      <c r="DN154">
        <f t="shared" si="3110"/>
        <v>7.5000000000000002E-4</v>
      </c>
      <c r="DO154">
        <f t="shared" si="3111"/>
        <v>27</v>
      </c>
      <c r="DP154">
        <f t="shared" si="3112"/>
        <v>1.3499999999999998E-2</v>
      </c>
      <c r="DQ154">
        <f t="shared" si="3113"/>
        <v>4.4999999999999998E-2</v>
      </c>
      <c r="DR154">
        <f t="shared" si="3114"/>
        <v>0</v>
      </c>
      <c r="DS154">
        <f t="shared" si="3115"/>
        <v>1.4999999999999999E-2</v>
      </c>
      <c r="DT154">
        <f t="shared" si="3116"/>
        <v>1.7999999999999999E-2</v>
      </c>
      <c r="DU154">
        <f t="shared" si="3117"/>
        <v>7.5</v>
      </c>
      <c r="DV154">
        <f t="shared" si="3118"/>
        <v>0.26550000000000001</v>
      </c>
      <c r="DW154">
        <f t="shared" si="3119"/>
        <v>3</v>
      </c>
      <c r="DX154">
        <f t="shared" si="3120"/>
        <v>0.375</v>
      </c>
      <c r="DY154">
        <f t="shared" si="3121"/>
        <v>33.75</v>
      </c>
      <c r="DZ154">
        <f t="shared" si="3122"/>
        <v>31.65</v>
      </c>
      <c r="EA154">
        <f t="shared" si="3123"/>
        <v>12.6</v>
      </c>
      <c r="EB154">
        <f t="shared" si="3124"/>
        <v>0.16650000000000001</v>
      </c>
      <c r="EC154">
        <f t="shared" si="3125"/>
        <v>0.26250000000000001</v>
      </c>
      <c r="ED154">
        <f t="shared" si="3126"/>
        <v>7.5000000000000002E-4</v>
      </c>
      <c r="EE154">
        <f t="shared" si="3127"/>
        <v>0.47549999999999998</v>
      </c>
      <c r="EF154">
        <f t="shared" si="3128"/>
        <v>0</v>
      </c>
      <c r="EG154">
        <f t="shared" si="3129"/>
        <v>0</v>
      </c>
      <c r="EH154">
        <f t="shared" si="3130"/>
        <v>4.4999999999999997E-3</v>
      </c>
      <c r="EI154">
        <f t="shared" si="3131"/>
        <v>0.28499999999999998</v>
      </c>
      <c r="EJ154">
        <f t="shared" si="3132"/>
        <v>0.18149999999999999</v>
      </c>
      <c r="EK154">
        <f t="shared" si="3133"/>
        <v>0</v>
      </c>
      <c r="EL154">
        <f t="shared" si="3134"/>
        <v>0</v>
      </c>
      <c r="EM154">
        <f t="shared" si="3135"/>
        <v>0.38700000000000001</v>
      </c>
      <c r="EN154">
        <f t="shared" si="3136"/>
        <v>0</v>
      </c>
      <c r="EO154">
        <f t="shared" si="3137"/>
        <v>3.4500000000000003E-2</v>
      </c>
      <c r="EP154">
        <f t="shared" si="3138"/>
        <v>0.35249999999999998</v>
      </c>
      <c r="EQ154">
        <f t="shared" si="3139"/>
        <v>0</v>
      </c>
      <c r="ER154">
        <f t="shared" si="3140"/>
        <v>0</v>
      </c>
      <c r="ES154">
        <f t="shared" si="3141"/>
        <v>0.18899999999999997</v>
      </c>
      <c r="ET154">
        <f t="shared" si="3142"/>
        <v>0.159</v>
      </c>
      <c r="EU154">
        <f t="shared" si="3143"/>
        <v>6.0000000000000001E-3</v>
      </c>
      <c r="EV154">
        <f t="shared" si="3144"/>
        <v>2.4E-2</v>
      </c>
      <c r="EW154">
        <f t="shared" si="3145"/>
        <v>0</v>
      </c>
      <c r="EX154">
        <f t="shared" si="3146"/>
        <v>0</v>
      </c>
      <c r="EY154">
        <f t="shared" si="3147"/>
        <v>0</v>
      </c>
      <c r="EZ154">
        <f t="shared" si="3148"/>
        <v>29.55</v>
      </c>
      <c r="FA154">
        <f t="shared" si="3149"/>
        <v>93.45</v>
      </c>
      <c r="FB154">
        <f t="shared" si="3150"/>
        <v>98.55</v>
      </c>
      <c r="FC154">
        <f t="shared" si="3151"/>
        <v>156.15</v>
      </c>
      <c r="FD154">
        <f t="shared" si="3152"/>
        <v>132</v>
      </c>
      <c r="FE154">
        <f t="shared" si="3153"/>
        <v>65.55</v>
      </c>
      <c r="FF154">
        <f t="shared" si="3154"/>
        <v>48.45</v>
      </c>
      <c r="FG154">
        <f t="shared" si="3155"/>
        <v>99.3</v>
      </c>
      <c r="FH154">
        <f t="shared" si="3156"/>
        <v>75.45</v>
      </c>
      <c r="FI154">
        <f t="shared" si="3157"/>
        <v>123.45</v>
      </c>
      <c r="FJ154">
        <f t="shared" si="3158"/>
        <v>115.05</v>
      </c>
      <c r="FK154">
        <f t="shared" si="3159"/>
        <v>44.7</v>
      </c>
      <c r="FL154">
        <f t="shared" si="3160"/>
        <v>107.85</v>
      </c>
      <c r="FM154">
        <f t="shared" si="3161"/>
        <v>181.35</v>
      </c>
      <c r="FN154">
        <f t="shared" si="3162"/>
        <v>226.2</v>
      </c>
      <c r="FO154">
        <f t="shared" si="3163"/>
        <v>62.4</v>
      </c>
      <c r="FP154">
        <f t="shared" si="3164"/>
        <v>74.400000000000006</v>
      </c>
      <c r="FQ154">
        <f t="shared" si="3165"/>
        <v>126.3</v>
      </c>
      <c r="FR154">
        <f t="shared" si="3166"/>
        <v>7.4999999999999997E-3</v>
      </c>
      <c r="FS154">
        <f t="shared" si="3167"/>
        <v>0</v>
      </c>
      <c r="FT154">
        <f t="shared" si="3168"/>
        <v>0</v>
      </c>
      <c r="FU154">
        <f t="shared" si="3169"/>
        <v>0</v>
      </c>
      <c r="FV154">
        <f t="shared" si="3170"/>
        <v>0</v>
      </c>
      <c r="FW154">
        <f t="shared" si="3171"/>
        <v>0</v>
      </c>
    </row>
    <row r="155" spans="1:179" x14ac:dyDescent="0.35">
      <c r="B155" s="72" t="s">
        <v>304</v>
      </c>
      <c r="C155">
        <v>8</v>
      </c>
      <c r="D155" s="6">
        <v>406</v>
      </c>
      <c r="E155" s="6">
        <v>1690</v>
      </c>
      <c r="F155" s="6">
        <v>33.9</v>
      </c>
      <c r="G155" s="6">
        <v>33.9</v>
      </c>
      <c r="H155" s="6">
        <v>0</v>
      </c>
      <c r="I155" s="6">
        <v>28.5</v>
      </c>
      <c r="J155" s="6">
        <v>28.5</v>
      </c>
      <c r="K155" s="6">
        <v>0</v>
      </c>
      <c r="L155" s="6">
        <v>109</v>
      </c>
      <c r="M155" s="6">
        <v>3.7</v>
      </c>
      <c r="N155" s="6">
        <v>0</v>
      </c>
      <c r="O155" s="6">
        <v>3.7</v>
      </c>
      <c r="P155" s="6">
        <v>0</v>
      </c>
      <c r="Q155" s="6">
        <v>0</v>
      </c>
      <c r="R155" s="6">
        <v>31.5</v>
      </c>
      <c r="S155" s="6">
        <v>0.2</v>
      </c>
      <c r="T155" s="6">
        <v>1169</v>
      </c>
      <c r="U155" s="6">
        <v>700</v>
      </c>
      <c r="V155" s="6">
        <v>120</v>
      </c>
      <c r="W155" s="6">
        <v>692</v>
      </c>
      <c r="X155" s="6">
        <v>4</v>
      </c>
      <c r="Y155" s="6">
        <v>63</v>
      </c>
      <c r="Z155" s="6">
        <v>0.49</v>
      </c>
      <c r="AA155" s="6">
        <v>12</v>
      </c>
      <c r="AB155" s="6">
        <v>960</v>
      </c>
      <c r="AC155" s="6">
        <v>36</v>
      </c>
      <c r="AD155" s="6">
        <v>0.02</v>
      </c>
      <c r="AE155" s="6">
        <v>250</v>
      </c>
      <c r="AF155" s="6">
        <v>0.02</v>
      </c>
      <c r="AG155" s="6">
        <v>0.35</v>
      </c>
      <c r="AH155" s="6">
        <v>0</v>
      </c>
      <c r="AI155" s="6">
        <v>0.1</v>
      </c>
      <c r="AJ155" s="6">
        <v>0.12</v>
      </c>
      <c r="AK155" s="6">
        <v>5</v>
      </c>
      <c r="AL155" s="6">
        <v>0.25</v>
      </c>
      <c r="AM155" s="6">
        <v>6</v>
      </c>
      <c r="AN155" s="6">
        <v>3</v>
      </c>
      <c r="AO155" s="6">
        <v>224</v>
      </c>
      <c r="AP155" s="6">
        <v>209</v>
      </c>
      <c r="AQ155" s="6">
        <v>89</v>
      </c>
      <c r="AR155" s="6">
        <v>0.55000000000000004</v>
      </c>
      <c r="AS155" s="6">
        <v>0.5</v>
      </c>
      <c r="AT155" s="6">
        <v>1.7</v>
      </c>
      <c r="AU155" s="6">
        <v>17.53</v>
      </c>
      <c r="AV155" s="6">
        <v>2.63</v>
      </c>
      <c r="AW155" s="6">
        <v>0.81</v>
      </c>
      <c r="AX155" s="6">
        <v>2.74</v>
      </c>
      <c r="AY155" s="6">
        <v>7.33</v>
      </c>
      <c r="AZ155" s="6">
        <v>2.79</v>
      </c>
      <c r="BA155" s="6">
        <v>0</v>
      </c>
      <c r="BB155" s="6">
        <v>0</v>
      </c>
      <c r="BC155" s="6">
        <v>7.29</v>
      </c>
      <c r="BD155" s="6">
        <v>0</v>
      </c>
      <c r="BE155" s="6">
        <v>0.38</v>
      </c>
      <c r="BF155" s="6">
        <v>6.19</v>
      </c>
      <c r="BG155" s="6">
        <v>0.22</v>
      </c>
      <c r="BH155" s="6">
        <v>0</v>
      </c>
      <c r="BI155" s="6">
        <v>0.78</v>
      </c>
      <c r="BJ155" s="6">
        <v>0.59</v>
      </c>
      <c r="BK155" s="6">
        <v>0.15</v>
      </c>
      <c r="BL155" s="6">
        <v>0</v>
      </c>
      <c r="BM155" s="6">
        <v>0</v>
      </c>
      <c r="BN155" s="6">
        <v>0</v>
      </c>
      <c r="BO155" s="6">
        <v>0.04</v>
      </c>
      <c r="BP155" s="7">
        <v>310</v>
      </c>
      <c r="BQ155" s="7">
        <v>1100</v>
      </c>
      <c r="BR155" s="7">
        <v>1390</v>
      </c>
      <c r="BS155" s="7">
        <v>2820</v>
      </c>
      <c r="BT155" s="7">
        <v>2470</v>
      </c>
      <c r="BU155" s="7">
        <v>960</v>
      </c>
      <c r="BV155" s="7">
        <v>200</v>
      </c>
      <c r="BW155" s="7">
        <v>1740</v>
      </c>
      <c r="BX155" s="7">
        <v>2000</v>
      </c>
      <c r="BY155" s="7">
        <v>1910</v>
      </c>
      <c r="BZ155" s="7">
        <v>820</v>
      </c>
      <c r="CA155" s="7">
        <v>920</v>
      </c>
      <c r="CB155" s="7">
        <v>950</v>
      </c>
      <c r="CC155" s="7">
        <v>2170</v>
      </c>
      <c r="CD155" s="7">
        <v>631</v>
      </c>
      <c r="CE155" s="7">
        <v>640</v>
      </c>
      <c r="CF155" s="7">
        <v>3020</v>
      </c>
      <c r="CG155" s="7">
        <v>1950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3.7</v>
      </c>
      <c r="CN155">
        <f t="shared" si="3084"/>
        <v>32.479999999999997</v>
      </c>
      <c r="CO155">
        <f t="shared" si="3085"/>
        <v>135.19999999999999</v>
      </c>
      <c r="CP155">
        <f t="shared" si="3086"/>
        <v>2.7119999999999997</v>
      </c>
      <c r="CQ155">
        <f t="shared" si="3087"/>
        <v>2.7119999999999997</v>
      </c>
      <c r="CR155">
        <f t="shared" si="3088"/>
        <v>0</v>
      </c>
      <c r="CS155">
        <f t="shared" si="3089"/>
        <v>2.2799999999999998</v>
      </c>
      <c r="CT155">
        <f t="shared" si="3090"/>
        <v>2.2799999999999998</v>
      </c>
      <c r="CU155">
        <f t="shared" si="3091"/>
        <v>0</v>
      </c>
      <c r="CV155">
        <f t="shared" si="3092"/>
        <v>8.7200000000000006</v>
      </c>
      <c r="CW155">
        <f t="shared" si="3093"/>
        <v>0.29600000000000004</v>
      </c>
      <c r="CX155">
        <f t="shared" si="3094"/>
        <v>0</v>
      </c>
      <c r="CY155">
        <f t="shared" si="3095"/>
        <v>0.29600000000000004</v>
      </c>
      <c r="CZ155">
        <f t="shared" si="3096"/>
        <v>0</v>
      </c>
      <c r="DA155">
        <f t="shared" si="3097"/>
        <v>0</v>
      </c>
      <c r="DB155">
        <f t="shared" si="3098"/>
        <v>2.52</v>
      </c>
      <c r="DC155">
        <f t="shared" si="3099"/>
        <v>1.6E-2</v>
      </c>
      <c r="DD155">
        <f t="shared" si="3100"/>
        <v>93.52</v>
      </c>
      <c r="DE155">
        <f t="shared" si="3101"/>
        <v>56</v>
      </c>
      <c r="DF155">
        <f t="shared" si="3102"/>
        <v>9.6</v>
      </c>
      <c r="DG155">
        <f t="shared" si="3103"/>
        <v>55.36</v>
      </c>
      <c r="DH155">
        <f t="shared" si="3104"/>
        <v>0.32</v>
      </c>
      <c r="DI155">
        <f t="shared" si="3105"/>
        <v>5.04</v>
      </c>
      <c r="DJ155">
        <f t="shared" si="3106"/>
        <v>3.9199999999999999E-2</v>
      </c>
      <c r="DK155">
        <f t="shared" si="3107"/>
        <v>0.96</v>
      </c>
      <c r="DL155">
        <f t="shared" si="3108"/>
        <v>76.8</v>
      </c>
      <c r="DM155">
        <f t="shared" si="3109"/>
        <v>2.88</v>
      </c>
      <c r="DN155">
        <f t="shared" si="3110"/>
        <v>1.6000000000000001E-3</v>
      </c>
      <c r="DO155">
        <f t="shared" si="3111"/>
        <v>20</v>
      </c>
      <c r="DP155">
        <f t="shared" si="3112"/>
        <v>1.6000000000000001E-3</v>
      </c>
      <c r="DQ155">
        <f t="shared" si="3113"/>
        <v>2.7999999999999997E-2</v>
      </c>
      <c r="DR155">
        <f t="shared" si="3114"/>
        <v>0</v>
      </c>
      <c r="DS155">
        <f t="shared" si="3115"/>
        <v>8.0000000000000002E-3</v>
      </c>
      <c r="DT155">
        <f t="shared" si="3116"/>
        <v>9.5999999999999992E-3</v>
      </c>
      <c r="DU155">
        <f t="shared" si="3117"/>
        <v>0.4</v>
      </c>
      <c r="DV155">
        <f t="shared" si="3118"/>
        <v>0.02</v>
      </c>
      <c r="DW155">
        <f t="shared" si="3119"/>
        <v>0.48</v>
      </c>
      <c r="DX155">
        <f t="shared" si="3120"/>
        <v>0.24</v>
      </c>
      <c r="DY155">
        <f t="shared" si="3121"/>
        <v>17.920000000000002</v>
      </c>
      <c r="DZ155">
        <f t="shared" si="3122"/>
        <v>16.72</v>
      </c>
      <c r="EA155">
        <f t="shared" si="3123"/>
        <v>7.12</v>
      </c>
      <c r="EB155">
        <f t="shared" si="3124"/>
        <v>4.4000000000000004E-2</v>
      </c>
      <c r="EC155">
        <f t="shared" si="3125"/>
        <v>0.04</v>
      </c>
      <c r="ED155">
        <f t="shared" si="3126"/>
        <v>0.13600000000000001</v>
      </c>
      <c r="EE155">
        <f t="shared" si="3127"/>
        <v>1.4024000000000001</v>
      </c>
      <c r="EF155">
        <f t="shared" si="3128"/>
        <v>0.2104</v>
      </c>
      <c r="EG155">
        <f t="shared" si="3129"/>
        <v>6.480000000000001E-2</v>
      </c>
      <c r="EH155">
        <f t="shared" si="3130"/>
        <v>0.21920000000000001</v>
      </c>
      <c r="EI155">
        <f t="shared" si="3131"/>
        <v>0.58640000000000003</v>
      </c>
      <c r="EJ155">
        <f t="shared" si="3132"/>
        <v>0.22320000000000001</v>
      </c>
      <c r="EK155">
        <f t="shared" si="3133"/>
        <v>0</v>
      </c>
      <c r="EL155">
        <f t="shared" si="3134"/>
        <v>0</v>
      </c>
      <c r="EM155">
        <f t="shared" si="3135"/>
        <v>0.58320000000000005</v>
      </c>
      <c r="EN155">
        <f t="shared" si="3136"/>
        <v>0</v>
      </c>
      <c r="EO155">
        <f t="shared" si="3137"/>
        <v>3.04E-2</v>
      </c>
      <c r="EP155">
        <f t="shared" si="3138"/>
        <v>0.49520000000000003</v>
      </c>
      <c r="EQ155">
        <f t="shared" si="3139"/>
        <v>1.7600000000000001E-2</v>
      </c>
      <c r="ER155">
        <f t="shared" si="3140"/>
        <v>0</v>
      </c>
      <c r="ES155">
        <f t="shared" si="3141"/>
        <v>6.2400000000000004E-2</v>
      </c>
      <c r="ET155">
        <f t="shared" si="3142"/>
        <v>4.7199999999999999E-2</v>
      </c>
      <c r="EU155">
        <f t="shared" si="3143"/>
        <v>1.2E-2</v>
      </c>
      <c r="EV155">
        <f t="shared" si="3144"/>
        <v>0</v>
      </c>
      <c r="EW155">
        <f t="shared" si="3145"/>
        <v>0</v>
      </c>
      <c r="EX155">
        <f t="shared" si="3146"/>
        <v>0</v>
      </c>
      <c r="EY155">
        <f t="shared" si="3147"/>
        <v>3.2000000000000002E-3</v>
      </c>
      <c r="EZ155">
        <f t="shared" si="3148"/>
        <v>24.8</v>
      </c>
      <c r="FA155">
        <f t="shared" si="3149"/>
        <v>88</v>
      </c>
      <c r="FB155">
        <f t="shared" si="3150"/>
        <v>111.2</v>
      </c>
      <c r="FC155">
        <f t="shared" si="3151"/>
        <v>225.6</v>
      </c>
      <c r="FD155">
        <f t="shared" si="3152"/>
        <v>197.6</v>
      </c>
      <c r="FE155">
        <f t="shared" si="3153"/>
        <v>76.8</v>
      </c>
      <c r="FF155">
        <f t="shared" si="3154"/>
        <v>16</v>
      </c>
      <c r="FG155">
        <f t="shared" si="3155"/>
        <v>139.19999999999999</v>
      </c>
      <c r="FH155">
        <f t="shared" si="3156"/>
        <v>160</v>
      </c>
      <c r="FI155">
        <f t="shared" si="3157"/>
        <v>152.80000000000001</v>
      </c>
      <c r="FJ155">
        <f t="shared" si="3158"/>
        <v>65.599999999999994</v>
      </c>
      <c r="FK155">
        <f t="shared" si="3159"/>
        <v>73.599999999999994</v>
      </c>
      <c r="FL155">
        <f t="shared" si="3160"/>
        <v>76</v>
      </c>
      <c r="FM155">
        <f t="shared" si="3161"/>
        <v>173.6</v>
      </c>
      <c r="FN155">
        <f t="shared" si="3162"/>
        <v>50.48</v>
      </c>
      <c r="FO155">
        <f t="shared" si="3163"/>
        <v>51.2</v>
      </c>
      <c r="FP155">
        <f t="shared" si="3164"/>
        <v>241.6</v>
      </c>
      <c r="FQ155">
        <f t="shared" si="3165"/>
        <v>156</v>
      </c>
      <c r="FR155">
        <f t="shared" si="3166"/>
        <v>0</v>
      </c>
      <c r="FS155">
        <f t="shared" si="3167"/>
        <v>0</v>
      </c>
      <c r="FT155">
        <f t="shared" si="3168"/>
        <v>0</v>
      </c>
      <c r="FU155">
        <f t="shared" si="3169"/>
        <v>0</v>
      </c>
      <c r="FV155">
        <f t="shared" si="3170"/>
        <v>0</v>
      </c>
      <c r="FW155">
        <f t="shared" si="3171"/>
        <v>0.29600000000000004</v>
      </c>
    </row>
    <row r="156" spans="1:179" x14ac:dyDescent="0.35">
      <c r="B156" s="72" t="s">
        <v>494</v>
      </c>
      <c r="C156">
        <v>2</v>
      </c>
      <c r="D156" s="54">
        <v>270</v>
      </c>
      <c r="E156" s="54">
        <v>1117</v>
      </c>
      <c r="F156" s="54">
        <v>15.8</v>
      </c>
      <c r="G156" s="54">
        <v>0</v>
      </c>
      <c r="H156" s="54">
        <v>15.8</v>
      </c>
      <c r="I156" s="54">
        <v>7</v>
      </c>
      <c r="J156" s="54">
        <v>0</v>
      </c>
      <c r="K156" s="54">
        <v>7</v>
      </c>
      <c r="L156" s="54">
        <v>0</v>
      </c>
      <c r="M156" s="54">
        <v>14.5</v>
      </c>
      <c r="N156" s="54">
        <v>2.1</v>
      </c>
      <c r="O156" s="54">
        <v>12.4</v>
      </c>
      <c r="P156" s="54">
        <v>44.7</v>
      </c>
      <c r="Q156" s="54">
        <v>0</v>
      </c>
      <c r="R156" s="54">
        <v>9</v>
      </c>
      <c r="S156" s="54">
        <v>41.5</v>
      </c>
      <c r="T156" s="54">
        <v>1080</v>
      </c>
      <c r="U156" s="54">
        <v>180</v>
      </c>
      <c r="V156" s="54">
        <v>4090</v>
      </c>
      <c r="W156" s="54">
        <v>340</v>
      </c>
      <c r="X156" s="54">
        <v>3.8</v>
      </c>
      <c r="Y156" s="81">
        <v>0</v>
      </c>
      <c r="Z156" s="81">
        <v>0</v>
      </c>
      <c r="AA156" s="81">
        <v>0</v>
      </c>
      <c r="AB156" s="81">
        <v>0</v>
      </c>
      <c r="AC156" s="81">
        <v>0</v>
      </c>
      <c r="AD156" s="81">
        <v>0</v>
      </c>
      <c r="AE156" s="54">
        <v>0</v>
      </c>
      <c r="AF156" s="54">
        <v>0.33</v>
      </c>
      <c r="AG156" s="54">
        <v>0.32</v>
      </c>
      <c r="AH156" s="54">
        <v>120</v>
      </c>
      <c r="AI156" s="54">
        <v>5.4</v>
      </c>
      <c r="AJ156" s="54">
        <v>0.38</v>
      </c>
      <c r="AK156" s="54">
        <v>180</v>
      </c>
      <c r="AL156" s="81">
        <v>0</v>
      </c>
      <c r="AM156" s="81">
        <v>0</v>
      </c>
      <c r="AN156" s="81">
        <v>0</v>
      </c>
      <c r="AO156" s="54">
        <v>3625</v>
      </c>
      <c r="AP156" s="54">
        <v>0</v>
      </c>
      <c r="AQ156" s="54">
        <v>21750</v>
      </c>
      <c r="AR156" s="54">
        <v>9.15</v>
      </c>
      <c r="AS156" s="54">
        <v>0</v>
      </c>
      <c r="AT156" s="81">
        <v>0</v>
      </c>
      <c r="AU156" s="54">
        <v>0.18</v>
      </c>
      <c r="AV156" s="81">
        <v>0</v>
      </c>
      <c r="AW156" s="81">
        <v>0</v>
      </c>
      <c r="AX156" s="81">
        <v>0</v>
      </c>
      <c r="AY156" s="81">
        <v>0</v>
      </c>
      <c r="AZ156" s="81">
        <v>0</v>
      </c>
      <c r="BA156" s="81">
        <v>0</v>
      </c>
      <c r="BB156" s="81">
        <v>0</v>
      </c>
      <c r="BC156" s="54">
        <v>5.13</v>
      </c>
      <c r="BD156" s="82">
        <v>0</v>
      </c>
      <c r="BE156" s="82">
        <v>0</v>
      </c>
      <c r="BF156" s="54">
        <v>5.13</v>
      </c>
      <c r="BG156" s="82">
        <v>0</v>
      </c>
      <c r="BH156" s="82">
        <v>0</v>
      </c>
      <c r="BI156" s="54">
        <v>0.72</v>
      </c>
      <c r="BJ156" s="54">
        <v>0.72</v>
      </c>
      <c r="BK156" s="54">
        <v>0</v>
      </c>
      <c r="BL156" s="82">
        <v>0</v>
      </c>
      <c r="BM156" s="82">
        <v>0</v>
      </c>
      <c r="BN156" s="82">
        <v>0</v>
      </c>
      <c r="BO156" s="54">
        <v>0</v>
      </c>
      <c r="BP156" s="56">
        <v>239</v>
      </c>
      <c r="BQ156" s="56">
        <v>649</v>
      </c>
      <c r="BR156" s="56">
        <v>628</v>
      </c>
      <c r="BS156" s="56">
        <v>1085</v>
      </c>
      <c r="BT156" s="56">
        <v>963</v>
      </c>
      <c r="BU156" s="56">
        <v>223</v>
      </c>
      <c r="BV156" s="56">
        <v>74</v>
      </c>
      <c r="BW156" s="56">
        <v>771</v>
      </c>
      <c r="BX156" s="56">
        <v>436</v>
      </c>
      <c r="BY156" s="56">
        <v>915</v>
      </c>
      <c r="BZ156" s="56">
        <v>649</v>
      </c>
      <c r="CA156" s="56">
        <v>325</v>
      </c>
      <c r="CB156" s="56">
        <v>1037</v>
      </c>
      <c r="CC156" s="56">
        <v>1564</v>
      </c>
      <c r="CD156" s="56">
        <v>1325</v>
      </c>
      <c r="CE156" s="56">
        <v>771</v>
      </c>
      <c r="CF156" s="56">
        <v>1133</v>
      </c>
      <c r="CG156" s="56">
        <v>724</v>
      </c>
      <c r="CH156" s="81">
        <v>0</v>
      </c>
      <c r="CI156" s="81">
        <v>0</v>
      </c>
      <c r="CJ156" s="83">
        <v>0</v>
      </c>
      <c r="CK156" s="81">
        <v>0</v>
      </c>
      <c r="CL156" s="81">
        <v>0</v>
      </c>
      <c r="CM156" s="83">
        <v>0</v>
      </c>
      <c r="CN156">
        <f t="shared" si="3084"/>
        <v>5.4</v>
      </c>
      <c r="CO156">
        <f t="shared" si="3085"/>
        <v>22.34</v>
      </c>
      <c r="CP156">
        <f t="shared" si="3086"/>
        <v>0.316</v>
      </c>
      <c r="CQ156">
        <f t="shared" si="3087"/>
        <v>0</v>
      </c>
      <c r="CR156">
        <f t="shared" si="3088"/>
        <v>0.316</v>
      </c>
      <c r="CS156">
        <f t="shared" si="3089"/>
        <v>0.14000000000000001</v>
      </c>
      <c r="CT156">
        <f t="shared" si="3090"/>
        <v>0</v>
      </c>
      <c r="CU156">
        <f t="shared" si="3091"/>
        <v>0.14000000000000001</v>
      </c>
      <c r="CV156">
        <f t="shared" si="3092"/>
        <v>0</v>
      </c>
      <c r="CW156">
        <f t="shared" si="3093"/>
        <v>0.28999999999999998</v>
      </c>
      <c r="CX156">
        <f t="shared" si="3094"/>
        <v>4.2000000000000003E-2</v>
      </c>
      <c r="CY156">
        <f t="shared" si="3095"/>
        <v>0.248</v>
      </c>
      <c r="CZ156">
        <f t="shared" si="3096"/>
        <v>0.89400000000000002</v>
      </c>
      <c r="DA156">
        <f t="shared" si="3097"/>
        <v>0</v>
      </c>
      <c r="DB156">
        <f t="shared" si="3098"/>
        <v>0.18</v>
      </c>
      <c r="DC156">
        <f t="shared" si="3099"/>
        <v>0.83</v>
      </c>
      <c r="DD156">
        <f t="shared" si="3100"/>
        <v>21.6</v>
      </c>
      <c r="DE156">
        <f t="shared" si="3101"/>
        <v>3.6</v>
      </c>
      <c r="DF156">
        <f t="shared" si="3102"/>
        <v>81.8</v>
      </c>
      <c r="DG156">
        <f t="shared" si="3103"/>
        <v>6.8</v>
      </c>
      <c r="DH156">
        <f t="shared" si="3104"/>
        <v>7.5999999999999998E-2</v>
      </c>
      <c r="DI156">
        <f t="shared" si="3105"/>
        <v>0</v>
      </c>
      <c r="DJ156">
        <f t="shared" si="3106"/>
        <v>0</v>
      </c>
      <c r="DK156">
        <f t="shared" si="3107"/>
        <v>0</v>
      </c>
      <c r="DL156">
        <f t="shared" si="3108"/>
        <v>0</v>
      </c>
      <c r="DM156">
        <f t="shared" si="3109"/>
        <v>0</v>
      </c>
      <c r="DN156">
        <f t="shared" si="3110"/>
        <v>0</v>
      </c>
      <c r="DO156">
        <f t="shared" si="3111"/>
        <v>0</v>
      </c>
      <c r="DP156">
        <f t="shared" si="3112"/>
        <v>6.6E-3</v>
      </c>
      <c r="DQ156">
        <f t="shared" si="3113"/>
        <v>6.4000000000000003E-3</v>
      </c>
      <c r="DR156">
        <f t="shared" si="3114"/>
        <v>2.4</v>
      </c>
      <c r="DS156">
        <f t="shared" si="3115"/>
        <v>0.10800000000000001</v>
      </c>
      <c r="DT156">
        <f t="shared" si="3116"/>
        <v>7.6E-3</v>
      </c>
      <c r="DU156">
        <f t="shared" si="3117"/>
        <v>3.6</v>
      </c>
      <c r="DV156">
        <f t="shared" si="3118"/>
        <v>0</v>
      </c>
      <c r="DW156">
        <f t="shared" si="3119"/>
        <v>0</v>
      </c>
      <c r="DX156">
        <f t="shared" si="3120"/>
        <v>0</v>
      </c>
      <c r="DY156">
        <f t="shared" si="3121"/>
        <v>72.5</v>
      </c>
      <c r="DZ156">
        <f t="shared" si="3122"/>
        <v>0</v>
      </c>
      <c r="EA156">
        <f t="shared" si="3123"/>
        <v>435</v>
      </c>
      <c r="EB156">
        <f t="shared" si="3124"/>
        <v>0.183</v>
      </c>
      <c r="EC156">
        <f t="shared" si="3125"/>
        <v>0</v>
      </c>
      <c r="ED156">
        <f t="shared" si="3126"/>
        <v>0</v>
      </c>
      <c r="EE156">
        <f t="shared" si="3127"/>
        <v>3.5999999999999999E-3</v>
      </c>
      <c r="EF156">
        <f t="shared" si="3128"/>
        <v>0</v>
      </c>
      <c r="EG156">
        <f t="shared" si="3129"/>
        <v>0</v>
      </c>
      <c r="EH156">
        <f t="shared" si="3130"/>
        <v>0</v>
      </c>
      <c r="EI156">
        <f t="shared" si="3131"/>
        <v>0</v>
      </c>
      <c r="EJ156">
        <f t="shared" si="3132"/>
        <v>0</v>
      </c>
      <c r="EK156">
        <f t="shared" si="3133"/>
        <v>0</v>
      </c>
      <c r="EL156">
        <f t="shared" si="3134"/>
        <v>0</v>
      </c>
      <c r="EM156">
        <f t="shared" si="3135"/>
        <v>0.1026</v>
      </c>
      <c r="EN156">
        <f t="shared" si="3136"/>
        <v>0</v>
      </c>
      <c r="EO156">
        <f t="shared" si="3137"/>
        <v>0</v>
      </c>
      <c r="EP156">
        <f t="shared" si="3138"/>
        <v>0.1026</v>
      </c>
      <c r="EQ156">
        <f t="shared" si="3139"/>
        <v>0</v>
      </c>
      <c r="ER156">
        <f t="shared" si="3140"/>
        <v>0</v>
      </c>
      <c r="ES156">
        <f t="shared" si="3141"/>
        <v>1.44E-2</v>
      </c>
      <c r="ET156">
        <f t="shared" si="3142"/>
        <v>1.44E-2</v>
      </c>
      <c r="EU156">
        <f t="shared" si="3143"/>
        <v>0</v>
      </c>
      <c r="EV156">
        <f t="shared" si="3144"/>
        <v>0</v>
      </c>
      <c r="EW156">
        <f t="shared" si="3145"/>
        <v>0</v>
      </c>
      <c r="EX156">
        <f t="shared" si="3146"/>
        <v>0</v>
      </c>
      <c r="EY156">
        <f t="shared" si="3147"/>
        <v>0</v>
      </c>
      <c r="EZ156">
        <f t="shared" si="3148"/>
        <v>4.78</v>
      </c>
      <c r="FA156">
        <f t="shared" si="3149"/>
        <v>12.98</v>
      </c>
      <c r="FB156">
        <f t="shared" si="3150"/>
        <v>12.56</v>
      </c>
      <c r="FC156">
        <f t="shared" si="3151"/>
        <v>21.7</v>
      </c>
      <c r="FD156">
        <f t="shared" si="3152"/>
        <v>19.260000000000002</v>
      </c>
      <c r="FE156">
        <f t="shared" si="3153"/>
        <v>4.46</v>
      </c>
      <c r="FF156">
        <f t="shared" si="3154"/>
        <v>1.48</v>
      </c>
      <c r="FG156">
        <f t="shared" si="3155"/>
        <v>15.42</v>
      </c>
      <c r="FH156">
        <f t="shared" si="3156"/>
        <v>8.7200000000000006</v>
      </c>
      <c r="FI156">
        <f t="shared" si="3157"/>
        <v>18.3</v>
      </c>
      <c r="FJ156">
        <f t="shared" si="3158"/>
        <v>12.98</v>
      </c>
      <c r="FK156">
        <f t="shared" si="3159"/>
        <v>6.5</v>
      </c>
      <c r="FL156">
        <f t="shared" si="3160"/>
        <v>20.74</v>
      </c>
      <c r="FM156">
        <f t="shared" si="3161"/>
        <v>31.28</v>
      </c>
      <c r="FN156">
        <f t="shared" si="3162"/>
        <v>26.5</v>
      </c>
      <c r="FO156">
        <f t="shared" si="3163"/>
        <v>15.42</v>
      </c>
      <c r="FP156">
        <f t="shared" si="3164"/>
        <v>22.66</v>
      </c>
      <c r="FQ156">
        <f t="shared" si="3165"/>
        <v>14.48</v>
      </c>
      <c r="FR156">
        <f t="shared" si="3166"/>
        <v>0</v>
      </c>
      <c r="FS156">
        <f t="shared" si="3167"/>
        <v>0</v>
      </c>
      <c r="FT156">
        <f t="shared" si="3168"/>
        <v>0</v>
      </c>
      <c r="FU156">
        <f t="shared" si="3169"/>
        <v>0</v>
      </c>
      <c r="FV156">
        <f t="shared" si="3170"/>
        <v>0</v>
      </c>
      <c r="FW156">
        <f t="shared" si="3171"/>
        <v>0</v>
      </c>
    </row>
    <row r="157" spans="1:179" x14ac:dyDescent="0.35">
      <c r="B157" s="72" t="s">
        <v>211</v>
      </c>
      <c r="C157">
        <v>10</v>
      </c>
      <c r="D157" s="6">
        <v>899</v>
      </c>
      <c r="E157" s="6">
        <v>3696</v>
      </c>
      <c r="F157" s="6">
        <v>0</v>
      </c>
      <c r="G157" s="6">
        <v>0</v>
      </c>
      <c r="H157" s="6">
        <v>0</v>
      </c>
      <c r="I157" s="6">
        <v>99.9</v>
      </c>
      <c r="J157" s="6">
        <v>0</v>
      </c>
      <c r="K157" s="6">
        <v>99.9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0.2</v>
      </c>
      <c r="T157" s="6">
        <v>0</v>
      </c>
      <c r="U157" s="51">
        <v>0.5</v>
      </c>
      <c r="V157" s="51">
        <v>0.5</v>
      </c>
      <c r="W157" s="6">
        <v>0</v>
      </c>
      <c r="X157" s="51">
        <v>5.0000000000000001E-3</v>
      </c>
      <c r="Y157" s="51">
        <v>0.5</v>
      </c>
      <c r="Z157" s="6">
        <v>0.01</v>
      </c>
      <c r="AA157" s="51">
        <v>0.05</v>
      </c>
      <c r="AB157" s="51">
        <v>0.5</v>
      </c>
      <c r="AC157" s="51">
        <v>0.5</v>
      </c>
      <c r="AD157" s="51">
        <v>5.0000000000000001E-3</v>
      </c>
      <c r="AE157" s="51">
        <v>0.5</v>
      </c>
      <c r="AF157" s="6">
        <v>0</v>
      </c>
      <c r="AG157" s="6">
        <v>0</v>
      </c>
      <c r="AH157" s="6">
        <v>0</v>
      </c>
      <c r="AI157" s="6">
        <v>0</v>
      </c>
      <c r="AJ157" s="51">
        <v>5.0000000000000001E-3</v>
      </c>
      <c r="AK157" s="51">
        <v>0.5</v>
      </c>
      <c r="AL157" s="51">
        <v>5.0000000000000001E-3</v>
      </c>
      <c r="AM157" s="51">
        <v>0.05</v>
      </c>
      <c r="AN157" s="6">
        <v>0</v>
      </c>
      <c r="AO157" s="6">
        <v>36</v>
      </c>
      <c r="AP157" s="6">
        <v>0</v>
      </c>
      <c r="AQ157" s="6">
        <v>216</v>
      </c>
      <c r="AR157" s="6">
        <v>21.42</v>
      </c>
      <c r="AS157" s="6">
        <v>0</v>
      </c>
      <c r="AT157" s="6">
        <v>57.5</v>
      </c>
      <c r="AU157" s="6">
        <v>14.46</v>
      </c>
      <c r="AV157" s="6">
        <v>0</v>
      </c>
      <c r="AW157" s="6">
        <v>0</v>
      </c>
      <c r="AX157" s="6">
        <v>0</v>
      </c>
      <c r="AY157" s="6">
        <v>10.64</v>
      </c>
      <c r="AZ157" s="6">
        <v>3.06</v>
      </c>
      <c r="BA157" s="6">
        <v>0.76</v>
      </c>
      <c r="BB157" s="6">
        <v>0</v>
      </c>
      <c r="BC157" s="6">
        <v>72.95</v>
      </c>
      <c r="BD157" s="6">
        <v>0</v>
      </c>
      <c r="BE157" s="6">
        <v>0.79</v>
      </c>
      <c r="BF157" s="6">
        <v>71.87</v>
      </c>
      <c r="BG157" s="6">
        <v>0.28999999999999998</v>
      </c>
      <c r="BH157" s="6">
        <v>0</v>
      </c>
      <c r="BI157" s="6">
        <v>7.52</v>
      </c>
      <c r="BJ157" s="6">
        <v>6.79</v>
      </c>
      <c r="BK157" s="6">
        <v>0.73</v>
      </c>
      <c r="BL157" s="6">
        <v>0</v>
      </c>
      <c r="BM157" s="6">
        <v>0</v>
      </c>
      <c r="BN157" s="6">
        <v>0</v>
      </c>
      <c r="BO157" s="6">
        <v>0</v>
      </c>
      <c r="BP157" s="7">
        <v>0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s="7">
        <v>0</v>
      </c>
      <c r="BW157" s="7">
        <v>0</v>
      </c>
      <c r="BX157" s="7">
        <v>0</v>
      </c>
      <c r="BY157" s="7">
        <v>0</v>
      </c>
      <c r="BZ157" s="7">
        <v>0</v>
      </c>
      <c r="CA157" s="7">
        <v>0</v>
      </c>
      <c r="CB157" s="7">
        <v>0</v>
      </c>
      <c r="CC157" s="7">
        <v>0</v>
      </c>
      <c r="CD157" s="7">
        <v>0</v>
      </c>
      <c r="CE157" s="7">
        <v>0</v>
      </c>
      <c r="CF157" s="7">
        <v>0</v>
      </c>
      <c r="CG157" s="7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>
        <f t="shared" si="3084"/>
        <v>89.9</v>
      </c>
      <c r="CO157">
        <f t="shared" si="3085"/>
        <v>369.6</v>
      </c>
      <c r="CP157">
        <f t="shared" si="3086"/>
        <v>0</v>
      </c>
      <c r="CQ157">
        <f t="shared" si="3087"/>
        <v>0</v>
      </c>
      <c r="CR157">
        <f t="shared" si="3088"/>
        <v>0</v>
      </c>
      <c r="CS157">
        <f t="shared" si="3089"/>
        <v>9.99</v>
      </c>
      <c r="CT157">
        <f t="shared" si="3090"/>
        <v>0</v>
      </c>
      <c r="CU157">
        <f t="shared" si="3091"/>
        <v>9.99</v>
      </c>
      <c r="CV157">
        <f t="shared" si="3092"/>
        <v>0</v>
      </c>
      <c r="CW157">
        <f t="shared" si="3093"/>
        <v>0</v>
      </c>
      <c r="CX157">
        <f t="shared" si="3094"/>
        <v>0</v>
      </c>
      <c r="CY157">
        <f t="shared" si="3095"/>
        <v>0</v>
      </c>
      <c r="CZ157">
        <f t="shared" si="3096"/>
        <v>0</v>
      </c>
      <c r="DA157">
        <f t="shared" si="3097"/>
        <v>0</v>
      </c>
      <c r="DB157">
        <f t="shared" si="3098"/>
        <v>0</v>
      </c>
      <c r="DC157">
        <f t="shared" si="3099"/>
        <v>0.02</v>
      </c>
      <c r="DD157">
        <f t="shared" si="3100"/>
        <v>0</v>
      </c>
      <c r="DE157">
        <f t="shared" si="3101"/>
        <v>0.05</v>
      </c>
      <c r="DF157">
        <f t="shared" si="3102"/>
        <v>0.05</v>
      </c>
      <c r="DG157">
        <f t="shared" si="3103"/>
        <v>0</v>
      </c>
      <c r="DH157">
        <f t="shared" si="3104"/>
        <v>5.0000000000000001E-4</v>
      </c>
      <c r="DI157">
        <f t="shared" si="3105"/>
        <v>0.05</v>
      </c>
      <c r="DJ157">
        <f t="shared" si="3106"/>
        <v>1E-3</v>
      </c>
      <c r="DK157">
        <f t="shared" si="3107"/>
        <v>5.0000000000000001E-3</v>
      </c>
      <c r="DL157">
        <f t="shared" si="3108"/>
        <v>0.05</v>
      </c>
      <c r="DM157">
        <f t="shared" si="3109"/>
        <v>0.05</v>
      </c>
      <c r="DN157">
        <f t="shared" si="3110"/>
        <v>5.0000000000000001E-4</v>
      </c>
      <c r="DO157">
        <f t="shared" si="3111"/>
        <v>0.05</v>
      </c>
      <c r="DP157">
        <f t="shared" si="3112"/>
        <v>0</v>
      </c>
      <c r="DQ157">
        <f t="shared" si="3113"/>
        <v>0</v>
      </c>
      <c r="DR157">
        <f t="shared" si="3114"/>
        <v>0</v>
      </c>
      <c r="DS157">
        <f t="shared" si="3115"/>
        <v>0</v>
      </c>
      <c r="DT157">
        <f t="shared" si="3116"/>
        <v>5.0000000000000001E-4</v>
      </c>
      <c r="DU157">
        <f t="shared" si="3117"/>
        <v>0.05</v>
      </c>
      <c r="DV157">
        <f t="shared" si="3118"/>
        <v>5.0000000000000001E-4</v>
      </c>
      <c r="DW157">
        <f t="shared" si="3119"/>
        <v>5.0000000000000001E-3</v>
      </c>
      <c r="DX157">
        <f t="shared" si="3120"/>
        <v>0</v>
      </c>
      <c r="DY157">
        <f t="shared" si="3121"/>
        <v>3.6</v>
      </c>
      <c r="DZ157">
        <f t="shared" si="3122"/>
        <v>0</v>
      </c>
      <c r="EA157">
        <f t="shared" si="3123"/>
        <v>21.6</v>
      </c>
      <c r="EB157">
        <f t="shared" si="3124"/>
        <v>2.1420000000000003</v>
      </c>
      <c r="EC157">
        <f t="shared" si="3125"/>
        <v>0</v>
      </c>
      <c r="ED157">
        <f t="shared" si="3126"/>
        <v>5.75</v>
      </c>
      <c r="EE157">
        <f t="shared" si="3127"/>
        <v>1.4460000000000002</v>
      </c>
      <c r="EF157">
        <f t="shared" si="3128"/>
        <v>0</v>
      </c>
      <c r="EG157">
        <f t="shared" si="3129"/>
        <v>0</v>
      </c>
      <c r="EH157">
        <f t="shared" si="3130"/>
        <v>0</v>
      </c>
      <c r="EI157">
        <f t="shared" si="3131"/>
        <v>1.0640000000000001</v>
      </c>
      <c r="EJ157">
        <f t="shared" si="3132"/>
        <v>0.30599999999999999</v>
      </c>
      <c r="EK157">
        <f t="shared" si="3133"/>
        <v>7.5999999999999998E-2</v>
      </c>
      <c r="EL157">
        <f t="shared" si="3134"/>
        <v>0</v>
      </c>
      <c r="EM157">
        <f t="shared" si="3135"/>
        <v>7.2949999999999999</v>
      </c>
      <c r="EN157">
        <f t="shared" si="3136"/>
        <v>0</v>
      </c>
      <c r="EO157">
        <f t="shared" si="3137"/>
        <v>7.9000000000000001E-2</v>
      </c>
      <c r="EP157">
        <f t="shared" si="3138"/>
        <v>7.1870000000000003</v>
      </c>
      <c r="EQ157">
        <f t="shared" si="3139"/>
        <v>2.8999999999999998E-2</v>
      </c>
      <c r="ER157">
        <f t="shared" si="3140"/>
        <v>0</v>
      </c>
      <c r="ES157">
        <f t="shared" si="3141"/>
        <v>0.75199999999999989</v>
      </c>
      <c r="ET157">
        <f t="shared" si="3142"/>
        <v>0.67900000000000005</v>
      </c>
      <c r="EU157">
        <f t="shared" si="3143"/>
        <v>7.2999999999999995E-2</v>
      </c>
      <c r="EV157">
        <f t="shared" si="3144"/>
        <v>0</v>
      </c>
      <c r="EW157">
        <f t="shared" si="3145"/>
        <v>0</v>
      </c>
      <c r="EX157">
        <f t="shared" si="3146"/>
        <v>0</v>
      </c>
      <c r="EY157">
        <f t="shared" si="3147"/>
        <v>0</v>
      </c>
      <c r="EZ157">
        <f t="shared" si="3148"/>
        <v>0</v>
      </c>
      <c r="FA157">
        <f t="shared" si="3149"/>
        <v>0</v>
      </c>
      <c r="FB157">
        <f t="shared" si="3150"/>
        <v>0</v>
      </c>
      <c r="FC157">
        <f t="shared" si="3151"/>
        <v>0</v>
      </c>
      <c r="FD157">
        <f t="shared" si="3152"/>
        <v>0</v>
      </c>
      <c r="FE157">
        <f t="shared" si="3153"/>
        <v>0</v>
      </c>
      <c r="FF157">
        <f t="shared" si="3154"/>
        <v>0</v>
      </c>
      <c r="FG157">
        <f t="shared" si="3155"/>
        <v>0</v>
      </c>
      <c r="FH157">
        <f t="shared" si="3156"/>
        <v>0</v>
      </c>
      <c r="FI157">
        <f t="shared" si="3157"/>
        <v>0</v>
      </c>
      <c r="FJ157">
        <f t="shared" si="3158"/>
        <v>0</v>
      </c>
      <c r="FK157">
        <f t="shared" si="3159"/>
        <v>0</v>
      </c>
      <c r="FL157">
        <f t="shared" si="3160"/>
        <v>0</v>
      </c>
      <c r="FM157">
        <f t="shared" si="3161"/>
        <v>0</v>
      </c>
      <c r="FN157">
        <f t="shared" si="3162"/>
        <v>0</v>
      </c>
      <c r="FO157">
        <f t="shared" si="3163"/>
        <v>0</v>
      </c>
      <c r="FP157">
        <f t="shared" si="3164"/>
        <v>0</v>
      </c>
      <c r="FQ157">
        <f t="shared" si="3165"/>
        <v>0</v>
      </c>
      <c r="FR157">
        <f t="shared" si="3166"/>
        <v>0</v>
      </c>
      <c r="FS157">
        <f t="shared" si="3167"/>
        <v>0</v>
      </c>
      <c r="FT157">
        <f t="shared" si="3168"/>
        <v>0</v>
      </c>
      <c r="FU157">
        <f t="shared" si="3169"/>
        <v>0</v>
      </c>
      <c r="FV157">
        <f t="shared" si="3170"/>
        <v>0</v>
      </c>
      <c r="FW157">
        <f t="shared" si="3171"/>
        <v>0</v>
      </c>
    </row>
    <row r="158" spans="1:179" x14ac:dyDescent="0.35">
      <c r="C158">
        <f>SUM(C153:C157)</f>
        <v>100</v>
      </c>
      <c r="CN158">
        <f>SUM(CN153:CN157)</f>
        <v>217.83</v>
      </c>
      <c r="CO158">
        <f t="shared" ref="CO158:EZ158" si="3172">SUM(CO153:CO157)</f>
        <v>906.74</v>
      </c>
      <c r="CP158">
        <f t="shared" si="3172"/>
        <v>19.122999999999998</v>
      </c>
      <c r="CQ158">
        <f t="shared" si="3172"/>
        <v>18.806999999999999</v>
      </c>
      <c r="CR158">
        <f t="shared" si="3172"/>
        <v>0.316</v>
      </c>
      <c r="CS158">
        <f t="shared" si="3172"/>
        <v>15.274999999999999</v>
      </c>
      <c r="CT158">
        <f t="shared" si="3172"/>
        <v>5.1449999999999996</v>
      </c>
      <c r="CU158">
        <f t="shared" si="3172"/>
        <v>10.130000000000001</v>
      </c>
      <c r="CV158">
        <f t="shared" si="3172"/>
        <v>105.32</v>
      </c>
      <c r="CW158">
        <f t="shared" si="3172"/>
        <v>0.59350000000000003</v>
      </c>
      <c r="CX158">
        <f t="shared" si="3172"/>
        <v>4.2000000000000003E-2</v>
      </c>
      <c r="CY158">
        <f t="shared" si="3172"/>
        <v>0.5515000000000001</v>
      </c>
      <c r="CZ158">
        <f t="shared" si="3172"/>
        <v>0.89400000000000002</v>
      </c>
      <c r="DA158">
        <f t="shared" si="3172"/>
        <v>0</v>
      </c>
      <c r="DB158">
        <f t="shared" si="3172"/>
        <v>62.95</v>
      </c>
      <c r="DC158">
        <f t="shared" si="3172"/>
        <v>1.7410000000000001</v>
      </c>
      <c r="DD158">
        <f t="shared" si="3172"/>
        <v>126.22</v>
      </c>
      <c r="DE158">
        <f t="shared" si="3172"/>
        <v>128.95000000000002</v>
      </c>
      <c r="DF158">
        <f t="shared" si="3172"/>
        <v>319.39999999999998</v>
      </c>
      <c r="DG158">
        <f t="shared" si="3172"/>
        <v>223.66000000000003</v>
      </c>
      <c r="DH158">
        <f t="shared" si="3172"/>
        <v>2.3315000000000001</v>
      </c>
      <c r="DI158">
        <f t="shared" si="3172"/>
        <v>21.99</v>
      </c>
      <c r="DJ158">
        <f t="shared" si="3172"/>
        <v>0.12719999999999998</v>
      </c>
      <c r="DK158">
        <f t="shared" si="3172"/>
        <v>11.584999999999999</v>
      </c>
      <c r="DL158">
        <f t="shared" si="3172"/>
        <v>148.30000000000001</v>
      </c>
      <c r="DM158">
        <f t="shared" si="3172"/>
        <v>14.129999999999999</v>
      </c>
      <c r="DN158">
        <f t="shared" si="3172"/>
        <v>6.0999999999999995E-3</v>
      </c>
      <c r="DO158">
        <f t="shared" si="3172"/>
        <v>151.05000000000001</v>
      </c>
      <c r="DP158">
        <f t="shared" si="3172"/>
        <v>7.3700000000000002E-2</v>
      </c>
      <c r="DQ158">
        <f t="shared" si="3172"/>
        <v>0.28089999999999998</v>
      </c>
      <c r="DR158">
        <f t="shared" si="3172"/>
        <v>2.4</v>
      </c>
      <c r="DS158">
        <f t="shared" si="3172"/>
        <v>3.1210000000000004</v>
      </c>
      <c r="DT158">
        <f t="shared" si="3172"/>
        <v>0.26319999999999999</v>
      </c>
      <c r="DU158">
        <f t="shared" si="3172"/>
        <v>29.75</v>
      </c>
      <c r="DV158">
        <f t="shared" si="3172"/>
        <v>0.77349999999999997</v>
      </c>
      <c r="DW158">
        <f t="shared" si="3172"/>
        <v>4.7849999999999993</v>
      </c>
      <c r="DX158">
        <f t="shared" si="3172"/>
        <v>1.915</v>
      </c>
      <c r="DY158">
        <f t="shared" si="3172"/>
        <v>128.095</v>
      </c>
      <c r="DZ158">
        <f t="shared" si="3172"/>
        <v>48.694999999999993</v>
      </c>
      <c r="EA158">
        <f t="shared" si="3172"/>
        <v>476.64500000000004</v>
      </c>
      <c r="EB158">
        <f t="shared" si="3172"/>
        <v>2.5387500000000003</v>
      </c>
      <c r="EC158">
        <f t="shared" si="3172"/>
        <v>0.5625</v>
      </c>
      <c r="ED158">
        <f t="shared" si="3172"/>
        <v>5.8867500000000001</v>
      </c>
      <c r="EE158">
        <f t="shared" si="3172"/>
        <v>3.9125000000000005</v>
      </c>
      <c r="EF158">
        <f t="shared" si="3172"/>
        <v>0.2104</v>
      </c>
      <c r="EG158">
        <f t="shared" si="3172"/>
        <v>6.480000000000001E-2</v>
      </c>
      <c r="EH158">
        <f t="shared" si="3172"/>
        <v>0.24970000000000001</v>
      </c>
      <c r="EI158">
        <f t="shared" si="3172"/>
        <v>2.2343999999999999</v>
      </c>
      <c r="EJ158">
        <f t="shared" si="3172"/>
        <v>0.97070000000000012</v>
      </c>
      <c r="EK158">
        <f t="shared" si="3172"/>
        <v>7.5999999999999998E-2</v>
      </c>
      <c r="EL158">
        <f t="shared" si="3172"/>
        <v>0</v>
      </c>
      <c r="EM158">
        <f t="shared" si="3172"/>
        <v>8.7707999999999995</v>
      </c>
      <c r="EN158">
        <f t="shared" si="3172"/>
        <v>3.2500000000000003E-3</v>
      </c>
      <c r="EO158">
        <f t="shared" si="3172"/>
        <v>0.19590000000000002</v>
      </c>
      <c r="EP158">
        <f t="shared" si="3172"/>
        <v>8.4687999999999999</v>
      </c>
      <c r="EQ158">
        <f t="shared" si="3172"/>
        <v>5.3100000000000001E-2</v>
      </c>
      <c r="ER158">
        <f t="shared" si="3172"/>
        <v>0</v>
      </c>
      <c r="ES158">
        <f t="shared" si="3172"/>
        <v>1.4077999999999999</v>
      </c>
      <c r="ET158">
        <f t="shared" si="3172"/>
        <v>1.1920999999999999</v>
      </c>
      <c r="EU158">
        <f t="shared" si="3172"/>
        <v>0.1105</v>
      </c>
      <c r="EV158">
        <f t="shared" si="3172"/>
        <v>7.6000000000000012E-2</v>
      </c>
      <c r="EW158">
        <f t="shared" si="3172"/>
        <v>3.2500000000000003E-3</v>
      </c>
      <c r="EX158">
        <f t="shared" si="3172"/>
        <v>1.3000000000000001E-2</v>
      </c>
      <c r="EY158">
        <f t="shared" si="3172"/>
        <v>1.6200000000000003E-2</v>
      </c>
      <c r="EZ158">
        <f t="shared" si="3172"/>
        <v>221.63000000000002</v>
      </c>
      <c r="FA158">
        <f t="shared" ref="FA158:FW158" si="3173">SUM(FA153:FA157)</f>
        <v>933.48</v>
      </c>
      <c r="FB158">
        <f t="shared" si="3173"/>
        <v>961.3599999999999</v>
      </c>
      <c r="FC158">
        <f t="shared" si="3173"/>
        <v>1542.25</v>
      </c>
      <c r="FD158">
        <f t="shared" si="3173"/>
        <v>1644.31</v>
      </c>
      <c r="FE158">
        <f t="shared" si="3173"/>
        <v>597.91</v>
      </c>
      <c r="FF158">
        <f t="shared" si="3173"/>
        <v>231.03</v>
      </c>
      <c r="FG158">
        <f t="shared" si="3173"/>
        <v>831.76999999999987</v>
      </c>
      <c r="FH158">
        <f t="shared" si="3173"/>
        <v>731.0200000000001</v>
      </c>
      <c r="FI158">
        <f t="shared" si="3173"/>
        <v>1044.6500000000001</v>
      </c>
      <c r="FJ158">
        <f t="shared" si="3173"/>
        <v>1155.6299999999999</v>
      </c>
      <c r="FK158">
        <f t="shared" si="3173"/>
        <v>526.5</v>
      </c>
      <c r="FL158">
        <f t="shared" si="3173"/>
        <v>1050.24</v>
      </c>
      <c r="FM158">
        <f t="shared" si="3173"/>
        <v>1734.3299999999997</v>
      </c>
      <c r="FN158">
        <f t="shared" si="3173"/>
        <v>2390.33</v>
      </c>
      <c r="FO158">
        <f t="shared" si="3173"/>
        <v>868.06999999999994</v>
      </c>
      <c r="FP158">
        <f t="shared" si="3173"/>
        <v>940.56</v>
      </c>
      <c r="FQ158">
        <f t="shared" si="3173"/>
        <v>903.23</v>
      </c>
      <c r="FR158">
        <f t="shared" si="3173"/>
        <v>7.4999999999999997E-3</v>
      </c>
      <c r="FS158">
        <f t="shared" si="3173"/>
        <v>0</v>
      </c>
      <c r="FT158">
        <f t="shared" si="3173"/>
        <v>0</v>
      </c>
      <c r="FU158">
        <f t="shared" si="3173"/>
        <v>0</v>
      </c>
      <c r="FV158">
        <f t="shared" si="3173"/>
        <v>0</v>
      </c>
      <c r="FW158">
        <f t="shared" si="3173"/>
        <v>0.29600000000000004</v>
      </c>
    </row>
    <row r="160" spans="1:179" x14ac:dyDescent="0.35">
      <c r="A160" s="80" t="s">
        <v>362</v>
      </c>
      <c r="B160" s="72" t="s">
        <v>363</v>
      </c>
      <c r="C160">
        <v>11</v>
      </c>
      <c r="D160" s="6">
        <v>346</v>
      </c>
      <c r="E160" s="6">
        <v>1471</v>
      </c>
      <c r="F160" s="6">
        <v>13</v>
      </c>
      <c r="G160" s="6">
        <v>2.4</v>
      </c>
      <c r="H160" s="6">
        <v>10.6</v>
      </c>
      <c r="I160" s="6">
        <v>2.4</v>
      </c>
      <c r="J160" s="6">
        <v>1.9</v>
      </c>
      <c r="K160" s="6">
        <v>0.5</v>
      </c>
      <c r="L160" s="6">
        <v>94</v>
      </c>
      <c r="M160" s="6">
        <v>71</v>
      </c>
      <c r="N160" s="6">
        <v>69</v>
      </c>
      <c r="O160" s="6">
        <v>2</v>
      </c>
      <c r="P160" s="6">
        <v>3.2</v>
      </c>
      <c r="Q160" s="6">
        <v>0</v>
      </c>
      <c r="R160" s="6">
        <v>12.5</v>
      </c>
      <c r="S160" s="6">
        <v>2.1</v>
      </c>
      <c r="T160" s="6">
        <v>22</v>
      </c>
      <c r="U160" s="6">
        <v>17</v>
      </c>
      <c r="V160" s="6">
        <v>164</v>
      </c>
      <c r="W160" s="6">
        <v>199</v>
      </c>
      <c r="X160" s="6">
        <v>0.31</v>
      </c>
      <c r="Y160" s="6">
        <v>118</v>
      </c>
      <c r="Z160" s="6">
        <v>7.0000000000000007E-2</v>
      </c>
      <c r="AA160" s="6">
        <v>3.4</v>
      </c>
      <c r="AB160" s="6">
        <v>80</v>
      </c>
      <c r="AC160" s="6">
        <v>11</v>
      </c>
      <c r="AD160" s="6">
        <v>0.53</v>
      </c>
      <c r="AE160" s="6">
        <v>162</v>
      </c>
      <c r="AF160" s="6">
        <v>0.14000000000000001</v>
      </c>
      <c r="AG160" s="6">
        <v>0.19</v>
      </c>
      <c r="AH160" s="6">
        <v>0</v>
      </c>
      <c r="AI160" s="6">
        <v>1.95</v>
      </c>
      <c r="AJ160" s="6">
        <v>0.12</v>
      </c>
      <c r="AK160" s="6">
        <v>38</v>
      </c>
      <c r="AL160" s="6">
        <v>1.07</v>
      </c>
      <c r="AM160" s="6">
        <v>6.3</v>
      </c>
      <c r="AN160" s="6">
        <v>0.5</v>
      </c>
      <c r="AO160" s="6">
        <v>35</v>
      </c>
      <c r="AP160" s="6">
        <v>33</v>
      </c>
      <c r="AQ160" s="6">
        <v>13</v>
      </c>
      <c r="AR160" s="6">
        <v>0.23</v>
      </c>
      <c r="AS160" s="6">
        <v>0.36</v>
      </c>
      <c r="AT160" s="6">
        <v>0.96</v>
      </c>
      <c r="AU160" s="6">
        <v>0.78</v>
      </c>
      <c r="AV160" s="6">
        <v>0</v>
      </c>
      <c r="AW160" s="6">
        <v>0</v>
      </c>
      <c r="AX160" s="6">
        <v>0.01</v>
      </c>
      <c r="AY160" s="6">
        <v>0.5</v>
      </c>
      <c r="AZ160" s="6">
        <v>0.27</v>
      </c>
      <c r="BA160" s="6">
        <v>0</v>
      </c>
      <c r="BB160" s="6">
        <v>0</v>
      </c>
      <c r="BC160" s="6">
        <v>0.6</v>
      </c>
      <c r="BD160" s="6">
        <v>0</v>
      </c>
      <c r="BE160" s="6">
        <v>0.05</v>
      </c>
      <c r="BF160" s="6">
        <v>0.55000000000000004</v>
      </c>
      <c r="BG160" s="6">
        <v>0</v>
      </c>
      <c r="BH160" s="6">
        <v>0</v>
      </c>
      <c r="BI160" s="6">
        <v>0.47</v>
      </c>
      <c r="BJ160" s="6">
        <v>0.42</v>
      </c>
      <c r="BK160" s="6">
        <v>0.02</v>
      </c>
      <c r="BL160" s="6">
        <v>0.03</v>
      </c>
      <c r="BM160" s="6">
        <v>0</v>
      </c>
      <c r="BN160" s="6">
        <v>0</v>
      </c>
      <c r="BO160" s="6">
        <v>0</v>
      </c>
      <c r="BP160" s="7">
        <v>126</v>
      </c>
      <c r="BQ160" s="7">
        <v>393</v>
      </c>
      <c r="BR160" s="7">
        <v>490</v>
      </c>
      <c r="BS160" s="7">
        <v>897</v>
      </c>
      <c r="BT160" s="7">
        <v>354</v>
      </c>
      <c r="BU160" s="7">
        <v>239</v>
      </c>
      <c r="BV160" s="7">
        <v>285</v>
      </c>
      <c r="BW160" s="7">
        <v>593</v>
      </c>
      <c r="BX160" s="7">
        <v>369</v>
      </c>
      <c r="BY160" s="7">
        <v>587</v>
      </c>
      <c r="BZ160" s="7">
        <v>513</v>
      </c>
      <c r="CA160" s="7">
        <v>246</v>
      </c>
      <c r="CB160" s="7">
        <v>415</v>
      </c>
      <c r="CC160" s="7">
        <v>633</v>
      </c>
      <c r="CD160" s="7">
        <v>4122</v>
      </c>
      <c r="CE160" s="7">
        <v>367</v>
      </c>
      <c r="CF160" s="7">
        <v>1271</v>
      </c>
      <c r="CG160" s="7">
        <v>689</v>
      </c>
      <c r="CH160" s="6">
        <v>0</v>
      </c>
      <c r="CI160" s="6">
        <v>0</v>
      </c>
      <c r="CJ160" s="6">
        <v>0</v>
      </c>
      <c r="CK160" s="6">
        <v>1.4</v>
      </c>
      <c r="CL160" s="6">
        <v>0.3</v>
      </c>
      <c r="CM160" s="6">
        <v>0</v>
      </c>
      <c r="CN160">
        <f t="shared" ref="CN160:CN170" si="3174">($C160*D160)/100</f>
        <v>38.06</v>
      </c>
      <c r="CO160">
        <f t="shared" ref="CO160:CO170" si="3175">($C160*E160)/100</f>
        <v>161.81</v>
      </c>
      <c r="CP160">
        <f t="shared" ref="CP160:CP170" si="3176">($C160*F160)/100</f>
        <v>1.43</v>
      </c>
      <c r="CQ160">
        <f t="shared" ref="CQ160:CQ170" si="3177">($C160*G160)/100</f>
        <v>0.26400000000000001</v>
      </c>
      <c r="CR160">
        <f t="shared" ref="CR160:CR170" si="3178">($C160*H160)/100</f>
        <v>1.1659999999999999</v>
      </c>
      <c r="CS160">
        <f t="shared" ref="CS160:CS170" si="3179">($C160*I160)/100</f>
        <v>0.26400000000000001</v>
      </c>
      <c r="CT160">
        <f t="shared" ref="CT160:CT170" si="3180">($C160*J160)/100</f>
        <v>0.20899999999999999</v>
      </c>
      <c r="CU160">
        <f t="shared" ref="CU160:CU170" si="3181">($C160*K160)/100</f>
        <v>5.5E-2</v>
      </c>
      <c r="CV160">
        <f t="shared" ref="CV160:CV170" si="3182">($C160*L160)/100</f>
        <v>10.34</v>
      </c>
      <c r="CW160">
        <f t="shared" ref="CW160:CW170" si="3183">($C160*M160)/100</f>
        <v>7.81</v>
      </c>
      <c r="CX160">
        <f t="shared" ref="CX160:CX170" si="3184">($C160*N160)/100</f>
        <v>7.59</v>
      </c>
      <c r="CY160">
        <f t="shared" ref="CY160:CY170" si="3185">($C160*O160)/100</f>
        <v>0.22</v>
      </c>
      <c r="CZ160">
        <f t="shared" ref="CZ160:CZ170" si="3186">($C160*P160)/100</f>
        <v>0.35200000000000004</v>
      </c>
      <c r="DA160">
        <f t="shared" ref="DA160:DA170" si="3187">($C160*Q160)/100</f>
        <v>0</v>
      </c>
      <c r="DB160">
        <f t="shared" ref="DB160:DB170" si="3188">($C160*R160)/100</f>
        <v>1.375</v>
      </c>
      <c r="DC160">
        <f t="shared" ref="DC160:DC170" si="3189">($C160*S160)/100</f>
        <v>0.23100000000000001</v>
      </c>
      <c r="DD160">
        <f t="shared" ref="DD160:DD170" si="3190">($C160*T160)/100</f>
        <v>2.42</v>
      </c>
      <c r="DE160">
        <f t="shared" ref="DE160:DE170" si="3191">($C160*U160)/100</f>
        <v>1.87</v>
      </c>
      <c r="DF160">
        <f t="shared" ref="DF160:DF170" si="3192">($C160*V160)/100</f>
        <v>18.04</v>
      </c>
      <c r="DG160">
        <f t="shared" ref="DG160:DG170" si="3193">($C160*W160)/100</f>
        <v>21.89</v>
      </c>
      <c r="DH160">
        <f t="shared" ref="DH160:DH170" si="3194">($C160*X160)/100</f>
        <v>3.4099999999999998E-2</v>
      </c>
      <c r="DI160">
        <f t="shared" ref="DI160:DI170" si="3195">($C160*Y160)/100</f>
        <v>12.98</v>
      </c>
      <c r="DJ160">
        <f t="shared" ref="DJ160:DJ170" si="3196">($C160*Z160)/100</f>
        <v>7.7000000000000002E-3</v>
      </c>
      <c r="DK160">
        <f t="shared" ref="DK160:DK170" si="3197">($C160*AA160)/100</f>
        <v>0.374</v>
      </c>
      <c r="DL160">
        <f t="shared" ref="DL160:DL170" si="3198">($C160*AB160)/100</f>
        <v>8.8000000000000007</v>
      </c>
      <c r="DM160">
        <f t="shared" ref="DM160:DM170" si="3199">($C160*AC160)/100</f>
        <v>1.21</v>
      </c>
      <c r="DN160">
        <f t="shared" ref="DN160:DN170" si="3200">($C160*AD160)/100</f>
        <v>5.8299999999999998E-2</v>
      </c>
      <c r="DO160">
        <f t="shared" ref="DO160:DO170" si="3201">($C160*AE160)/100</f>
        <v>17.82</v>
      </c>
      <c r="DP160">
        <f t="shared" ref="DP160:DP170" si="3202">($C160*AF160)/100</f>
        <v>1.54E-2</v>
      </c>
      <c r="DQ160">
        <f t="shared" ref="DQ160:DQ170" si="3203">($C160*AG160)/100</f>
        <v>2.0899999999999998E-2</v>
      </c>
      <c r="DR160">
        <f t="shared" ref="DR160:DR170" si="3204">($C160*AH160)/100</f>
        <v>0</v>
      </c>
      <c r="DS160">
        <f t="shared" ref="DS160:DS170" si="3205">($C160*AI160)/100</f>
        <v>0.2145</v>
      </c>
      <c r="DT160">
        <f t="shared" ref="DT160:DT170" si="3206">($C160*AJ160)/100</f>
        <v>1.3199999999999998E-2</v>
      </c>
      <c r="DU160">
        <f t="shared" ref="DU160:DU170" si="3207">($C160*AK160)/100</f>
        <v>4.18</v>
      </c>
      <c r="DV160">
        <f t="shared" ref="DV160:DV170" si="3208">($C160*AL160)/100</f>
        <v>0.11770000000000001</v>
      </c>
      <c r="DW160">
        <f t="shared" ref="DW160:DW170" si="3209">($C160*AM160)/100</f>
        <v>0.69299999999999995</v>
      </c>
      <c r="DX160">
        <f t="shared" ref="DX160:DX170" si="3210">($C160*AN160)/100</f>
        <v>5.5E-2</v>
      </c>
      <c r="DY160">
        <f t="shared" ref="DY160:DY170" si="3211">($C160*AO160)/100</f>
        <v>3.85</v>
      </c>
      <c r="DZ160">
        <f t="shared" ref="DZ160:DZ170" si="3212">($C160*AP160)/100</f>
        <v>3.63</v>
      </c>
      <c r="EA160">
        <f t="shared" ref="EA160:EA170" si="3213">($C160*AQ160)/100</f>
        <v>1.43</v>
      </c>
      <c r="EB160">
        <f t="shared" ref="EB160:EB170" si="3214">($C160*AR160)/100</f>
        <v>2.5300000000000003E-2</v>
      </c>
      <c r="EC160">
        <f t="shared" ref="EC160:EC170" si="3215">($C160*AS160)/100</f>
        <v>3.9599999999999996E-2</v>
      </c>
      <c r="ED160">
        <f t="shared" ref="ED160:ED170" si="3216">($C160*AT160)/100</f>
        <v>0.10559999999999999</v>
      </c>
      <c r="EE160">
        <f t="shared" ref="EE160:EE170" si="3217">($C160*AU160)/100</f>
        <v>8.5800000000000001E-2</v>
      </c>
      <c r="EF160">
        <f t="shared" ref="EF160:EF170" si="3218">($C160*AV160)/100</f>
        <v>0</v>
      </c>
      <c r="EG160">
        <f t="shared" ref="EG160:EG170" si="3219">($C160*AW160)/100</f>
        <v>0</v>
      </c>
      <c r="EH160">
        <f t="shared" ref="EH160:EH170" si="3220">($C160*AX160)/100</f>
        <v>1.1000000000000001E-3</v>
      </c>
      <c r="EI160">
        <f t="shared" ref="EI160:EI170" si="3221">($C160*AY160)/100</f>
        <v>5.5E-2</v>
      </c>
      <c r="EJ160">
        <f t="shared" ref="EJ160:EJ170" si="3222">($C160*AZ160)/100</f>
        <v>2.9700000000000001E-2</v>
      </c>
      <c r="EK160">
        <f t="shared" ref="EK160:EK170" si="3223">($C160*BA160)/100</f>
        <v>0</v>
      </c>
      <c r="EL160">
        <f t="shared" ref="EL160:EL170" si="3224">($C160*BB160)/100</f>
        <v>0</v>
      </c>
      <c r="EM160">
        <f t="shared" ref="EM160:EM170" si="3225">($C160*BC160)/100</f>
        <v>6.6000000000000003E-2</v>
      </c>
      <c r="EN160">
        <f t="shared" ref="EN160:EN170" si="3226">($C160*BD160)/100</f>
        <v>0</v>
      </c>
      <c r="EO160">
        <f t="shared" ref="EO160:EO170" si="3227">($C160*BE160)/100</f>
        <v>5.5000000000000005E-3</v>
      </c>
      <c r="EP160">
        <f t="shared" ref="EP160:EP170" si="3228">($C160*BF160)/100</f>
        <v>6.0500000000000005E-2</v>
      </c>
      <c r="EQ160">
        <f t="shared" ref="EQ160:EQ170" si="3229">($C160*BG160)/100</f>
        <v>0</v>
      </c>
      <c r="ER160">
        <f t="shared" ref="ER160:ER170" si="3230">($C160*BH160)/100</f>
        <v>0</v>
      </c>
      <c r="ES160">
        <f t="shared" ref="ES160:ES170" si="3231">($C160*BI160)/100</f>
        <v>5.1699999999999996E-2</v>
      </c>
      <c r="ET160">
        <f t="shared" ref="ET160:ET170" si="3232">($C160*BJ160)/100</f>
        <v>4.6199999999999998E-2</v>
      </c>
      <c r="EU160">
        <f t="shared" ref="EU160:EU170" si="3233">($C160*BK160)/100</f>
        <v>2.2000000000000001E-3</v>
      </c>
      <c r="EV160">
        <f t="shared" ref="EV160:EV170" si="3234">($C160*BL160)/100</f>
        <v>3.2999999999999995E-3</v>
      </c>
      <c r="EW160">
        <f t="shared" ref="EW160:EW170" si="3235">($C160*BM160)/100</f>
        <v>0</v>
      </c>
      <c r="EX160">
        <f t="shared" ref="EX160:EX170" si="3236">($C160*BN160)/100</f>
        <v>0</v>
      </c>
      <c r="EY160">
        <f t="shared" ref="EY160:EY170" si="3237">($C160*BO160)/100</f>
        <v>0</v>
      </c>
      <c r="EZ160">
        <f t="shared" ref="EZ160:EZ170" si="3238">($C160*BP160)/100</f>
        <v>13.86</v>
      </c>
      <c r="FA160">
        <f t="shared" ref="FA160:FA170" si="3239">($C160*BQ160)/100</f>
        <v>43.23</v>
      </c>
      <c r="FB160">
        <f t="shared" ref="FB160:FB170" si="3240">($C160*BR160)/100</f>
        <v>53.9</v>
      </c>
      <c r="FC160">
        <f t="shared" ref="FC160:FC170" si="3241">($C160*BS160)/100</f>
        <v>98.67</v>
      </c>
      <c r="FD160">
        <f t="shared" ref="FD160:FD170" si="3242">($C160*BT160)/100</f>
        <v>38.94</v>
      </c>
      <c r="FE160">
        <f t="shared" ref="FE160:FE170" si="3243">($C160*BU160)/100</f>
        <v>26.29</v>
      </c>
      <c r="FF160">
        <f t="shared" ref="FF160:FF170" si="3244">($C160*BV160)/100</f>
        <v>31.35</v>
      </c>
      <c r="FG160">
        <f t="shared" ref="FG160:FG170" si="3245">($C160*BW160)/100</f>
        <v>65.23</v>
      </c>
      <c r="FH160">
        <f t="shared" ref="FH160:FH170" si="3246">($C160*BX160)/100</f>
        <v>40.590000000000003</v>
      </c>
      <c r="FI160">
        <f t="shared" ref="FI160:FI170" si="3247">($C160*BY160)/100</f>
        <v>64.569999999999993</v>
      </c>
      <c r="FJ160">
        <f t="shared" ref="FJ160:FJ170" si="3248">($C160*BZ160)/100</f>
        <v>56.43</v>
      </c>
      <c r="FK160">
        <f t="shared" ref="FK160:FK170" si="3249">($C160*CA160)/100</f>
        <v>27.06</v>
      </c>
      <c r="FL160">
        <f t="shared" ref="FL160:FL170" si="3250">($C160*CB160)/100</f>
        <v>45.65</v>
      </c>
      <c r="FM160">
        <f t="shared" ref="FM160:FM170" si="3251">($C160*CC160)/100</f>
        <v>69.63</v>
      </c>
      <c r="FN160">
        <f t="shared" ref="FN160:FN170" si="3252">($C160*CD160)/100</f>
        <v>453.42</v>
      </c>
      <c r="FO160">
        <f t="shared" ref="FO160:FO170" si="3253">($C160*CE160)/100</f>
        <v>40.369999999999997</v>
      </c>
      <c r="FP160">
        <f t="shared" ref="FP160:FP170" si="3254">($C160*CF160)/100</f>
        <v>139.81</v>
      </c>
      <c r="FQ160">
        <f t="shared" ref="FQ160:FQ170" si="3255">($C160*CG160)/100</f>
        <v>75.790000000000006</v>
      </c>
      <c r="FR160">
        <f t="shared" ref="FR160:FR170" si="3256">($C160*CH160)/100</f>
        <v>0</v>
      </c>
      <c r="FS160">
        <f t="shared" ref="FS160:FS170" si="3257">($C160*CI160)/100</f>
        <v>0</v>
      </c>
      <c r="FT160">
        <f t="shared" ref="FT160:FT170" si="3258">($C160*CJ160)/100</f>
        <v>0</v>
      </c>
      <c r="FU160">
        <f t="shared" ref="FU160:FU170" si="3259">($C160*CK160)/100</f>
        <v>0.154</v>
      </c>
      <c r="FV160">
        <f t="shared" ref="FV160:FV170" si="3260">($C160*CL160)/100</f>
        <v>3.3000000000000002E-2</v>
      </c>
      <c r="FW160">
        <f t="shared" ref="FW160:FW170" si="3261">($C160*CM160)/100</f>
        <v>0</v>
      </c>
    </row>
    <row r="161" spans="1:179" x14ac:dyDescent="0.35">
      <c r="B161" s="71" t="s">
        <v>364</v>
      </c>
      <c r="C161">
        <v>20</v>
      </c>
      <c r="D161" s="6">
        <v>160</v>
      </c>
      <c r="E161" s="6">
        <v>669</v>
      </c>
      <c r="F161" s="6">
        <v>19.100000000000001</v>
      </c>
      <c r="G161" s="6">
        <v>19.100000000000001</v>
      </c>
      <c r="H161" s="6">
        <v>0</v>
      </c>
      <c r="I161" s="6">
        <v>9.3000000000000007</v>
      </c>
      <c r="J161" s="6">
        <v>9.3000000000000007</v>
      </c>
      <c r="K161" s="6">
        <v>0</v>
      </c>
      <c r="L161" s="6">
        <v>70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69.599999999999994</v>
      </c>
      <c r="S161" s="6">
        <v>2.1</v>
      </c>
      <c r="T161" s="6">
        <v>10</v>
      </c>
      <c r="U161" s="6">
        <v>51</v>
      </c>
      <c r="V161" s="6">
        <v>330</v>
      </c>
      <c r="W161" s="6">
        <v>172</v>
      </c>
      <c r="X161" s="6">
        <v>3.8</v>
      </c>
      <c r="Y161" s="6">
        <v>14</v>
      </c>
      <c r="Z161" s="6">
        <v>0.06</v>
      </c>
      <c r="AA161" s="6">
        <v>3</v>
      </c>
      <c r="AB161" s="6">
        <v>52</v>
      </c>
      <c r="AC161" s="6">
        <v>10</v>
      </c>
      <c r="AD161" s="51">
        <v>5.0000000000000001E-3</v>
      </c>
      <c r="AE161" s="6">
        <v>180</v>
      </c>
      <c r="AF161" s="6">
        <v>0.1</v>
      </c>
      <c r="AG161" s="6">
        <v>0.12</v>
      </c>
      <c r="AH161" s="6">
        <v>0</v>
      </c>
      <c r="AI161" s="6">
        <v>4.2</v>
      </c>
      <c r="AJ161" s="6">
        <v>0.54</v>
      </c>
      <c r="AK161" s="6">
        <v>16</v>
      </c>
      <c r="AL161" s="6">
        <v>0.77</v>
      </c>
      <c r="AM161" s="6">
        <v>1</v>
      </c>
      <c r="AN161" s="6">
        <v>2</v>
      </c>
      <c r="AO161" s="51">
        <v>0.5</v>
      </c>
      <c r="AP161" s="51">
        <v>0.5</v>
      </c>
      <c r="AQ161" s="6">
        <v>0</v>
      </c>
      <c r="AR161" s="6">
        <v>0.15</v>
      </c>
      <c r="AS161" s="6">
        <v>0.5</v>
      </c>
      <c r="AT161" s="84">
        <v>1.6</v>
      </c>
      <c r="AU161" s="6">
        <v>2.927</v>
      </c>
      <c r="AV161" s="6">
        <v>0</v>
      </c>
      <c r="AW161" s="6">
        <v>0</v>
      </c>
      <c r="AX161" s="6">
        <v>0.20100000000000001</v>
      </c>
      <c r="AY161" s="6">
        <v>1.514</v>
      </c>
      <c r="AZ161" s="6">
        <v>1.0580000000000001</v>
      </c>
      <c r="BA161" s="6">
        <v>0</v>
      </c>
      <c r="BB161" s="6">
        <v>0</v>
      </c>
      <c r="BC161" s="6">
        <v>3.0179999999999998</v>
      </c>
      <c r="BD161" s="6">
        <v>0.29199999999999998</v>
      </c>
      <c r="BE161" s="6">
        <v>0.20100000000000001</v>
      </c>
      <c r="BF161" s="6">
        <v>2.0510000000000002</v>
      </c>
      <c r="BG161" s="6">
        <v>0</v>
      </c>
      <c r="BH161" s="6">
        <v>0.219</v>
      </c>
      <c r="BI161" s="6">
        <v>2.0699999999999998</v>
      </c>
      <c r="BJ161" s="6">
        <v>1.03</v>
      </c>
      <c r="BK161" s="6">
        <v>0.182</v>
      </c>
      <c r="BL161" s="6">
        <v>0.31</v>
      </c>
      <c r="BM161" s="6">
        <v>0.11899999999999999</v>
      </c>
      <c r="BN161" s="6">
        <v>0.11899999999999999</v>
      </c>
      <c r="BO161" s="6">
        <v>0.31</v>
      </c>
      <c r="BP161" s="7">
        <v>208</v>
      </c>
      <c r="BQ161" s="7">
        <v>786</v>
      </c>
      <c r="BR161" s="7">
        <v>828</v>
      </c>
      <c r="BS161" s="7">
        <v>1607</v>
      </c>
      <c r="BT161" s="7">
        <v>1727</v>
      </c>
      <c r="BU161" s="7">
        <v>553</v>
      </c>
      <c r="BV161" s="7">
        <v>201</v>
      </c>
      <c r="BW161" s="7">
        <v>770</v>
      </c>
      <c r="BX161" s="7">
        <v>649</v>
      </c>
      <c r="BY161" s="7">
        <v>899</v>
      </c>
      <c r="BZ161" s="7">
        <v>1189</v>
      </c>
      <c r="CA161" s="7">
        <v>740</v>
      </c>
      <c r="CB161" s="7">
        <v>1185</v>
      </c>
      <c r="CC161" s="7">
        <v>1866</v>
      </c>
      <c r="CD161" s="7">
        <v>3181</v>
      </c>
      <c r="CE161" s="7">
        <v>1007</v>
      </c>
      <c r="CF161" s="7">
        <v>811</v>
      </c>
      <c r="CG161" s="7">
        <v>761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>
        <f t="shared" si="3174"/>
        <v>32</v>
      </c>
      <c r="CO161">
        <f t="shared" si="3175"/>
        <v>133.80000000000001</v>
      </c>
      <c r="CP161">
        <f t="shared" si="3176"/>
        <v>3.82</v>
      </c>
      <c r="CQ161">
        <f t="shared" si="3177"/>
        <v>3.82</v>
      </c>
      <c r="CR161">
        <f t="shared" si="3178"/>
        <v>0</v>
      </c>
      <c r="CS161">
        <f t="shared" si="3179"/>
        <v>1.86</v>
      </c>
      <c r="CT161">
        <f t="shared" si="3180"/>
        <v>1.86</v>
      </c>
      <c r="CU161">
        <f t="shared" si="3181"/>
        <v>0</v>
      </c>
      <c r="CV161">
        <f t="shared" si="3182"/>
        <v>14</v>
      </c>
      <c r="CW161">
        <f t="shared" si="3183"/>
        <v>0</v>
      </c>
      <c r="CX161">
        <f t="shared" si="3184"/>
        <v>0</v>
      </c>
      <c r="CY161">
        <f t="shared" si="3185"/>
        <v>0</v>
      </c>
      <c r="CZ161">
        <f t="shared" si="3186"/>
        <v>0</v>
      </c>
      <c r="DA161">
        <f t="shared" si="3187"/>
        <v>0</v>
      </c>
      <c r="DB161">
        <f t="shared" si="3188"/>
        <v>13.92</v>
      </c>
      <c r="DC161">
        <f t="shared" si="3189"/>
        <v>0.42</v>
      </c>
      <c r="DD161">
        <f t="shared" si="3190"/>
        <v>2</v>
      </c>
      <c r="DE161">
        <f t="shared" si="3191"/>
        <v>10.199999999999999</v>
      </c>
      <c r="DF161">
        <f t="shared" si="3192"/>
        <v>66</v>
      </c>
      <c r="DG161">
        <f t="shared" si="3193"/>
        <v>34.4</v>
      </c>
      <c r="DH161">
        <f t="shared" si="3194"/>
        <v>0.76</v>
      </c>
      <c r="DI161">
        <f t="shared" si="3195"/>
        <v>2.8</v>
      </c>
      <c r="DJ161">
        <f t="shared" si="3196"/>
        <v>1.2E-2</v>
      </c>
      <c r="DK161">
        <f t="shared" si="3197"/>
        <v>0.6</v>
      </c>
      <c r="DL161">
        <f t="shared" si="3198"/>
        <v>10.4</v>
      </c>
      <c r="DM161">
        <f t="shared" si="3199"/>
        <v>2</v>
      </c>
      <c r="DN161">
        <f t="shared" si="3200"/>
        <v>1E-3</v>
      </c>
      <c r="DO161">
        <f t="shared" si="3201"/>
        <v>36</v>
      </c>
      <c r="DP161">
        <f t="shared" si="3202"/>
        <v>0.02</v>
      </c>
      <c r="DQ161">
        <f t="shared" si="3203"/>
        <v>2.4E-2</v>
      </c>
      <c r="DR161">
        <f t="shared" si="3204"/>
        <v>0</v>
      </c>
      <c r="DS161">
        <f t="shared" si="3205"/>
        <v>0.84</v>
      </c>
      <c r="DT161">
        <f t="shared" si="3206"/>
        <v>0.10800000000000001</v>
      </c>
      <c r="DU161">
        <f t="shared" si="3207"/>
        <v>3.2</v>
      </c>
      <c r="DV161">
        <f t="shared" si="3208"/>
        <v>0.154</v>
      </c>
      <c r="DW161">
        <f t="shared" si="3209"/>
        <v>0.2</v>
      </c>
      <c r="DX161">
        <f t="shared" si="3210"/>
        <v>0.4</v>
      </c>
      <c r="DY161">
        <f t="shared" si="3211"/>
        <v>0.1</v>
      </c>
      <c r="DZ161">
        <f t="shared" si="3212"/>
        <v>0.1</v>
      </c>
      <c r="EA161">
        <f t="shared" si="3213"/>
        <v>0</v>
      </c>
      <c r="EB161">
        <f t="shared" si="3214"/>
        <v>0.03</v>
      </c>
      <c r="EC161">
        <f t="shared" si="3215"/>
        <v>0.1</v>
      </c>
      <c r="ED161">
        <f t="shared" si="3216"/>
        <v>0.32</v>
      </c>
      <c r="EE161">
        <f t="shared" si="3217"/>
        <v>0.58540000000000003</v>
      </c>
      <c r="EF161">
        <f t="shared" si="3218"/>
        <v>0</v>
      </c>
      <c r="EG161">
        <f t="shared" si="3219"/>
        <v>0</v>
      </c>
      <c r="EH161">
        <f t="shared" si="3220"/>
        <v>4.0200000000000007E-2</v>
      </c>
      <c r="EI161">
        <f t="shared" si="3221"/>
        <v>0.30280000000000001</v>
      </c>
      <c r="EJ161">
        <f t="shared" si="3222"/>
        <v>0.21160000000000001</v>
      </c>
      <c r="EK161">
        <f t="shared" si="3223"/>
        <v>0</v>
      </c>
      <c r="EL161">
        <f t="shared" si="3224"/>
        <v>0</v>
      </c>
      <c r="EM161">
        <f t="shared" si="3225"/>
        <v>0.60360000000000003</v>
      </c>
      <c r="EN161">
        <f t="shared" si="3226"/>
        <v>5.8400000000000001E-2</v>
      </c>
      <c r="EO161">
        <f t="shared" si="3227"/>
        <v>4.0200000000000007E-2</v>
      </c>
      <c r="EP161">
        <f t="shared" si="3228"/>
        <v>0.41020000000000001</v>
      </c>
      <c r="EQ161">
        <f t="shared" si="3229"/>
        <v>0</v>
      </c>
      <c r="ER161">
        <f t="shared" si="3230"/>
        <v>4.3799999999999999E-2</v>
      </c>
      <c r="ES161">
        <f t="shared" si="3231"/>
        <v>0.41399999999999998</v>
      </c>
      <c r="ET161">
        <f t="shared" si="3232"/>
        <v>0.20600000000000002</v>
      </c>
      <c r="EU161">
        <f t="shared" si="3233"/>
        <v>3.6399999999999995E-2</v>
      </c>
      <c r="EV161">
        <f t="shared" si="3234"/>
        <v>6.2E-2</v>
      </c>
      <c r="EW161">
        <f t="shared" si="3235"/>
        <v>2.3799999999999998E-2</v>
      </c>
      <c r="EX161">
        <f t="shared" si="3236"/>
        <v>2.3799999999999998E-2</v>
      </c>
      <c r="EY161">
        <f t="shared" si="3237"/>
        <v>6.2E-2</v>
      </c>
      <c r="EZ161">
        <f t="shared" si="3238"/>
        <v>41.6</v>
      </c>
      <c r="FA161">
        <f t="shared" si="3239"/>
        <v>157.19999999999999</v>
      </c>
      <c r="FB161">
        <f t="shared" si="3240"/>
        <v>165.6</v>
      </c>
      <c r="FC161">
        <f t="shared" si="3241"/>
        <v>321.39999999999998</v>
      </c>
      <c r="FD161">
        <f t="shared" si="3242"/>
        <v>345.4</v>
      </c>
      <c r="FE161">
        <f t="shared" si="3243"/>
        <v>110.6</v>
      </c>
      <c r="FF161">
        <f t="shared" si="3244"/>
        <v>40.200000000000003</v>
      </c>
      <c r="FG161">
        <f t="shared" si="3245"/>
        <v>154</v>
      </c>
      <c r="FH161">
        <f t="shared" si="3246"/>
        <v>129.80000000000001</v>
      </c>
      <c r="FI161">
        <f t="shared" si="3247"/>
        <v>179.8</v>
      </c>
      <c r="FJ161">
        <f t="shared" si="3248"/>
        <v>237.8</v>
      </c>
      <c r="FK161">
        <f t="shared" si="3249"/>
        <v>148</v>
      </c>
      <c r="FL161">
        <f t="shared" si="3250"/>
        <v>237</v>
      </c>
      <c r="FM161">
        <f t="shared" si="3251"/>
        <v>373.2</v>
      </c>
      <c r="FN161">
        <f t="shared" si="3252"/>
        <v>636.20000000000005</v>
      </c>
      <c r="FO161">
        <f t="shared" si="3253"/>
        <v>201.4</v>
      </c>
      <c r="FP161">
        <f t="shared" si="3254"/>
        <v>162.19999999999999</v>
      </c>
      <c r="FQ161">
        <f t="shared" si="3255"/>
        <v>152.19999999999999</v>
      </c>
      <c r="FR161">
        <f t="shared" si="3256"/>
        <v>0</v>
      </c>
      <c r="FS161">
        <f t="shared" si="3257"/>
        <v>0</v>
      </c>
      <c r="FT161">
        <f t="shared" si="3258"/>
        <v>0</v>
      </c>
      <c r="FU161">
        <f t="shared" si="3259"/>
        <v>0</v>
      </c>
      <c r="FV161">
        <f t="shared" si="3260"/>
        <v>0</v>
      </c>
      <c r="FW161">
        <f t="shared" si="3261"/>
        <v>0</v>
      </c>
    </row>
    <row r="162" spans="1:179" x14ac:dyDescent="0.35">
      <c r="B162" s="72" t="s">
        <v>253</v>
      </c>
      <c r="C162">
        <v>8</v>
      </c>
      <c r="D162" s="54">
        <v>28</v>
      </c>
      <c r="E162" s="54">
        <v>121</v>
      </c>
      <c r="F162" s="54">
        <v>1</v>
      </c>
      <c r="G162" s="54">
        <v>0</v>
      </c>
      <c r="H162" s="54">
        <v>1</v>
      </c>
      <c r="I162" s="54">
        <v>0.1</v>
      </c>
      <c r="J162" s="54">
        <v>0</v>
      </c>
      <c r="K162" s="54">
        <v>0.1</v>
      </c>
      <c r="L162" s="54">
        <v>0</v>
      </c>
      <c r="M162" s="54">
        <v>5.7</v>
      </c>
      <c r="N162" s="54">
        <v>0</v>
      </c>
      <c r="O162" s="54">
        <v>5.7</v>
      </c>
      <c r="P162" s="54">
        <v>1.1000000000000001</v>
      </c>
      <c r="Q162" s="54">
        <v>0</v>
      </c>
      <c r="R162" s="54">
        <v>92.1</v>
      </c>
      <c r="S162" s="54">
        <v>0.4</v>
      </c>
      <c r="T162" s="54">
        <v>25</v>
      </c>
      <c r="U162" s="54">
        <v>10</v>
      </c>
      <c r="V162" s="54">
        <v>140</v>
      </c>
      <c r="W162" s="54">
        <v>35</v>
      </c>
      <c r="X162" s="54">
        <v>0.3</v>
      </c>
      <c r="Y162" s="81">
        <v>0</v>
      </c>
      <c r="Z162" s="81">
        <v>0</v>
      </c>
      <c r="AA162" s="81">
        <v>0</v>
      </c>
      <c r="AB162" s="81">
        <v>0</v>
      </c>
      <c r="AC162" s="81">
        <v>0</v>
      </c>
      <c r="AD162" s="81">
        <v>0</v>
      </c>
      <c r="AE162" s="81">
        <v>0</v>
      </c>
      <c r="AF162" s="54">
        <v>0.02</v>
      </c>
      <c r="AG162" s="54">
        <v>0.03</v>
      </c>
      <c r="AH162" s="54">
        <v>5</v>
      </c>
      <c r="AI162" s="54">
        <v>0.5</v>
      </c>
      <c r="AJ162" s="54">
        <v>0.14000000000000001</v>
      </c>
      <c r="AK162" s="54">
        <v>12</v>
      </c>
      <c r="AL162" s="81">
        <v>0</v>
      </c>
      <c r="AM162" s="81">
        <v>0</v>
      </c>
      <c r="AN162" s="81">
        <v>0</v>
      </c>
      <c r="AO162" s="54">
        <v>0</v>
      </c>
      <c r="AP162" s="54">
        <v>0</v>
      </c>
      <c r="AQ162" s="54">
        <v>0</v>
      </c>
      <c r="AR162" s="54">
        <v>0.22</v>
      </c>
      <c r="AS162" s="54">
        <v>0</v>
      </c>
      <c r="AT162" s="81">
        <v>0</v>
      </c>
      <c r="AU162" s="54">
        <v>0.02</v>
      </c>
      <c r="AV162" s="81">
        <v>0</v>
      </c>
      <c r="AW162" s="81">
        <v>0</v>
      </c>
      <c r="AX162" s="81">
        <v>0</v>
      </c>
      <c r="AY162" s="81">
        <v>0</v>
      </c>
      <c r="AZ162" s="81">
        <v>0</v>
      </c>
      <c r="BA162" s="81">
        <v>0</v>
      </c>
      <c r="BB162" s="81">
        <v>0</v>
      </c>
      <c r="BC162" s="54">
        <v>0.01</v>
      </c>
      <c r="BD162" s="82">
        <v>0</v>
      </c>
      <c r="BE162" s="82">
        <v>0</v>
      </c>
      <c r="BF162" s="54">
        <v>0.01</v>
      </c>
      <c r="BG162" s="82">
        <v>0</v>
      </c>
      <c r="BH162" s="82">
        <v>0</v>
      </c>
      <c r="BI162" s="54">
        <v>0.03</v>
      </c>
      <c r="BJ162" s="54">
        <v>0.03</v>
      </c>
      <c r="BK162" s="51">
        <v>5.0000000000000001E-3</v>
      </c>
      <c r="BL162" s="82">
        <v>0</v>
      </c>
      <c r="BM162" s="82">
        <v>0</v>
      </c>
      <c r="BN162" s="82">
        <v>0</v>
      </c>
      <c r="BO162" s="54">
        <v>0</v>
      </c>
      <c r="BP162" s="56">
        <v>15</v>
      </c>
      <c r="BQ162" s="56">
        <v>24</v>
      </c>
      <c r="BR162" s="56">
        <v>35</v>
      </c>
      <c r="BS162" s="56">
        <v>35</v>
      </c>
      <c r="BT162" s="56">
        <v>47</v>
      </c>
      <c r="BU162" s="56">
        <v>9</v>
      </c>
      <c r="BV162" s="56">
        <v>18</v>
      </c>
      <c r="BW162" s="56">
        <v>26</v>
      </c>
      <c r="BX162" s="56">
        <v>25</v>
      </c>
      <c r="BY162" s="56">
        <v>23</v>
      </c>
      <c r="BZ162" s="56">
        <v>134</v>
      </c>
      <c r="CA162" s="56">
        <v>16</v>
      </c>
      <c r="CB162" s="56">
        <v>28</v>
      </c>
      <c r="CC162" s="56">
        <v>54</v>
      </c>
      <c r="CD162" s="56">
        <v>161</v>
      </c>
      <c r="CE162" s="56">
        <v>41</v>
      </c>
      <c r="CF162" s="56">
        <v>31</v>
      </c>
      <c r="CG162" s="56">
        <v>29</v>
      </c>
      <c r="CH162" s="81">
        <v>0</v>
      </c>
      <c r="CI162" s="81">
        <v>0</v>
      </c>
      <c r="CJ162" s="83">
        <v>0</v>
      </c>
      <c r="CK162" s="81">
        <v>0</v>
      </c>
      <c r="CL162" s="81">
        <v>0</v>
      </c>
      <c r="CM162" s="83">
        <v>0</v>
      </c>
      <c r="CN162">
        <f t="shared" si="3174"/>
        <v>2.2400000000000002</v>
      </c>
      <c r="CO162">
        <f t="shared" si="3175"/>
        <v>9.68</v>
      </c>
      <c r="CP162">
        <f t="shared" si="3176"/>
        <v>0.08</v>
      </c>
      <c r="CQ162">
        <f t="shared" si="3177"/>
        <v>0</v>
      </c>
      <c r="CR162">
        <f t="shared" si="3178"/>
        <v>0.08</v>
      </c>
      <c r="CS162">
        <f t="shared" si="3179"/>
        <v>8.0000000000000002E-3</v>
      </c>
      <c r="CT162">
        <f t="shared" si="3180"/>
        <v>0</v>
      </c>
      <c r="CU162">
        <f t="shared" si="3181"/>
        <v>8.0000000000000002E-3</v>
      </c>
      <c r="CV162">
        <f t="shared" si="3182"/>
        <v>0</v>
      </c>
      <c r="CW162">
        <f t="shared" si="3183"/>
        <v>0.45600000000000002</v>
      </c>
      <c r="CX162">
        <f t="shared" si="3184"/>
        <v>0</v>
      </c>
      <c r="CY162">
        <f t="shared" si="3185"/>
        <v>0.45600000000000002</v>
      </c>
      <c r="CZ162">
        <f t="shared" si="3186"/>
        <v>8.8000000000000009E-2</v>
      </c>
      <c r="DA162">
        <f t="shared" si="3187"/>
        <v>0</v>
      </c>
      <c r="DB162">
        <f t="shared" si="3188"/>
        <v>7.3679999999999994</v>
      </c>
      <c r="DC162">
        <f t="shared" si="3189"/>
        <v>3.2000000000000001E-2</v>
      </c>
      <c r="DD162">
        <f t="shared" si="3190"/>
        <v>2</v>
      </c>
      <c r="DE162">
        <f t="shared" si="3191"/>
        <v>0.8</v>
      </c>
      <c r="DF162">
        <f t="shared" si="3192"/>
        <v>11.2</v>
      </c>
      <c r="DG162">
        <f t="shared" si="3193"/>
        <v>2.8</v>
      </c>
      <c r="DH162">
        <f t="shared" si="3194"/>
        <v>2.4E-2</v>
      </c>
      <c r="DI162">
        <f t="shared" si="3195"/>
        <v>0</v>
      </c>
      <c r="DJ162">
        <f t="shared" si="3196"/>
        <v>0</v>
      </c>
      <c r="DK162">
        <f t="shared" si="3197"/>
        <v>0</v>
      </c>
      <c r="DL162">
        <f t="shared" si="3198"/>
        <v>0</v>
      </c>
      <c r="DM162">
        <f t="shared" si="3199"/>
        <v>0</v>
      </c>
      <c r="DN162">
        <f t="shared" si="3200"/>
        <v>0</v>
      </c>
      <c r="DO162">
        <f t="shared" si="3201"/>
        <v>0</v>
      </c>
      <c r="DP162">
        <f t="shared" si="3202"/>
        <v>1.6000000000000001E-3</v>
      </c>
      <c r="DQ162">
        <f t="shared" si="3203"/>
        <v>2.3999999999999998E-3</v>
      </c>
      <c r="DR162">
        <f t="shared" si="3204"/>
        <v>0.4</v>
      </c>
      <c r="DS162">
        <f t="shared" si="3205"/>
        <v>0.04</v>
      </c>
      <c r="DT162">
        <f t="shared" si="3206"/>
        <v>1.1200000000000002E-2</v>
      </c>
      <c r="DU162">
        <f t="shared" si="3207"/>
        <v>0.96</v>
      </c>
      <c r="DV162">
        <f t="shared" si="3208"/>
        <v>0</v>
      </c>
      <c r="DW162">
        <f t="shared" si="3209"/>
        <v>0</v>
      </c>
      <c r="DX162">
        <f t="shared" si="3210"/>
        <v>0</v>
      </c>
      <c r="DY162">
        <f t="shared" si="3211"/>
        <v>0</v>
      </c>
      <c r="DZ162">
        <f t="shared" si="3212"/>
        <v>0</v>
      </c>
      <c r="EA162">
        <f t="shared" si="3213"/>
        <v>0</v>
      </c>
      <c r="EB162">
        <f t="shared" si="3214"/>
        <v>1.7600000000000001E-2</v>
      </c>
      <c r="EC162">
        <f t="shared" si="3215"/>
        <v>0</v>
      </c>
      <c r="ED162">
        <f t="shared" si="3216"/>
        <v>0</v>
      </c>
      <c r="EE162">
        <f t="shared" si="3217"/>
        <v>1.6000000000000001E-3</v>
      </c>
      <c r="EF162">
        <f t="shared" si="3218"/>
        <v>0</v>
      </c>
      <c r="EG162">
        <f t="shared" si="3219"/>
        <v>0</v>
      </c>
      <c r="EH162">
        <f t="shared" si="3220"/>
        <v>0</v>
      </c>
      <c r="EI162">
        <f t="shared" si="3221"/>
        <v>0</v>
      </c>
      <c r="EJ162">
        <f t="shared" si="3222"/>
        <v>0</v>
      </c>
      <c r="EK162">
        <f t="shared" si="3223"/>
        <v>0</v>
      </c>
      <c r="EL162">
        <f t="shared" si="3224"/>
        <v>0</v>
      </c>
      <c r="EM162">
        <f t="shared" si="3225"/>
        <v>8.0000000000000004E-4</v>
      </c>
      <c r="EN162">
        <f t="shared" si="3226"/>
        <v>0</v>
      </c>
      <c r="EO162">
        <f t="shared" si="3227"/>
        <v>0</v>
      </c>
      <c r="EP162">
        <f t="shared" si="3228"/>
        <v>8.0000000000000004E-4</v>
      </c>
      <c r="EQ162">
        <f t="shared" si="3229"/>
        <v>0</v>
      </c>
      <c r="ER162">
        <f t="shared" si="3230"/>
        <v>0</v>
      </c>
      <c r="ES162">
        <f t="shared" si="3231"/>
        <v>2.3999999999999998E-3</v>
      </c>
      <c r="ET162">
        <f t="shared" si="3232"/>
        <v>2.3999999999999998E-3</v>
      </c>
      <c r="EU162">
        <f t="shared" si="3233"/>
        <v>4.0000000000000002E-4</v>
      </c>
      <c r="EV162">
        <f t="shared" si="3234"/>
        <v>0</v>
      </c>
      <c r="EW162">
        <f t="shared" si="3235"/>
        <v>0</v>
      </c>
      <c r="EX162">
        <f t="shared" si="3236"/>
        <v>0</v>
      </c>
      <c r="EY162">
        <f t="shared" si="3237"/>
        <v>0</v>
      </c>
      <c r="EZ162">
        <f t="shared" si="3238"/>
        <v>1.2</v>
      </c>
      <c r="FA162">
        <f t="shared" si="3239"/>
        <v>1.92</v>
      </c>
      <c r="FB162">
        <f t="shared" si="3240"/>
        <v>2.8</v>
      </c>
      <c r="FC162">
        <f t="shared" si="3241"/>
        <v>2.8</v>
      </c>
      <c r="FD162">
        <f t="shared" si="3242"/>
        <v>3.76</v>
      </c>
      <c r="FE162">
        <f t="shared" si="3243"/>
        <v>0.72</v>
      </c>
      <c r="FF162">
        <f t="shared" si="3244"/>
        <v>1.44</v>
      </c>
      <c r="FG162">
        <f t="shared" si="3245"/>
        <v>2.08</v>
      </c>
      <c r="FH162">
        <f t="shared" si="3246"/>
        <v>2</v>
      </c>
      <c r="FI162">
        <f t="shared" si="3247"/>
        <v>1.84</v>
      </c>
      <c r="FJ162">
        <f t="shared" si="3248"/>
        <v>10.72</v>
      </c>
      <c r="FK162">
        <f t="shared" si="3249"/>
        <v>1.28</v>
      </c>
      <c r="FL162">
        <f t="shared" si="3250"/>
        <v>2.2400000000000002</v>
      </c>
      <c r="FM162">
        <f t="shared" si="3251"/>
        <v>4.32</v>
      </c>
      <c r="FN162">
        <f t="shared" si="3252"/>
        <v>12.88</v>
      </c>
      <c r="FO162">
        <f t="shared" si="3253"/>
        <v>3.28</v>
      </c>
      <c r="FP162">
        <f t="shared" si="3254"/>
        <v>2.48</v>
      </c>
      <c r="FQ162">
        <f t="shared" si="3255"/>
        <v>2.3199999999999998</v>
      </c>
      <c r="FR162">
        <f t="shared" si="3256"/>
        <v>0</v>
      </c>
      <c r="FS162">
        <f t="shared" si="3257"/>
        <v>0</v>
      </c>
      <c r="FT162">
        <f t="shared" si="3258"/>
        <v>0</v>
      </c>
      <c r="FU162">
        <f t="shared" si="3259"/>
        <v>0</v>
      </c>
      <c r="FV162">
        <f t="shared" si="3260"/>
        <v>0</v>
      </c>
      <c r="FW162">
        <f t="shared" si="3261"/>
        <v>0</v>
      </c>
    </row>
    <row r="163" spans="1:179" x14ac:dyDescent="0.35">
      <c r="B163" s="72" t="s">
        <v>355</v>
      </c>
      <c r="C163">
        <v>8</v>
      </c>
      <c r="D163" s="54">
        <v>39</v>
      </c>
      <c r="E163" s="54">
        <v>165</v>
      </c>
      <c r="F163" s="54">
        <v>1.1000000000000001</v>
      </c>
      <c r="G163" s="54">
        <v>0</v>
      </c>
      <c r="H163" s="54">
        <v>1.1000000000000001</v>
      </c>
      <c r="I163" s="54">
        <v>0</v>
      </c>
      <c r="J163" s="54">
        <v>0</v>
      </c>
      <c r="K163" s="54">
        <v>0</v>
      </c>
      <c r="L163" s="54">
        <v>0</v>
      </c>
      <c r="M163" s="54">
        <v>7.6</v>
      </c>
      <c r="N163" s="54">
        <v>0</v>
      </c>
      <c r="O163" s="54">
        <v>7.6</v>
      </c>
      <c r="P163" s="54">
        <v>3.1</v>
      </c>
      <c r="Q163" s="54">
        <v>0</v>
      </c>
      <c r="R163" s="54">
        <v>91.6</v>
      </c>
      <c r="S163" s="54">
        <v>0.7</v>
      </c>
      <c r="T163" s="54">
        <v>44</v>
      </c>
      <c r="U163" s="54">
        <v>95</v>
      </c>
      <c r="V163" s="54">
        <v>220</v>
      </c>
      <c r="W163" s="54">
        <v>37</v>
      </c>
      <c r="X163" s="54">
        <v>0.4</v>
      </c>
      <c r="Y163" s="81">
        <v>0</v>
      </c>
      <c r="Z163" s="81">
        <v>0</v>
      </c>
      <c r="AA163" s="81">
        <v>0</v>
      </c>
      <c r="AB163" s="81">
        <v>0</v>
      </c>
      <c r="AC163" s="81">
        <v>0</v>
      </c>
      <c r="AD163" s="81">
        <v>0</v>
      </c>
      <c r="AE163" s="81">
        <v>0</v>
      </c>
      <c r="AF163" s="54">
        <v>0.04</v>
      </c>
      <c r="AG163" s="54">
        <v>0.04</v>
      </c>
      <c r="AH163" s="54">
        <v>4</v>
      </c>
      <c r="AI163" s="54">
        <v>0.7</v>
      </c>
      <c r="AJ163" s="54">
        <v>0.12</v>
      </c>
      <c r="AK163" s="54">
        <v>10</v>
      </c>
      <c r="AL163" s="81">
        <v>0</v>
      </c>
      <c r="AM163" s="81">
        <v>0</v>
      </c>
      <c r="AN163" s="81">
        <v>0</v>
      </c>
      <c r="AO163" s="54">
        <v>1148</v>
      </c>
      <c r="AP163" s="54">
        <v>0</v>
      </c>
      <c r="AQ163" s="54">
        <v>6888</v>
      </c>
      <c r="AR163" s="54">
        <v>0.46</v>
      </c>
      <c r="AS163" s="54">
        <v>0</v>
      </c>
      <c r="AT163" s="81">
        <v>0</v>
      </c>
      <c r="AU163" s="54">
        <v>0</v>
      </c>
      <c r="AV163" s="54">
        <v>0</v>
      </c>
      <c r="AW163" s="54">
        <v>0</v>
      </c>
      <c r="AX163" s="54">
        <v>0</v>
      </c>
      <c r="AY163" s="54">
        <v>0</v>
      </c>
      <c r="AZ163" s="54">
        <v>0</v>
      </c>
      <c r="BA163" s="54">
        <v>0</v>
      </c>
      <c r="BB163" s="54">
        <v>0</v>
      </c>
      <c r="BC163" s="54">
        <v>0</v>
      </c>
      <c r="BD163" s="54">
        <v>0</v>
      </c>
      <c r="BE163" s="54">
        <v>0</v>
      </c>
      <c r="BF163" s="54">
        <v>0</v>
      </c>
      <c r="BG163" s="54">
        <v>0</v>
      </c>
      <c r="BH163" s="54">
        <v>0</v>
      </c>
      <c r="BI163" s="54">
        <v>0</v>
      </c>
      <c r="BJ163" s="54">
        <v>0</v>
      </c>
      <c r="BK163" s="54">
        <v>0</v>
      </c>
      <c r="BL163" s="54">
        <v>0</v>
      </c>
      <c r="BM163" s="54">
        <v>0</v>
      </c>
      <c r="BN163" s="54">
        <v>0</v>
      </c>
      <c r="BO163" s="54">
        <v>0</v>
      </c>
      <c r="BP163" s="56">
        <v>12</v>
      </c>
      <c r="BQ163" s="56">
        <v>41</v>
      </c>
      <c r="BR163" s="56">
        <v>44</v>
      </c>
      <c r="BS163" s="56">
        <v>46</v>
      </c>
      <c r="BT163" s="56">
        <v>43</v>
      </c>
      <c r="BU163" s="56">
        <v>7</v>
      </c>
      <c r="BV163" s="56">
        <v>9</v>
      </c>
      <c r="BW163" s="56">
        <v>34</v>
      </c>
      <c r="BX163" s="56">
        <v>21</v>
      </c>
      <c r="BY163" s="56">
        <v>47</v>
      </c>
      <c r="BZ163" s="56">
        <v>46</v>
      </c>
      <c r="CA163" s="56">
        <v>17</v>
      </c>
      <c r="CB163" s="56">
        <v>63</v>
      </c>
      <c r="CC163" s="56">
        <v>146</v>
      </c>
      <c r="CD163" s="56">
        <v>216</v>
      </c>
      <c r="CE163" s="56">
        <v>32</v>
      </c>
      <c r="CF163" s="56">
        <v>31</v>
      </c>
      <c r="CG163" s="56">
        <v>37</v>
      </c>
      <c r="CH163" s="81">
        <v>0</v>
      </c>
      <c r="CI163" s="81">
        <v>0</v>
      </c>
      <c r="CJ163" s="83">
        <v>0</v>
      </c>
      <c r="CK163" s="81">
        <v>0</v>
      </c>
      <c r="CL163" s="81">
        <v>0</v>
      </c>
      <c r="CM163" s="83">
        <v>0</v>
      </c>
      <c r="CN163">
        <f t="shared" si="3174"/>
        <v>3.12</v>
      </c>
      <c r="CO163">
        <f t="shared" si="3175"/>
        <v>13.2</v>
      </c>
      <c r="CP163">
        <f t="shared" si="3176"/>
        <v>8.8000000000000009E-2</v>
      </c>
      <c r="CQ163">
        <f t="shared" si="3177"/>
        <v>0</v>
      </c>
      <c r="CR163">
        <f t="shared" si="3178"/>
        <v>8.8000000000000009E-2</v>
      </c>
      <c r="CS163">
        <f t="shared" si="3179"/>
        <v>0</v>
      </c>
      <c r="CT163">
        <f t="shared" si="3180"/>
        <v>0</v>
      </c>
      <c r="CU163">
        <f t="shared" si="3181"/>
        <v>0</v>
      </c>
      <c r="CV163">
        <f t="shared" si="3182"/>
        <v>0</v>
      </c>
      <c r="CW163">
        <f t="shared" si="3183"/>
        <v>0.60799999999999998</v>
      </c>
      <c r="CX163">
        <f t="shared" si="3184"/>
        <v>0</v>
      </c>
      <c r="CY163">
        <f t="shared" si="3185"/>
        <v>0.60799999999999998</v>
      </c>
      <c r="CZ163">
        <f t="shared" si="3186"/>
        <v>0.248</v>
      </c>
      <c r="DA163">
        <f t="shared" si="3187"/>
        <v>0</v>
      </c>
      <c r="DB163">
        <f t="shared" si="3188"/>
        <v>7.3279999999999994</v>
      </c>
      <c r="DC163">
        <f t="shared" si="3189"/>
        <v>5.5999999999999994E-2</v>
      </c>
      <c r="DD163">
        <f t="shared" si="3190"/>
        <v>3.52</v>
      </c>
      <c r="DE163">
        <f t="shared" si="3191"/>
        <v>7.6</v>
      </c>
      <c r="DF163">
        <f t="shared" si="3192"/>
        <v>17.600000000000001</v>
      </c>
      <c r="DG163">
        <f t="shared" si="3193"/>
        <v>2.96</v>
      </c>
      <c r="DH163">
        <f t="shared" si="3194"/>
        <v>3.2000000000000001E-2</v>
      </c>
      <c r="DI163">
        <f t="shared" si="3195"/>
        <v>0</v>
      </c>
      <c r="DJ163">
        <f t="shared" si="3196"/>
        <v>0</v>
      </c>
      <c r="DK163">
        <f t="shared" si="3197"/>
        <v>0</v>
      </c>
      <c r="DL163">
        <f t="shared" si="3198"/>
        <v>0</v>
      </c>
      <c r="DM163">
        <f t="shared" si="3199"/>
        <v>0</v>
      </c>
      <c r="DN163">
        <f t="shared" si="3200"/>
        <v>0</v>
      </c>
      <c r="DO163">
        <f t="shared" si="3201"/>
        <v>0</v>
      </c>
      <c r="DP163">
        <f t="shared" si="3202"/>
        <v>3.2000000000000002E-3</v>
      </c>
      <c r="DQ163">
        <f t="shared" si="3203"/>
        <v>3.2000000000000002E-3</v>
      </c>
      <c r="DR163">
        <f t="shared" si="3204"/>
        <v>0.32</v>
      </c>
      <c r="DS163">
        <f t="shared" si="3205"/>
        <v>5.5999999999999994E-2</v>
      </c>
      <c r="DT163">
        <f t="shared" si="3206"/>
        <v>9.5999999999999992E-3</v>
      </c>
      <c r="DU163">
        <f t="shared" si="3207"/>
        <v>0.8</v>
      </c>
      <c r="DV163">
        <f t="shared" si="3208"/>
        <v>0</v>
      </c>
      <c r="DW163">
        <f t="shared" si="3209"/>
        <v>0</v>
      </c>
      <c r="DX163">
        <f t="shared" si="3210"/>
        <v>0</v>
      </c>
      <c r="DY163">
        <f t="shared" si="3211"/>
        <v>91.84</v>
      </c>
      <c r="DZ163">
        <f t="shared" si="3212"/>
        <v>0</v>
      </c>
      <c r="EA163">
        <f t="shared" si="3213"/>
        <v>551.04</v>
      </c>
      <c r="EB163">
        <f t="shared" si="3214"/>
        <v>3.6799999999999999E-2</v>
      </c>
      <c r="EC163">
        <f t="shared" si="3215"/>
        <v>0</v>
      </c>
      <c r="ED163">
        <f t="shared" si="3216"/>
        <v>0</v>
      </c>
      <c r="EE163">
        <f t="shared" si="3217"/>
        <v>0</v>
      </c>
      <c r="EF163">
        <f t="shared" si="3218"/>
        <v>0</v>
      </c>
      <c r="EG163">
        <f t="shared" si="3219"/>
        <v>0</v>
      </c>
      <c r="EH163">
        <f t="shared" si="3220"/>
        <v>0</v>
      </c>
      <c r="EI163">
        <f t="shared" si="3221"/>
        <v>0</v>
      </c>
      <c r="EJ163">
        <f t="shared" si="3222"/>
        <v>0</v>
      </c>
      <c r="EK163">
        <f t="shared" si="3223"/>
        <v>0</v>
      </c>
      <c r="EL163">
        <f t="shared" si="3224"/>
        <v>0</v>
      </c>
      <c r="EM163">
        <f t="shared" si="3225"/>
        <v>0</v>
      </c>
      <c r="EN163">
        <f t="shared" si="3226"/>
        <v>0</v>
      </c>
      <c r="EO163">
        <f t="shared" si="3227"/>
        <v>0</v>
      </c>
      <c r="EP163">
        <f t="shared" si="3228"/>
        <v>0</v>
      </c>
      <c r="EQ163">
        <f t="shared" si="3229"/>
        <v>0</v>
      </c>
      <c r="ER163">
        <f t="shared" si="3230"/>
        <v>0</v>
      </c>
      <c r="ES163">
        <f t="shared" si="3231"/>
        <v>0</v>
      </c>
      <c r="ET163">
        <f t="shared" si="3232"/>
        <v>0</v>
      </c>
      <c r="EU163">
        <f t="shared" si="3233"/>
        <v>0</v>
      </c>
      <c r="EV163">
        <f t="shared" si="3234"/>
        <v>0</v>
      </c>
      <c r="EW163">
        <f t="shared" si="3235"/>
        <v>0</v>
      </c>
      <c r="EX163">
        <f t="shared" si="3236"/>
        <v>0</v>
      </c>
      <c r="EY163">
        <f t="shared" si="3237"/>
        <v>0</v>
      </c>
      <c r="EZ163">
        <f t="shared" si="3238"/>
        <v>0.96</v>
      </c>
      <c r="FA163">
        <f t="shared" si="3239"/>
        <v>3.28</v>
      </c>
      <c r="FB163">
        <f t="shared" si="3240"/>
        <v>3.52</v>
      </c>
      <c r="FC163">
        <f t="shared" si="3241"/>
        <v>3.68</v>
      </c>
      <c r="FD163">
        <f t="shared" si="3242"/>
        <v>3.44</v>
      </c>
      <c r="FE163">
        <f t="shared" si="3243"/>
        <v>0.56000000000000005</v>
      </c>
      <c r="FF163">
        <f t="shared" si="3244"/>
        <v>0.72</v>
      </c>
      <c r="FG163">
        <f t="shared" si="3245"/>
        <v>2.72</v>
      </c>
      <c r="FH163">
        <f t="shared" si="3246"/>
        <v>1.68</v>
      </c>
      <c r="FI163">
        <f t="shared" si="3247"/>
        <v>3.76</v>
      </c>
      <c r="FJ163">
        <f t="shared" si="3248"/>
        <v>3.68</v>
      </c>
      <c r="FK163">
        <f t="shared" si="3249"/>
        <v>1.36</v>
      </c>
      <c r="FL163">
        <f t="shared" si="3250"/>
        <v>5.04</v>
      </c>
      <c r="FM163">
        <f t="shared" si="3251"/>
        <v>11.68</v>
      </c>
      <c r="FN163">
        <f t="shared" si="3252"/>
        <v>17.28</v>
      </c>
      <c r="FO163">
        <f t="shared" si="3253"/>
        <v>2.56</v>
      </c>
      <c r="FP163">
        <f t="shared" si="3254"/>
        <v>2.48</v>
      </c>
      <c r="FQ163">
        <f t="shared" si="3255"/>
        <v>2.96</v>
      </c>
      <c r="FR163">
        <f t="shared" si="3256"/>
        <v>0</v>
      </c>
      <c r="FS163">
        <f t="shared" si="3257"/>
        <v>0</v>
      </c>
      <c r="FT163">
        <f t="shared" si="3258"/>
        <v>0</v>
      </c>
      <c r="FU163">
        <f t="shared" si="3259"/>
        <v>0</v>
      </c>
      <c r="FV163">
        <f t="shared" si="3260"/>
        <v>0</v>
      </c>
      <c r="FW163">
        <f t="shared" si="3261"/>
        <v>0</v>
      </c>
    </row>
    <row r="164" spans="1:179" x14ac:dyDescent="0.35">
      <c r="B164" s="72" t="s">
        <v>356</v>
      </c>
      <c r="C164">
        <v>8</v>
      </c>
      <c r="D164" s="54">
        <v>23</v>
      </c>
      <c r="E164" s="54">
        <v>98</v>
      </c>
      <c r="F164" s="54">
        <v>2.2999999999999998</v>
      </c>
      <c r="G164" s="54">
        <v>0</v>
      </c>
      <c r="H164" s="54">
        <v>2.2999999999999998</v>
      </c>
      <c r="I164" s="54">
        <v>0.2</v>
      </c>
      <c r="J164" s="54">
        <v>0</v>
      </c>
      <c r="K164" s="54">
        <v>0.2</v>
      </c>
      <c r="L164" s="54">
        <v>0</v>
      </c>
      <c r="M164" s="54">
        <v>2.4</v>
      </c>
      <c r="N164" s="54">
        <v>0.2</v>
      </c>
      <c r="O164" s="54">
        <v>2.2000000000000002</v>
      </c>
      <c r="P164" s="54">
        <v>1.6</v>
      </c>
      <c r="Q164" s="54">
        <v>0</v>
      </c>
      <c r="R164" s="54">
        <v>88.3</v>
      </c>
      <c r="S164" s="54">
        <v>0.5</v>
      </c>
      <c r="T164" s="54">
        <v>31</v>
      </c>
      <c r="U164" s="54">
        <v>140</v>
      </c>
      <c r="V164" s="54">
        <v>280</v>
      </c>
      <c r="W164" s="54">
        <v>45</v>
      </c>
      <c r="X164" s="54">
        <v>0.1</v>
      </c>
      <c r="Y164" s="81">
        <v>0</v>
      </c>
      <c r="Z164" s="81">
        <v>0</v>
      </c>
      <c r="AA164" s="81">
        <v>0</v>
      </c>
      <c r="AB164" s="81">
        <v>0</v>
      </c>
      <c r="AC164" s="81">
        <v>0</v>
      </c>
      <c r="AD164" s="81">
        <v>0</v>
      </c>
      <c r="AE164" s="81">
        <v>0</v>
      </c>
      <c r="AF164" s="54">
        <v>0.06</v>
      </c>
      <c r="AG164" s="54">
        <v>0.19</v>
      </c>
      <c r="AH164" s="54">
        <v>32</v>
      </c>
      <c r="AI164" s="54">
        <v>0.2</v>
      </c>
      <c r="AJ164" s="54">
        <v>7.0000000000000007E-2</v>
      </c>
      <c r="AK164" s="54">
        <v>38</v>
      </c>
      <c r="AL164" s="81">
        <v>0</v>
      </c>
      <c r="AM164" s="81">
        <v>0</v>
      </c>
      <c r="AN164" s="81">
        <v>0</v>
      </c>
      <c r="AO164" s="54">
        <v>207</v>
      </c>
      <c r="AP164" s="54">
        <v>0</v>
      </c>
      <c r="AQ164" s="54">
        <v>1242</v>
      </c>
      <c r="AR164" s="54">
        <v>0.48</v>
      </c>
      <c r="AS164" s="54">
        <v>0</v>
      </c>
      <c r="AT164" s="81">
        <v>0</v>
      </c>
      <c r="AU164" s="54">
        <v>0.05</v>
      </c>
      <c r="AV164" s="81">
        <v>0</v>
      </c>
      <c r="AW164" s="81">
        <v>0</v>
      </c>
      <c r="AX164" s="81">
        <v>0</v>
      </c>
      <c r="AY164" s="81">
        <v>0</v>
      </c>
      <c r="AZ164" s="81">
        <v>0</v>
      </c>
      <c r="BA164" s="81">
        <v>0</v>
      </c>
      <c r="BB164" s="81">
        <v>0</v>
      </c>
      <c r="BC164" s="54">
        <v>0.04</v>
      </c>
      <c r="BD164" s="82">
        <v>0</v>
      </c>
      <c r="BE164" s="82">
        <v>0</v>
      </c>
      <c r="BF164" s="54">
        <v>0.04</v>
      </c>
      <c r="BG164" s="82">
        <v>0</v>
      </c>
      <c r="BH164" s="82">
        <v>0</v>
      </c>
      <c r="BI164" s="54">
        <v>0.1</v>
      </c>
      <c r="BJ164" s="54">
        <v>0.1</v>
      </c>
      <c r="BK164" s="54">
        <v>0</v>
      </c>
      <c r="BL164" s="82">
        <v>0</v>
      </c>
      <c r="BM164" s="82">
        <v>0</v>
      </c>
      <c r="BN164" s="82">
        <v>0</v>
      </c>
      <c r="BO164" s="54">
        <v>0</v>
      </c>
      <c r="BP164" s="56">
        <v>31</v>
      </c>
      <c r="BQ164" s="56">
        <v>67</v>
      </c>
      <c r="BR164" s="56">
        <v>71</v>
      </c>
      <c r="BS164" s="56">
        <v>107</v>
      </c>
      <c r="BT164" s="56">
        <v>89</v>
      </c>
      <c r="BU164" s="56">
        <v>18</v>
      </c>
      <c r="BV164" s="56">
        <v>12</v>
      </c>
      <c r="BW164" s="56">
        <v>67</v>
      </c>
      <c r="BX164" s="56">
        <v>31</v>
      </c>
      <c r="BY164" s="56">
        <v>92</v>
      </c>
      <c r="BZ164" s="56">
        <v>67</v>
      </c>
      <c r="CA164" s="56">
        <v>40</v>
      </c>
      <c r="CB164" s="56">
        <v>77</v>
      </c>
      <c r="CC164" s="56">
        <v>393</v>
      </c>
      <c r="CD164" s="56">
        <v>301</v>
      </c>
      <c r="CE164" s="56">
        <v>71</v>
      </c>
      <c r="CF164" s="56">
        <v>61</v>
      </c>
      <c r="CG164" s="56">
        <v>67</v>
      </c>
      <c r="CH164" s="81">
        <v>0</v>
      </c>
      <c r="CI164" s="81">
        <v>0</v>
      </c>
      <c r="CJ164" s="83">
        <v>0</v>
      </c>
      <c r="CK164" s="81">
        <v>0</v>
      </c>
      <c r="CL164" s="81">
        <v>0</v>
      </c>
      <c r="CM164" s="83">
        <v>0</v>
      </c>
      <c r="CN164">
        <f t="shared" si="3174"/>
        <v>1.84</v>
      </c>
      <c r="CO164">
        <f t="shared" si="3175"/>
        <v>7.84</v>
      </c>
      <c r="CP164">
        <f t="shared" si="3176"/>
        <v>0.184</v>
      </c>
      <c r="CQ164">
        <f t="shared" si="3177"/>
        <v>0</v>
      </c>
      <c r="CR164">
        <f t="shared" si="3178"/>
        <v>0.184</v>
      </c>
      <c r="CS164">
        <f t="shared" si="3179"/>
        <v>1.6E-2</v>
      </c>
      <c r="CT164">
        <f t="shared" si="3180"/>
        <v>0</v>
      </c>
      <c r="CU164">
        <f t="shared" si="3181"/>
        <v>1.6E-2</v>
      </c>
      <c r="CV164">
        <f t="shared" si="3182"/>
        <v>0</v>
      </c>
      <c r="CW164">
        <f t="shared" si="3183"/>
        <v>0.192</v>
      </c>
      <c r="CX164">
        <f t="shared" si="3184"/>
        <v>1.6E-2</v>
      </c>
      <c r="CY164">
        <f t="shared" si="3185"/>
        <v>0.17600000000000002</v>
      </c>
      <c r="CZ164">
        <f t="shared" si="3186"/>
        <v>0.128</v>
      </c>
      <c r="DA164">
        <f t="shared" si="3187"/>
        <v>0</v>
      </c>
      <c r="DB164">
        <f t="shared" si="3188"/>
        <v>7.0640000000000001</v>
      </c>
      <c r="DC164">
        <f t="shared" si="3189"/>
        <v>0.04</v>
      </c>
      <c r="DD164">
        <f t="shared" si="3190"/>
        <v>2.48</v>
      </c>
      <c r="DE164">
        <f t="shared" si="3191"/>
        <v>11.2</v>
      </c>
      <c r="DF164">
        <f t="shared" si="3192"/>
        <v>22.4</v>
      </c>
      <c r="DG164">
        <f t="shared" si="3193"/>
        <v>3.6</v>
      </c>
      <c r="DH164">
        <f t="shared" si="3194"/>
        <v>8.0000000000000002E-3</v>
      </c>
      <c r="DI164">
        <f t="shared" si="3195"/>
        <v>0</v>
      </c>
      <c r="DJ164">
        <f t="shared" si="3196"/>
        <v>0</v>
      </c>
      <c r="DK164">
        <f t="shared" si="3197"/>
        <v>0</v>
      </c>
      <c r="DL164">
        <f t="shared" si="3198"/>
        <v>0</v>
      </c>
      <c r="DM164">
        <f t="shared" si="3199"/>
        <v>0</v>
      </c>
      <c r="DN164">
        <f t="shared" si="3200"/>
        <v>0</v>
      </c>
      <c r="DO164">
        <f t="shared" si="3201"/>
        <v>0</v>
      </c>
      <c r="DP164">
        <f t="shared" si="3202"/>
        <v>4.7999999999999996E-3</v>
      </c>
      <c r="DQ164">
        <f t="shared" si="3203"/>
        <v>1.52E-2</v>
      </c>
      <c r="DR164">
        <f t="shared" si="3204"/>
        <v>2.56</v>
      </c>
      <c r="DS164">
        <f t="shared" si="3205"/>
        <v>1.6E-2</v>
      </c>
      <c r="DT164">
        <f t="shared" si="3206"/>
        <v>5.6000000000000008E-3</v>
      </c>
      <c r="DU164">
        <f t="shared" si="3207"/>
        <v>3.04</v>
      </c>
      <c r="DV164">
        <f t="shared" si="3208"/>
        <v>0</v>
      </c>
      <c r="DW164">
        <f t="shared" si="3209"/>
        <v>0</v>
      </c>
      <c r="DX164">
        <f t="shared" si="3210"/>
        <v>0</v>
      </c>
      <c r="DY164">
        <f t="shared" si="3211"/>
        <v>16.559999999999999</v>
      </c>
      <c r="DZ164">
        <f t="shared" si="3212"/>
        <v>0</v>
      </c>
      <c r="EA164">
        <f t="shared" si="3213"/>
        <v>99.36</v>
      </c>
      <c r="EB164">
        <f t="shared" si="3214"/>
        <v>3.8399999999999997E-2</v>
      </c>
      <c r="EC164">
        <f t="shared" si="3215"/>
        <v>0</v>
      </c>
      <c r="ED164">
        <f t="shared" si="3216"/>
        <v>0</v>
      </c>
      <c r="EE164">
        <f t="shared" si="3217"/>
        <v>4.0000000000000001E-3</v>
      </c>
      <c r="EF164">
        <f t="shared" si="3218"/>
        <v>0</v>
      </c>
      <c r="EG164">
        <f t="shared" si="3219"/>
        <v>0</v>
      </c>
      <c r="EH164">
        <f t="shared" si="3220"/>
        <v>0</v>
      </c>
      <c r="EI164">
        <f t="shared" si="3221"/>
        <v>0</v>
      </c>
      <c r="EJ164">
        <f t="shared" si="3222"/>
        <v>0</v>
      </c>
      <c r="EK164">
        <f t="shared" si="3223"/>
        <v>0</v>
      </c>
      <c r="EL164">
        <f t="shared" si="3224"/>
        <v>0</v>
      </c>
      <c r="EM164">
        <f t="shared" si="3225"/>
        <v>3.2000000000000002E-3</v>
      </c>
      <c r="EN164">
        <f t="shared" si="3226"/>
        <v>0</v>
      </c>
      <c r="EO164">
        <f t="shared" si="3227"/>
        <v>0</v>
      </c>
      <c r="EP164">
        <f t="shared" si="3228"/>
        <v>3.2000000000000002E-3</v>
      </c>
      <c r="EQ164">
        <f t="shared" si="3229"/>
        <v>0</v>
      </c>
      <c r="ER164">
        <f t="shared" si="3230"/>
        <v>0</v>
      </c>
      <c r="ES164">
        <f t="shared" si="3231"/>
        <v>8.0000000000000002E-3</v>
      </c>
      <c r="ET164">
        <f t="shared" si="3232"/>
        <v>8.0000000000000002E-3</v>
      </c>
      <c r="EU164">
        <f t="shared" si="3233"/>
        <v>0</v>
      </c>
      <c r="EV164">
        <f t="shared" si="3234"/>
        <v>0</v>
      </c>
      <c r="EW164">
        <f t="shared" si="3235"/>
        <v>0</v>
      </c>
      <c r="EX164">
        <f t="shared" si="3236"/>
        <v>0</v>
      </c>
      <c r="EY164">
        <f t="shared" si="3237"/>
        <v>0</v>
      </c>
      <c r="EZ164">
        <f t="shared" si="3238"/>
        <v>2.48</v>
      </c>
      <c r="FA164">
        <f t="shared" si="3239"/>
        <v>5.36</v>
      </c>
      <c r="FB164">
        <f t="shared" si="3240"/>
        <v>5.68</v>
      </c>
      <c r="FC164">
        <f t="shared" si="3241"/>
        <v>8.56</v>
      </c>
      <c r="FD164">
        <f t="shared" si="3242"/>
        <v>7.12</v>
      </c>
      <c r="FE164">
        <f t="shared" si="3243"/>
        <v>1.44</v>
      </c>
      <c r="FF164">
        <f t="shared" si="3244"/>
        <v>0.96</v>
      </c>
      <c r="FG164">
        <f t="shared" si="3245"/>
        <v>5.36</v>
      </c>
      <c r="FH164">
        <f t="shared" si="3246"/>
        <v>2.48</v>
      </c>
      <c r="FI164">
        <f t="shared" si="3247"/>
        <v>7.36</v>
      </c>
      <c r="FJ164">
        <f t="shared" si="3248"/>
        <v>5.36</v>
      </c>
      <c r="FK164">
        <f t="shared" si="3249"/>
        <v>3.2</v>
      </c>
      <c r="FL164">
        <f t="shared" si="3250"/>
        <v>6.16</v>
      </c>
      <c r="FM164">
        <f t="shared" si="3251"/>
        <v>31.44</v>
      </c>
      <c r="FN164">
        <f t="shared" si="3252"/>
        <v>24.08</v>
      </c>
      <c r="FO164">
        <f t="shared" si="3253"/>
        <v>5.68</v>
      </c>
      <c r="FP164">
        <f t="shared" si="3254"/>
        <v>4.88</v>
      </c>
      <c r="FQ164">
        <f t="shared" si="3255"/>
        <v>5.36</v>
      </c>
      <c r="FR164">
        <f t="shared" si="3256"/>
        <v>0</v>
      </c>
      <c r="FS164">
        <f t="shared" si="3257"/>
        <v>0</v>
      </c>
      <c r="FT164">
        <f t="shared" si="3258"/>
        <v>0</v>
      </c>
      <c r="FU164">
        <f t="shared" si="3259"/>
        <v>0</v>
      </c>
      <c r="FV164">
        <f t="shared" si="3260"/>
        <v>0</v>
      </c>
      <c r="FW164">
        <f t="shared" si="3261"/>
        <v>0</v>
      </c>
    </row>
    <row r="165" spans="1:179" x14ac:dyDescent="0.35">
      <c r="B165" s="72" t="s">
        <v>365</v>
      </c>
      <c r="C165">
        <v>20</v>
      </c>
      <c r="D165" s="54">
        <v>22</v>
      </c>
      <c r="E165" s="54">
        <v>94</v>
      </c>
      <c r="F165" s="54">
        <v>1.2</v>
      </c>
      <c r="G165" s="54">
        <v>0</v>
      </c>
      <c r="H165" s="54">
        <v>1.2</v>
      </c>
      <c r="I165" s="54">
        <v>0.5</v>
      </c>
      <c r="J165" s="54">
        <v>0</v>
      </c>
      <c r="K165" s="54">
        <v>0.5</v>
      </c>
      <c r="L165" s="54">
        <v>0</v>
      </c>
      <c r="M165" s="54">
        <v>3</v>
      </c>
      <c r="N165" s="54">
        <v>0</v>
      </c>
      <c r="O165" s="54">
        <v>3</v>
      </c>
      <c r="P165" s="54">
        <v>0.9</v>
      </c>
      <c r="Q165" s="54">
        <v>0</v>
      </c>
      <c r="R165" s="54">
        <v>94.7</v>
      </c>
      <c r="S165" s="54">
        <v>0.2</v>
      </c>
      <c r="T165" s="54">
        <v>9</v>
      </c>
      <c r="U165" s="54">
        <v>9</v>
      </c>
      <c r="V165" s="54">
        <v>230</v>
      </c>
      <c r="W165" s="54">
        <v>24</v>
      </c>
      <c r="X165" s="54">
        <v>0.27</v>
      </c>
      <c r="Y165" s="81">
        <v>0</v>
      </c>
      <c r="Z165" s="81">
        <v>0</v>
      </c>
      <c r="AA165" s="81">
        <v>0</v>
      </c>
      <c r="AB165" s="81">
        <v>0</v>
      </c>
      <c r="AC165" s="81">
        <v>0</v>
      </c>
      <c r="AD165" s="81">
        <v>0</v>
      </c>
      <c r="AE165" s="81">
        <v>0</v>
      </c>
      <c r="AF165" s="51">
        <v>5.0000000000000001E-3</v>
      </c>
      <c r="AG165" s="51">
        <v>5.0000000000000001E-3</v>
      </c>
      <c r="AH165" s="54">
        <v>18</v>
      </c>
      <c r="AI165" s="54">
        <v>0.8</v>
      </c>
      <c r="AJ165" s="54">
        <v>0.1</v>
      </c>
      <c r="AK165" s="54">
        <v>10</v>
      </c>
      <c r="AL165" s="81">
        <v>0</v>
      </c>
      <c r="AM165" s="81">
        <v>0</v>
      </c>
      <c r="AN165" s="81">
        <v>0</v>
      </c>
      <c r="AO165" s="54">
        <v>80</v>
      </c>
      <c r="AP165" s="54">
        <v>0</v>
      </c>
      <c r="AQ165" s="54">
        <v>480</v>
      </c>
      <c r="AR165" s="54">
        <v>1.08</v>
      </c>
      <c r="AS165" s="54">
        <v>0</v>
      </c>
      <c r="AT165" s="81">
        <v>0</v>
      </c>
      <c r="AU165" s="54">
        <v>7.0000000000000007E-2</v>
      </c>
      <c r="AV165" s="81">
        <v>0</v>
      </c>
      <c r="AW165" s="81">
        <v>0</v>
      </c>
      <c r="AX165" s="81">
        <v>0</v>
      </c>
      <c r="AY165" s="81">
        <v>0</v>
      </c>
      <c r="AZ165" s="81">
        <v>0</v>
      </c>
      <c r="BA165" s="81">
        <v>0</v>
      </c>
      <c r="BB165" s="81">
        <v>0</v>
      </c>
      <c r="BC165" s="54">
        <v>0.08</v>
      </c>
      <c r="BD165" s="82">
        <v>0</v>
      </c>
      <c r="BE165" s="82">
        <v>0</v>
      </c>
      <c r="BF165" s="54">
        <v>0.08</v>
      </c>
      <c r="BG165" s="82">
        <v>0</v>
      </c>
      <c r="BH165" s="82">
        <v>0</v>
      </c>
      <c r="BI165" s="54">
        <v>0.21</v>
      </c>
      <c r="BJ165" s="54">
        <v>0.2</v>
      </c>
      <c r="BK165" s="54">
        <v>0.01</v>
      </c>
      <c r="BL165" s="81">
        <v>0</v>
      </c>
      <c r="BM165" s="81">
        <v>0</v>
      </c>
      <c r="BN165" s="81">
        <v>0</v>
      </c>
      <c r="BO165" s="54">
        <v>0</v>
      </c>
      <c r="BP165" s="56">
        <v>11</v>
      </c>
      <c r="BQ165" s="56">
        <v>30</v>
      </c>
      <c r="BR165" s="56">
        <v>24</v>
      </c>
      <c r="BS165" s="56">
        <v>36</v>
      </c>
      <c r="BT165" s="56">
        <v>36</v>
      </c>
      <c r="BU165" s="56">
        <v>8</v>
      </c>
      <c r="BV165" s="56">
        <v>8</v>
      </c>
      <c r="BW165" s="56">
        <v>24</v>
      </c>
      <c r="BX165" s="56">
        <v>17</v>
      </c>
      <c r="BY165" s="56">
        <v>29</v>
      </c>
      <c r="BZ165" s="56">
        <v>29</v>
      </c>
      <c r="CA165" s="56">
        <v>20</v>
      </c>
      <c r="CB165" s="56">
        <v>32</v>
      </c>
      <c r="CC165" s="56">
        <v>155</v>
      </c>
      <c r="CD165" s="56">
        <v>548</v>
      </c>
      <c r="CE165" s="56">
        <v>24</v>
      </c>
      <c r="CF165" s="56">
        <v>22</v>
      </c>
      <c r="CG165" s="56">
        <v>34</v>
      </c>
      <c r="CH165" s="81">
        <v>0</v>
      </c>
      <c r="CI165" s="81">
        <v>0</v>
      </c>
      <c r="CJ165" s="83">
        <v>0</v>
      </c>
      <c r="CK165" s="81">
        <v>0</v>
      </c>
      <c r="CL165" s="81">
        <v>0</v>
      </c>
      <c r="CM165" s="83">
        <v>0</v>
      </c>
      <c r="CN165">
        <f t="shared" si="3174"/>
        <v>4.4000000000000004</v>
      </c>
      <c r="CO165">
        <f t="shared" si="3175"/>
        <v>18.8</v>
      </c>
      <c r="CP165">
        <f t="shared" si="3176"/>
        <v>0.24</v>
      </c>
      <c r="CQ165">
        <f t="shared" si="3177"/>
        <v>0</v>
      </c>
      <c r="CR165">
        <f t="shared" si="3178"/>
        <v>0.24</v>
      </c>
      <c r="CS165">
        <f t="shared" si="3179"/>
        <v>0.1</v>
      </c>
      <c r="CT165">
        <f t="shared" si="3180"/>
        <v>0</v>
      </c>
      <c r="CU165">
        <f t="shared" si="3181"/>
        <v>0.1</v>
      </c>
      <c r="CV165">
        <f t="shared" si="3182"/>
        <v>0</v>
      </c>
      <c r="CW165">
        <f t="shared" si="3183"/>
        <v>0.6</v>
      </c>
      <c r="CX165">
        <f t="shared" si="3184"/>
        <v>0</v>
      </c>
      <c r="CY165">
        <f t="shared" si="3185"/>
        <v>0.6</v>
      </c>
      <c r="CZ165">
        <f t="shared" si="3186"/>
        <v>0.18</v>
      </c>
      <c r="DA165">
        <f t="shared" si="3187"/>
        <v>0</v>
      </c>
      <c r="DB165">
        <f t="shared" si="3188"/>
        <v>18.940000000000001</v>
      </c>
      <c r="DC165">
        <f t="shared" si="3189"/>
        <v>0.04</v>
      </c>
      <c r="DD165">
        <f t="shared" si="3190"/>
        <v>1.8</v>
      </c>
      <c r="DE165">
        <f t="shared" si="3191"/>
        <v>1.8</v>
      </c>
      <c r="DF165">
        <f t="shared" si="3192"/>
        <v>46</v>
      </c>
      <c r="DG165">
        <f t="shared" si="3193"/>
        <v>4.8</v>
      </c>
      <c r="DH165">
        <f t="shared" si="3194"/>
        <v>5.4000000000000006E-2</v>
      </c>
      <c r="DI165">
        <f t="shared" si="3195"/>
        <v>0</v>
      </c>
      <c r="DJ165">
        <f t="shared" si="3196"/>
        <v>0</v>
      </c>
      <c r="DK165">
        <f t="shared" si="3197"/>
        <v>0</v>
      </c>
      <c r="DL165">
        <f t="shared" si="3198"/>
        <v>0</v>
      </c>
      <c r="DM165">
        <f t="shared" si="3199"/>
        <v>0</v>
      </c>
      <c r="DN165">
        <f t="shared" si="3200"/>
        <v>0</v>
      </c>
      <c r="DO165">
        <f t="shared" si="3201"/>
        <v>0</v>
      </c>
      <c r="DP165">
        <f t="shared" si="3202"/>
        <v>1E-3</v>
      </c>
      <c r="DQ165">
        <f t="shared" si="3203"/>
        <v>1E-3</v>
      </c>
      <c r="DR165">
        <f t="shared" si="3204"/>
        <v>3.6</v>
      </c>
      <c r="DS165">
        <f t="shared" si="3205"/>
        <v>0.16</v>
      </c>
      <c r="DT165">
        <f t="shared" si="3206"/>
        <v>0.02</v>
      </c>
      <c r="DU165">
        <f t="shared" si="3207"/>
        <v>2</v>
      </c>
      <c r="DV165">
        <f t="shared" si="3208"/>
        <v>0</v>
      </c>
      <c r="DW165">
        <f t="shared" si="3209"/>
        <v>0</v>
      </c>
      <c r="DX165">
        <f t="shared" si="3210"/>
        <v>0</v>
      </c>
      <c r="DY165">
        <f t="shared" si="3211"/>
        <v>16</v>
      </c>
      <c r="DZ165">
        <f t="shared" si="3212"/>
        <v>0</v>
      </c>
      <c r="EA165">
        <f t="shared" si="3213"/>
        <v>96</v>
      </c>
      <c r="EB165">
        <f t="shared" si="3214"/>
        <v>0.21600000000000003</v>
      </c>
      <c r="EC165">
        <f t="shared" si="3215"/>
        <v>0</v>
      </c>
      <c r="ED165">
        <f t="shared" si="3216"/>
        <v>0</v>
      </c>
      <c r="EE165">
        <f t="shared" si="3217"/>
        <v>1.4000000000000002E-2</v>
      </c>
      <c r="EF165">
        <f t="shared" si="3218"/>
        <v>0</v>
      </c>
      <c r="EG165">
        <f t="shared" si="3219"/>
        <v>0</v>
      </c>
      <c r="EH165">
        <f t="shared" si="3220"/>
        <v>0</v>
      </c>
      <c r="EI165">
        <f t="shared" si="3221"/>
        <v>0</v>
      </c>
      <c r="EJ165">
        <f t="shared" si="3222"/>
        <v>0</v>
      </c>
      <c r="EK165">
        <f t="shared" si="3223"/>
        <v>0</v>
      </c>
      <c r="EL165">
        <f t="shared" si="3224"/>
        <v>0</v>
      </c>
      <c r="EM165">
        <f t="shared" si="3225"/>
        <v>1.6E-2</v>
      </c>
      <c r="EN165">
        <f t="shared" si="3226"/>
        <v>0</v>
      </c>
      <c r="EO165">
        <f t="shared" si="3227"/>
        <v>0</v>
      </c>
      <c r="EP165">
        <f t="shared" si="3228"/>
        <v>1.6E-2</v>
      </c>
      <c r="EQ165">
        <f t="shared" si="3229"/>
        <v>0</v>
      </c>
      <c r="ER165">
        <f t="shared" si="3230"/>
        <v>0</v>
      </c>
      <c r="ES165">
        <f t="shared" si="3231"/>
        <v>4.2000000000000003E-2</v>
      </c>
      <c r="ET165">
        <f t="shared" si="3232"/>
        <v>0.04</v>
      </c>
      <c r="EU165">
        <f t="shared" si="3233"/>
        <v>2E-3</v>
      </c>
      <c r="EV165">
        <f t="shared" si="3234"/>
        <v>0</v>
      </c>
      <c r="EW165">
        <f t="shared" si="3235"/>
        <v>0</v>
      </c>
      <c r="EX165">
        <f t="shared" si="3236"/>
        <v>0</v>
      </c>
      <c r="EY165">
        <f t="shared" si="3237"/>
        <v>0</v>
      </c>
      <c r="EZ165">
        <f t="shared" si="3238"/>
        <v>2.2000000000000002</v>
      </c>
      <c r="FA165">
        <f t="shared" si="3239"/>
        <v>6</v>
      </c>
      <c r="FB165">
        <f t="shared" si="3240"/>
        <v>4.8</v>
      </c>
      <c r="FC165">
        <f t="shared" si="3241"/>
        <v>7.2</v>
      </c>
      <c r="FD165">
        <f t="shared" si="3242"/>
        <v>7.2</v>
      </c>
      <c r="FE165">
        <f t="shared" si="3243"/>
        <v>1.6</v>
      </c>
      <c r="FF165">
        <f t="shared" si="3244"/>
        <v>1.6</v>
      </c>
      <c r="FG165">
        <f t="shared" si="3245"/>
        <v>4.8</v>
      </c>
      <c r="FH165">
        <f t="shared" si="3246"/>
        <v>3.4</v>
      </c>
      <c r="FI165">
        <f t="shared" si="3247"/>
        <v>5.8</v>
      </c>
      <c r="FJ165">
        <f t="shared" si="3248"/>
        <v>5.8</v>
      </c>
      <c r="FK165">
        <f t="shared" si="3249"/>
        <v>4</v>
      </c>
      <c r="FL165">
        <f t="shared" si="3250"/>
        <v>6.4</v>
      </c>
      <c r="FM165">
        <f t="shared" si="3251"/>
        <v>31</v>
      </c>
      <c r="FN165">
        <f t="shared" si="3252"/>
        <v>109.6</v>
      </c>
      <c r="FO165">
        <f t="shared" si="3253"/>
        <v>4.8</v>
      </c>
      <c r="FP165">
        <f t="shared" si="3254"/>
        <v>4.4000000000000004</v>
      </c>
      <c r="FQ165">
        <f t="shared" si="3255"/>
        <v>6.8</v>
      </c>
      <c r="FR165">
        <f t="shared" si="3256"/>
        <v>0</v>
      </c>
      <c r="FS165">
        <f t="shared" si="3257"/>
        <v>0</v>
      </c>
      <c r="FT165">
        <f t="shared" si="3258"/>
        <v>0</v>
      </c>
      <c r="FU165">
        <f t="shared" si="3259"/>
        <v>0</v>
      </c>
      <c r="FV165">
        <f t="shared" si="3260"/>
        <v>0</v>
      </c>
      <c r="FW165">
        <f t="shared" si="3261"/>
        <v>0</v>
      </c>
    </row>
    <row r="166" spans="1:179" x14ac:dyDescent="0.35">
      <c r="B166" s="72" t="s">
        <v>257</v>
      </c>
      <c r="C166">
        <v>14</v>
      </c>
      <c r="D166" s="6">
        <v>46</v>
      </c>
      <c r="E166" s="6">
        <v>195</v>
      </c>
      <c r="F166" s="6">
        <v>3.5</v>
      </c>
      <c r="G166" s="6">
        <v>3.5</v>
      </c>
      <c r="H166" s="6">
        <v>0</v>
      </c>
      <c r="I166" s="6">
        <v>1.5</v>
      </c>
      <c r="J166" s="6">
        <v>1.5</v>
      </c>
      <c r="K166" s="6">
        <v>0</v>
      </c>
      <c r="L166" s="6">
        <v>7</v>
      </c>
      <c r="M166" s="6">
        <v>5</v>
      </c>
      <c r="N166" s="6">
        <v>0</v>
      </c>
      <c r="O166" s="6">
        <v>5</v>
      </c>
      <c r="P166" s="6">
        <v>0</v>
      </c>
      <c r="Q166" s="6">
        <v>0</v>
      </c>
      <c r="R166" s="6">
        <v>88.5</v>
      </c>
      <c r="S166" s="6">
        <v>0.1</v>
      </c>
      <c r="T166" s="6">
        <v>120</v>
      </c>
      <c r="U166" s="6">
        <v>46</v>
      </c>
      <c r="V166" s="6">
        <v>170</v>
      </c>
      <c r="W166" s="6">
        <v>94</v>
      </c>
      <c r="X166" s="6">
        <v>0.37</v>
      </c>
      <c r="Y166" s="6">
        <v>11</v>
      </c>
      <c r="Z166" s="6">
        <v>0.01</v>
      </c>
      <c r="AA166" s="6">
        <v>1.6</v>
      </c>
      <c r="AB166" s="6">
        <v>100</v>
      </c>
      <c r="AC166" s="6">
        <v>15</v>
      </c>
      <c r="AD166" s="51">
        <v>5.0000000000000001E-3</v>
      </c>
      <c r="AE166" s="6">
        <v>31</v>
      </c>
      <c r="AF166" s="6">
        <v>0.04</v>
      </c>
      <c r="AG166" s="6">
        <v>0.17</v>
      </c>
      <c r="AH166" s="6">
        <v>1</v>
      </c>
      <c r="AI166" s="6">
        <v>0.1</v>
      </c>
      <c r="AJ166" s="6">
        <v>0.06</v>
      </c>
      <c r="AK166" s="6">
        <v>6</v>
      </c>
      <c r="AL166" s="6">
        <v>0.32</v>
      </c>
      <c r="AM166" s="6">
        <v>2</v>
      </c>
      <c r="AN166" s="6">
        <v>0.4</v>
      </c>
      <c r="AO166" s="6">
        <v>21</v>
      </c>
      <c r="AP166" s="6">
        <v>19</v>
      </c>
      <c r="AQ166" s="6">
        <v>10</v>
      </c>
      <c r="AR166" s="6">
        <v>0.04</v>
      </c>
      <c r="AS166" s="6">
        <v>0.01</v>
      </c>
      <c r="AT166" s="6">
        <v>0</v>
      </c>
      <c r="AU166" s="6">
        <v>0.89</v>
      </c>
      <c r="AV166" s="6">
        <v>0.01</v>
      </c>
      <c r="AW166" s="6">
        <v>0.05</v>
      </c>
      <c r="AX166" s="6">
        <v>0.17</v>
      </c>
      <c r="AY166" s="6">
        <v>0.45</v>
      </c>
      <c r="AZ166" s="6">
        <v>0.21</v>
      </c>
      <c r="BA166" s="6">
        <v>0</v>
      </c>
      <c r="BB166" s="6">
        <v>0</v>
      </c>
      <c r="BC166" s="6">
        <v>0.47</v>
      </c>
      <c r="BD166" s="6">
        <v>0</v>
      </c>
      <c r="BE166" s="6">
        <v>0.04</v>
      </c>
      <c r="BF166" s="6">
        <v>0.43</v>
      </c>
      <c r="BG166" s="6">
        <v>0</v>
      </c>
      <c r="BH166" s="6">
        <v>0</v>
      </c>
      <c r="BI166" s="6">
        <v>0.08</v>
      </c>
      <c r="BJ166" s="6">
        <v>0.05</v>
      </c>
      <c r="BK166" s="6">
        <v>0.03</v>
      </c>
      <c r="BL166" s="6">
        <v>0</v>
      </c>
      <c r="BM166" s="6">
        <v>0</v>
      </c>
      <c r="BN166" s="6">
        <v>0</v>
      </c>
      <c r="BO166" s="6">
        <v>0</v>
      </c>
      <c r="BP166" s="7">
        <v>53</v>
      </c>
      <c r="BQ166" s="7">
        <v>174</v>
      </c>
      <c r="BR166" s="7">
        <v>204</v>
      </c>
      <c r="BS166" s="7">
        <v>377</v>
      </c>
      <c r="BT166" s="7">
        <v>288</v>
      </c>
      <c r="BU166" s="7">
        <v>86</v>
      </c>
      <c r="BV166" s="7">
        <v>39</v>
      </c>
      <c r="BW166" s="7">
        <v>187</v>
      </c>
      <c r="BX166" s="7">
        <v>151</v>
      </c>
      <c r="BY166" s="7">
        <v>247</v>
      </c>
      <c r="BZ166" s="7">
        <v>111</v>
      </c>
      <c r="CA166" s="7">
        <v>99</v>
      </c>
      <c r="CB166" s="7">
        <v>126</v>
      </c>
      <c r="CC166" s="7">
        <v>285</v>
      </c>
      <c r="CD166" s="7">
        <v>818</v>
      </c>
      <c r="CE166" s="7">
        <v>74</v>
      </c>
      <c r="CF166" s="7">
        <v>393</v>
      </c>
      <c r="CG166" s="7">
        <v>215</v>
      </c>
      <c r="CH166" s="6">
        <v>0</v>
      </c>
      <c r="CI166" s="6">
        <v>0</v>
      </c>
      <c r="CJ166" s="6">
        <v>0</v>
      </c>
      <c r="CK166" s="6">
        <v>0</v>
      </c>
      <c r="CL166" s="6">
        <v>0</v>
      </c>
      <c r="CM166" s="6">
        <v>5</v>
      </c>
      <c r="CN166">
        <f t="shared" si="3174"/>
        <v>6.44</v>
      </c>
      <c r="CO166">
        <f t="shared" si="3175"/>
        <v>27.3</v>
      </c>
      <c r="CP166">
        <f t="shared" si="3176"/>
        <v>0.49</v>
      </c>
      <c r="CQ166">
        <f t="shared" si="3177"/>
        <v>0.49</v>
      </c>
      <c r="CR166">
        <f t="shared" si="3178"/>
        <v>0</v>
      </c>
      <c r="CS166">
        <f t="shared" si="3179"/>
        <v>0.21</v>
      </c>
      <c r="CT166">
        <f t="shared" si="3180"/>
        <v>0.21</v>
      </c>
      <c r="CU166">
        <f t="shared" si="3181"/>
        <v>0</v>
      </c>
      <c r="CV166">
        <f t="shared" si="3182"/>
        <v>0.98</v>
      </c>
      <c r="CW166">
        <f t="shared" si="3183"/>
        <v>0.7</v>
      </c>
      <c r="CX166">
        <f t="shared" si="3184"/>
        <v>0</v>
      </c>
      <c r="CY166">
        <f t="shared" si="3185"/>
        <v>0.7</v>
      </c>
      <c r="CZ166">
        <f t="shared" si="3186"/>
        <v>0</v>
      </c>
      <c r="DA166">
        <f t="shared" si="3187"/>
        <v>0</v>
      </c>
      <c r="DB166">
        <f t="shared" si="3188"/>
        <v>12.39</v>
      </c>
      <c r="DC166">
        <f t="shared" si="3189"/>
        <v>1.4000000000000002E-2</v>
      </c>
      <c r="DD166">
        <f t="shared" si="3190"/>
        <v>16.8</v>
      </c>
      <c r="DE166">
        <f t="shared" si="3191"/>
        <v>6.44</v>
      </c>
      <c r="DF166">
        <f t="shared" si="3192"/>
        <v>23.8</v>
      </c>
      <c r="DG166">
        <f t="shared" si="3193"/>
        <v>13.16</v>
      </c>
      <c r="DH166">
        <f t="shared" si="3194"/>
        <v>5.1799999999999999E-2</v>
      </c>
      <c r="DI166">
        <f t="shared" si="3195"/>
        <v>1.54</v>
      </c>
      <c r="DJ166">
        <f t="shared" si="3196"/>
        <v>1.4000000000000002E-3</v>
      </c>
      <c r="DK166">
        <f t="shared" si="3197"/>
        <v>0.22400000000000003</v>
      </c>
      <c r="DL166">
        <f t="shared" si="3198"/>
        <v>14</v>
      </c>
      <c r="DM166">
        <f t="shared" si="3199"/>
        <v>2.1</v>
      </c>
      <c r="DN166">
        <f t="shared" si="3200"/>
        <v>7.000000000000001E-4</v>
      </c>
      <c r="DO166">
        <f t="shared" si="3201"/>
        <v>4.34</v>
      </c>
      <c r="DP166">
        <f t="shared" si="3202"/>
        <v>5.6000000000000008E-3</v>
      </c>
      <c r="DQ166">
        <f t="shared" si="3203"/>
        <v>2.3800000000000002E-2</v>
      </c>
      <c r="DR166">
        <f t="shared" si="3204"/>
        <v>0.14000000000000001</v>
      </c>
      <c r="DS166">
        <f t="shared" si="3205"/>
        <v>1.4000000000000002E-2</v>
      </c>
      <c r="DT166">
        <f t="shared" si="3206"/>
        <v>8.3999999999999995E-3</v>
      </c>
      <c r="DU166">
        <f t="shared" si="3207"/>
        <v>0.84</v>
      </c>
      <c r="DV166">
        <f t="shared" si="3208"/>
        <v>4.4800000000000006E-2</v>
      </c>
      <c r="DW166">
        <f t="shared" si="3209"/>
        <v>0.28000000000000003</v>
      </c>
      <c r="DX166">
        <f t="shared" si="3210"/>
        <v>5.6000000000000008E-2</v>
      </c>
      <c r="DY166">
        <f t="shared" si="3211"/>
        <v>2.94</v>
      </c>
      <c r="DZ166">
        <f t="shared" si="3212"/>
        <v>2.66</v>
      </c>
      <c r="EA166">
        <f t="shared" si="3213"/>
        <v>1.4</v>
      </c>
      <c r="EB166">
        <f t="shared" si="3214"/>
        <v>5.6000000000000008E-3</v>
      </c>
      <c r="EC166">
        <f t="shared" si="3215"/>
        <v>1.4000000000000002E-3</v>
      </c>
      <c r="ED166">
        <f t="shared" si="3216"/>
        <v>0</v>
      </c>
      <c r="EE166">
        <f t="shared" si="3217"/>
        <v>0.1246</v>
      </c>
      <c r="EF166">
        <f t="shared" si="3218"/>
        <v>1.4000000000000002E-3</v>
      </c>
      <c r="EG166">
        <f t="shared" si="3219"/>
        <v>7.000000000000001E-3</v>
      </c>
      <c r="EH166">
        <f t="shared" si="3220"/>
        <v>2.3800000000000002E-2</v>
      </c>
      <c r="EI166">
        <f t="shared" si="3221"/>
        <v>6.3E-2</v>
      </c>
      <c r="EJ166">
        <f t="shared" si="3222"/>
        <v>2.9399999999999999E-2</v>
      </c>
      <c r="EK166">
        <f t="shared" si="3223"/>
        <v>0</v>
      </c>
      <c r="EL166">
        <f t="shared" si="3224"/>
        <v>0</v>
      </c>
      <c r="EM166">
        <f t="shared" si="3225"/>
        <v>6.5799999999999997E-2</v>
      </c>
      <c r="EN166">
        <f t="shared" si="3226"/>
        <v>0</v>
      </c>
      <c r="EO166">
        <f t="shared" si="3227"/>
        <v>5.6000000000000008E-3</v>
      </c>
      <c r="EP166">
        <f t="shared" si="3228"/>
        <v>6.0199999999999997E-2</v>
      </c>
      <c r="EQ166">
        <f t="shared" si="3229"/>
        <v>0</v>
      </c>
      <c r="ER166">
        <f t="shared" si="3230"/>
        <v>0</v>
      </c>
      <c r="ES166">
        <f t="shared" si="3231"/>
        <v>1.1200000000000002E-2</v>
      </c>
      <c r="ET166">
        <f t="shared" si="3232"/>
        <v>7.000000000000001E-3</v>
      </c>
      <c r="EU166">
        <f t="shared" si="3233"/>
        <v>4.1999999999999997E-3</v>
      </c>
      <c r="EV166">
        <f t="shared" si="3234"/>
        <v>0</v>
      </c>
      <c r="EW166">
        <f t="shared" si="3235"/>
        <v>0</v>
      </c>
      <c r="EX166">
        <f t="shared" si="3236"/>
        <v>0</v>
      </c>
      <c r="EY166">
        <f t="shared" si="3237"/>
        <v>0</v>
      </c>
      <c r="EZ166">
        <f t="shared" si="3238"/>
        <v>7.42</v>
      </c>
      <c r="FA166">
        <f t="shared" si="3239"/>
        <v>24.36</v>
      </c>
      <c r="FB166">
        <f t="shared" si="3240"/>
        <v>28.56</v>
      </c>
      <c r="FC166">
        <f t="shared" si="3241"/>
        <v>52.78</v>
      </c>
      <c r="FD166">
        <f t="shared" si="3242"/>
        <v>40.32</v>
      </c>
      <c r="FE166">
        <f t="shared" si="3243"/>
        <v>12.04</v>
      </c>
      <c r="FF166">
        <f t="shared" si="3244"/>
        <v>5.46</v>
      </c>
      <c r="FG166">
        <f t="shared" si="3245"/>
        <v>26.18</v>
      </c>
      <c r="FH166">
        <f t="shared" si="3246"/>
        <v>21.14</v>
      </c>
      <c r="FI166">
        <f t="shared" si="3247"/>
        <v>34.58</v>
      </c>
      <c r="FJ166">
        <f t="shared" si="3248"/>
        <v>15.54</v>
      </c>
      <c r="FK166">
        <f t="shared" si="3249"/>
        <v>13.86</v>
      </c>
      <c r="FL166">
        <f t="shared" si="3250"/>
        <v>17.64</v>
      </c>
      <c r="FM166">
        <f t="shared" si="3251"/>
        <v>39.9</v>
      </c>
      <c r="FN166">
        <f t="shared" si="3252"/>
        <v>114.52</v>
      </c>
      <c r="FO166">
        <f t="shared" si="3253"/>
        <v>10.36</v>
      </c>
      <c r="FP166">
        <f t="shared" si="3254"/>
        <v>55.02</v>
      </c>
      <c r="FQ166">
        <f t="shared" si="3255"/>
        <v>30.1</v>
      </c>
      <c r="FR166">
        <f t="shared" si="3256"/>
        <v>0</v>
      </c>
      <c r="FS166">
        <f t="shared" si="3257"/>
        <v>0</v>
      </c>
      <c r="FT166">
        <f t="shared" si="3258"/>
        <v>0</v>
      </c>
      <c r="FU166">
        <f t="shared" si="3259"/>
        <v>0</v>
      </c>
      <c r="FV166">
        <f t="shared" si="3260"/>
        <v>0</v>
      </c>
      <c r="FW166">
        <f t="shared" si="3261"/>
        <v>0.7</v>
      </c>
    </row>
    <row r="167" spans="1:179" x14ac:dyDescent="0.35">
      <c r="B167" s="72" t="s">
        <v>304</v>
      </c>
      <c r="C167">
        <v>4</v>
      </c>
      <c r="D167" s="6">
        <v>406</v>
      </c>
      <c r="E167" s="6">
        <v>1690</v>
      </c>
      <c r="F167" s="6">
        <v>33.9</v>
      </c>
      <c r="G167" s="6">
        <v>33.9</v>
      </c>
      <c r="H167" s="6">
        <v>0</v>
      </c>
      <c r="I167" s="6">
        <v>28.5</v>
      </c>
      <c r="J167" s="6">
        <v>28.5</v>
      </c>
      <c r="K167" s="6">
        <v>0</v>
      </c>
      <c r="L167" s="6">
        <v>109</v>
      </c>
      <c r="M167" s="6">
        <v>3.7</v>
      </c>
      <c r="N167" s="6">
        <v>0</v>
      </c>
      <c r="O167" s="6">
        <v>3.7</v>
      </c>
      <c r="P167" s="6">
        <v>0</v>
      </c>
      <c r="Q167" s="6">
        <v>0</v>
      </c>
      <c r="R167" s="6">
        <v>31.5</v>
      </c>
      <c r="S167" s="6">
        <v>0.2</v>
      </c>
      <c r="T167" s="6">
        <v>1169</v>
      </c>
      <c r="U167" s="6">
        <v>700</v>
      </c>
      <c r="V167" s="6">
        <v>120</v>
      </c>
      <c r="W167" s="6">
        <v>692</v>
      </c>
      <c r="X167" s="6">
        <v>4</v>
      </c>
      <c r="Y167" s="6">
        <v>63</v>
      </c>
      <c r="Z167" s="6">
        <v>0.49</v>
      </c>
      <c r="AA167" s="6">
        <v>12</v>
      </c>
      <c r="AB167" s="6">
        <v>960</v>
      </c>
      <c r="AC167" s="6">
        <v>36</v>
      </c>
      <c r="AD167" s="6">
        <v>0.02</v>
      </c>
      <c r="AE167" s="6">
        <v>250</v>
      </c>
      <c r="AF167" s="6">
        <v>0.02</v>
      </c>
      <c r="AG167" s="6">
        <v>0.35</v>
      </c>
      <c r="AH167" s="6">
        <v>0</v>
      </c>
      <c r="AI167" s="6">
        <v>0.1</v>
      </c>
      <c r="AJ167" s="6">
        <v>0.12</v>
      </c>
      <c r="AK167" s="6">
        <v>5</v>
      </c>
      <c r="AL167" s="6">
        <v>0.25</v>
      </c>
      <c r="AM167" s="6">
        <v>6</v>
      </c>
      <c r="AN167" s="6">
        <v>3</v>
      </c>
      <c r="AO167" s="6">
        <v>224</v>
      </c>
      <c r="AP167" s="6">
        <v>209</v>
      </c>
      <c r="AQ167" s="6">
        <v>89</v>
      </c>
      <c r="AR167" s="6">
        <v>0.55000000000000004</v>
      </c>
      <c r="AS167" s="6">
        <v>0.5</v>
      </c>
      <c r="AT167" s="6">
        <v>1.7</v>
      </c>
      <c r="AU167" s="6">
        <v>17.53</v>
      </c>
      <c r="AV167" s="6">
        <v>2.63</v>
      </c>
      <c r="AW167" s="6">
        <v>0.81</v>
      </c>
      <c r="AX167" s="6">
        <v>2.74</v>
      </c>
      <c r="AY167" s="6">
        <v>7.33</v>
      </c>
      <c r="AZ167" s="6">
        <v>2.79</v>
      </c>
      <c r="BA167" s="6">
        <v>0</v>
      </c>
      <c r="BB167" s="6">
        <v>0</v>
      </c>
      <c r="BC167" s="6">
        <v>7.29</v>
      </c>
      <c r="BD167" s="6">
        <v>0</v>
      </c>
      <c r="BE167" s="6">
        <v>0.38</v>
      </c>
      <c r="BF167" s="6">
        <v>6.19</v>
      </c>
      <c r="BG167" s="6">
        <v>0.22</v>
      </c>
      <c r="BH167" s="6">
        <v>0</v>
      </c>
      <c r="BI167" s="6">
        <v>0.78</v>
      </c>
      <c r="BJ167" s="6">
        <v>0.59</v>
      </c>
      <c r="BK167" s="6">
        <v>0.15</v>
      </c>
      <c r="BL167" s="6">
        <v>0</v>
      </c>
      <c r="BM167" s="6">
        <v>0</v>
      </c>
      <c r="BN167" s="6">
        <v>0</v>
      </c>
      <c r="BO167" s="6">
        <v>0.04</v>
      </c>
      <c r="BP167" s="7">
        <v>310</v>
      </c>
      <c r="BQ167" s="7">
        <v>1100</v>
      </c>
      <c r="BR167" s="7">
        <v>1390</v>
      </c>
      <c r="BS167" s="7">
        <v>2820</v>
      </c>
      <c r="BT167" s="7">
        <v>2470</v>
      </c>
      <c r="BU167" s="7">
        <v>960</v>
      </c>
      <c r="BV167" s="7">
        <v>200</v>
      </c>
      <c r="BW167" s="7">
        <v>1740</v>
      </c>
      <c r="BX167" s="7">
        <v>2000</v>
      </c>
      <c r="BY167" s="7">
        <v>1910</v>
      </c>
      <c r="BZ167" s="7">
        <v>820</v>
      </c>
      <c r="CA167" s="7">
        <v>920</v>
      </c>
      <c r="CB167" s="7">
        <v>950</v>
      </c>
      <c r="CC167" s="7">
        <v>2170</v>
      </c>
      <c r="CD167" s="7">
        <v>631</v>
      </c>
      <c r="CE167" s="7">
        <v>640</v>
      </c>
      <c r="CF167" s="7">
        <v>3020</v>
      </c>
      <c r="CG167" s="7">
        <v>1950</v>
      </c>
      <c r="CH167" s="6">
        <v>0</v>
      </c>
      <c r="CI167" s="6">
        <v>0</v>
      </c>
      <c r="CJ167" s="6">
        <v>0</v>
      </c>
      <c r="CK167" s="6">
        <v>0</v>
      </c>
      <c r="CL167" s="6">
        <v>0</v>
      </c>
      <c r="CM167" s="6">
        <v>3.7</v>
      </c>
      <c r="CN167">
        <f t="shared" si="3174"/>
        <v>16.239999999999998</v>
      </c>
      <c r="CO167">
        <f t="shared" si="3175"/>
        <v>67.599999999999994</v>
      </c>
      <c r="CP167">
        <f t="shared" si="3176"/>
        <v>1.3559999999999999</v>
      </c>
      <c r="CQ167">
        <f t="shared" si="3177"/>
        <v>1.3559999999999999</v>
      </c>
      <c r="CR167">
        <f t="shared" si="3178"/>
        <v>0</v>
      </c>
      <c r="CS167">
        <f t="shared" si="3179"/>
        <v>1.1399999999999999</v>
      </c>
      <c r="CT167">
        <f t="shared" si="3180"/>
        <v>1.1399999999999999</v>
      </c>
      <c r="CU167">
        <f t="shared" si="3181"/>
        <v>0</v>
      </c>
      <c r="CV167">
        <f t="shared" si="3182"/>
        <v>4.3600000000000003</v>
      </c>
      <c r="CW167">
        <f t="shared" si="3183"/>
        <v>0.14800000000000002</v>
      </c>
      <c r="CX167">
        <f t="shared" si="3184"/>
        <v>0</v>
      </c>
      <c r="CY167">
        <f t="shared" si="3185"/>
        <v>0.14800000000000002</v>
      </c>
      <c r="CZ167">
        <f t="shared" si="3186"/>
        <v>0</v>
      </c>
      <c r="DA167">
        <f t="shared" si="3187"/>
        <v>0</v>
      </c>
      <c r="DB167">
        <f t="shared" si="3188"/>
        <v>1.26</v>
      </c>
      <c r="DC167">
        <f t="shared" si="3189"/>
        <v>8.0000000000000002E-3</v>
      </c>
      <c r="DD167">
        <f t="shared" si="3190"/>
        <v>46.76</v>
      </c>
      <c r="DE167">
        <f t="shared" si="3191"/>
        <v>28</v>
      </c>
      <c r="DF167">
        <f t="shared" si="3192"/>
        <v>4.8</v>
      </c>
      <c r="DG167">
        <f t="shared" si="3193"/>
        <v>27.68</v>
      </c>
      <c r="DH167">
        <f t="shared" si="3194"/>
        <v>0.16</v>
      </c>
      <c r="DI167">
        <f t="shared" si="3195"/>
        <v>2.52</v>
      </c>
      <c r="DJ167">
        <f t="shared" si="3196"/>
        <v>1.9599999999999999E-2</v>
      </c>
      <c r="DK167">
        <f t="shared" si="3197"/>
        <v>0.48</v>
      </c>
      <c r="DL167">
        <f t="shared" si="3198"/>
        <v>38.4</v>
      </c>
      <c r="DM167">
        <f t="shared" si="3199"/>
        <v>1.44</v>
      </c>
      <c r="DN167">
        <f t="shared" si="3200"/>
        <v>8.0000000000000004E-4</v>
      </c>
      <c r="DO167">
        <f t="shared" si="3201"/>
        <v>10</v>
      </c>
      <c r="DP167">
        <f t="shared" si="3202"/>
        <v>8.0000000000000004E-4</v>
      </c>
      <c r="DQ167">
        <f t="shared" si="3203"/>
        <v>1.3999999999999999E-2</v>
      </c>
      <c r="DR167">
        <f t="shared" si="3204"/>
        <v>0</v>
      </c>
      <c r="DS167">
        <f t="shared" si="3205"/>
        <v>4.0000000000000001E-3</v>
      </c>
      <c r="DT167">
        <f t="shared" si="3206"/>
        <v>4.7999999999999996E-3</v>
      </c>
      <c r="DU167">
        <f t="shared" si="3207"/>
        <v>0.2</v>
      </c>
      <c r="DV167">
        <f t="shared" si="3208"/>
        <v>0.01</v>
      </c>
      <c r="DW167">
        <f t="shared" si="3209"/>
        <v>0.24</v>
      </c>
      <c r="DX167">
        <f t="shared" si="3210"/>
        <v>0.12</v>
      </c>
      <c r="DY167">
        <f t="shared" si="3211"/>
        <v>8.9600000000000009</v>
      </c>
      <c r="DZ167">
        <f t="shared" si="3212"/>
        <v>8.36</v>
      </c>
      <c r="EA167">
        <f t="shared" si="3213"/>
        <v>3.56</v>
      </c>
      <c r="EB167">
        <f t="shared" si="3214"/>
        <v>2.2000000000000002E-2</v>
      </c>
      <c r="EC167">
        <f t="shared" si="3215"/>
        <v>0.02</v>
      </c>
      <c r="ED167">
        <f t="shared" si="3216"/>
        <v>6.8000000000000005E-2</v>
      </c>
      <c r="EE167">
        <f t="shared" si="3217"/>
        <v>0.70120000000000005</v>
      </c>
      <c r="EF167">
        <f t="shared" si="3218"/>
        <v>0.1052</v>
      </c>
      <c r="EG167">
        <f t="shared" si="3219"/>
        <v>3.2400000000000005E-2</v>
      </c>
      <c r="EH167">
        <f t="shared" si="3220"/>
        <v>0.1096</v>
      </c>
      <c r="EI167">
        <f t="shared" si="3221"/>
        <v>0.29320000000000002</v>
      </c>
      <c r="EJ167">
        <f t="shared" si="3222"/>
        <v>0.1116</v>
      </c>
      <c r="EK167">
        <f t="shared" si="3223"/>
        <v>0</v>
      </c>
      <c r="EL167">
        <f t="shared" si="3224"/>
        <v>0</v>
      </c>
      <c r="EM167">
        <f t="shared" si="3225"/>
        <v>0.29160000000000003</v>
      </c>
      <c r="EN167">
        <f t="shared" si="3226"/>
        <v>0</v>
      </c>
      <c r="EO167">
        <f t="shared" si="3227"/>
        <v>1.52E-2</v>
      </c>
      <c r="EP167">
        <f t="shared" si="3228"/>
        <v>0.24760000000000001</v>
      </c>
      <c r="EQ167">
        <f t="shared" si="3229"/>
        <v>8.8000000000000005E-3</v>
      </c>
      <c r="ER167">
        <f t="shared" si="3230"/>
        <v>0</v>
      </c>
      <c r="ES167">
        <f t="shared" si="3231"/>
        <v>3.1200000000000002E-2</v>
      </c>
      <c r="ET167">
        <f t="shared" si="3232"/>
        <v>2.3599999999999999E-2</v>
      </c>
      <c r="EU167">
        <f t="shared" si="3233"/>
        <v>6.0000000000000001E-3</v>
      </c>
      <c r="EV167">
        <f t="shared" si="3234"/>
        <v>0</v>
      </c>
      <c r="EW167">
        <f t="shared" si="3235"/>
        <v>0</v>
      </c>
      <c r="EX167">
        <f t="shared" si="3236"/>
        <v>0</v>
      </c>
      <c r="EY167">
        <f t="shared" si="3237"/>
        <v>1.6000000000000001E-3</v>
      </c>
      <c r="EZ167">
        <f t="shared" si="3238"/>
        <v>12.4</v>
      </c>
      <c r="FA167">
        <f t="shared" si="3239"/>
        <v>44</v>
      </c>
      <c r="FB167">
        <f t="shared" si="3240"/>
        <v>55.6</v>
      </c>
      <c r="FC167">
        <f t="shared" si="3241"/>
        <v>112.8</v>
      </c>
      <c r="FD167">
        <f t="shared" si="3242"/>
        <v>98.8</v>
      </c>
      <c r="FE167">
        <f t="shared" si="3243"/>
        <v>38.4</v>
      </c>
      <c r="FF167">
        <f t="shared" si="3244"/>
        <v>8</v>
      </c>
      <c r="FG167">
        <f t="shared" si="3245"/>
        <v>69.599999999999994</v>
      </c>
      <c r="FH167">
        <f t="shared" si="3246"/>
        <v>80</v>
      </c>
      <c r="FI167">
        <f t="shared" si="3247"/>
        <v>76.400000000000006</v>
      </c>
      <c r="FJ167">
        <f t="shared" si="3248"/>
        <v>32.799999999999997</v>
      </c>
      <c r="FK167">
        <f t="shared" si="3249"/>
        <v>36.799999999999997</v>
      </c>
      <c r="FL167">
        <f t="shared" si="3250"/>
        <v>38</v>
      </c>
      <c r="FM167">
        <f t="shared" si="3251"/>
        <v>86.8</v>
      </c>
      <c r="FN167">
        <f t="shared" si="3252"/>
        <v>25.24</v>
      </c>
      <c r="FO167">
        <f t="shared" si="3253"/>
        <v>25.6</v>
      </c>
      <c r="FP167">
        <f t="shared" si="3254"/>
        <v>120.8</v>
      </c>
      <c r="FQ167">
        <f t="shared" si="3255"/>
        <v>78</v>
      </c>
      <c r="FR167">
        <f t="shared" si="3256"/>
        <v>0</v>
      </c>
      <c r="FS167">
        <f t="shared" si="3257"/>
        <v>0</v>
      </c>
      <c r="FT167">
        <f t="shared" si="3258"/>
        <v>0</v>
      </c>
      <c r="FU167">
        <f t="shared" si="3259"/>
        <v>0</v>
      </c>
      <c r="FV167">
        <f t="shared" si="3260"/>
        <v>0</v>
      </c>
      <c r="FW167">
        <f t="shared" si="3261"/>
        <v>0.14800000000000002</v>
      </c>
    </row>
    <row r="168" spans="1:179" x14ac:dyDescent="0.35">
      <c r="B168" s="72" t="s">
        <v>236</v>
      </c>
      <c r="C168">
        <v>2</v>
      </c>
      <c r="D168" s="6">
        <v>323</v>
      </c>
      <c r="E168" s="6">
        <v>1376</v>
      </c>
      <c r="F168" s="6">
        <v>11</v>
      </c>
      <c r="G168" s="6">
        <v>0</v>
      </c>
      <c r="H168" s="6">
        <v>11</v>
      </c>
      <c r="I168" s="6">
        <v>0.7</v>
      </c>
      <c r="J168" s="6">
        <v>0</v>
      </c>
      <c r="K168" s="6">
        <v>0.7</v>
      </c>
      <c r="L168" s="6">
        <v>0</v>
      </c>
      <c r="M168" s="6">
        <v>71.599999999999994</v>
      </c>
      <c r="N168" s="6">
        <v>69.900000000000006</v>
      </c>
      <c r="O168" s="6">
        <v>1.7</v>
      </c>
      <c r="P168" s="6">
        <v>2.2000000000000002</v>
      </c>
      <c r="Q168" s="6">
        <v>0</v>
      </c>
      <c r="R168" s="6">
        <v>14.2</v>
      </c>
      <c r="S168" s="6">
        <v>0.7</v>
      </c>
      <c r="T168" s="6">
        <v>17</v>
      </c>
      <c r="U168" s="6">
        <v>3</v>
      </c>
      <c r="V168" s="6">
        <v>126</v>
      </c>
      <c r="W168" s="6">
        <v>76</v>
      </c>
      <c r="X168" s="6">
        <v>7.0000000000000007E-2</v>
      </c>
      <c r="Y168" s="6">
        <v>120</v>
      </c>
      <c r="Z168" s="6">
        <v>0.06</v>
      </c>
      <c r="AA168" s="6">
        <v>2.2999999999999998</v>
      </c>
      <c r="AB168" s="6">
        <v>143</v>
      </c>
      <c r="AC168" s="51">
        <v>0.5</v>
      </c>
      <c r="AD168" s="6">
        <v>0.7</v>
      </c>
      <c r="AE168" s="6">
        <v>130</v>
      </c>
      <c r="AF168" s="6">
        <v>0.1</v>
      </c>
      <c r="AG168" s="6">
        <v>0.03</v>
      </c>
      <c r="AH168" s="6">
        <v>0</v>
      </c>
      <c r="AI168" s="6">
        <v>1</v>
      </c>
      <c r="AJ168" s="6">
        <v>0.18</v>
      </c>
      <c r="AK168" s="6">
        <v>32</v>
      </c>
      <c r="AL168" s="6">
        <v>0.4</v>
      </c>
      <c r="AM168" s="6">
        <v>2</v>
      </c>
      <c r="AN168" s="6">
        <v>0</v>
      </c>
      <c r="AO168" s="6">
        <v>0</v>
      </c>
      <c r="AP168" s="6">
        <v>0</v>
      </c>
      <c r="AQ168" s="6">
        <v>0</v>
      </c>
      <c r="AR168" s="6">
        <v>0.59</v>
      </c>
      <c r="AS168" s="6">
        <v>0</v>
      </c>
      <c r="AT168" s="6">
        <v>0.8</v>
      </c>
      <c r="AU168" s="6">
        <v>0.08</v>
      </c>
      <c r="AV168" s="6">
        <v>0</v>
      </c>
      <c r="AW168" s="6">
        <v>0</v>
      </c>
      <c r="AX168" s="6">
        <v>0</v>
      </c>
      <c r="AY168" s="6">
        <v>0.08</v>
      </c>
      <c r="AZ168" s="51">
        <v>5.0000000000000001E-3</v>
      </c>
      <c r="BA168" s="51">
        <v>5.0000000000000001E-3</v>
      </c>
      <c r="BB168" s="6">
        <v>0</v>
      </c>
      <c r="BC168" s="6">
        <v>0.06</v>
      </c>
      <c r="BD168" s="6">
        <v>0</v>
      </c>
      <c r="BE168" s="51">
        <v>5.0000000000000001E-3</v>
      </c>
      <c r="BF168" s="6">
        <v>0.06</v>
      </c>
      <c r="BG168" s="51">
        <v>5.0000000000000001E-3</v>
      </c>
      <c r="BH168" s="6">
        <v>0</v>
      </c>
      <c r="BI168" s="6">
        <v>0.27</v>
      </c>
      <c r="BJ168" s="6">
        <v>0.25</v>
      </c>
      <c r="BK168" s="6">
        <v>0.01</v>
      </c>
      <c r="BL168" s="51">
        <v>5.0000000000000001E-3</v>
      </c>
      <c r="BM168" s="6">
        <v>0</v>
      </c>
      <c r="BN168" s="6">
        <v>0</v>
      </c>
      <c r="BO168" s="6">
        <v>0</v>
      </c>
      <c r="BP168" s="7">
        <v>116</v>
      </c>
      <c r="BQ168" s="7">
        <v>310</v>
      </c>
      <c r="BR168" s="7">
        <v>403</v>
      </c>
      <c r="BS168" s="7">
        <v>741</v>
      </c>
      <c r="BT168" s="7">
        <v>239</v>
      </c>
      <c r="BU168" s="7">
        <v>167</v>
      </c>
      <c r="BV168" s="7">
        <v>287</v>
      </c>
      <c r="BW168" s="7">
        <v>510</v>
      </c>
      <c r="BX168" s="7">
        <v>345</v>
      </c>
      <c r="BY168" s="7">
        <v>452</v>
      </c>
      <c r="BZ168" s="7">
        <v>391</v>
      </c>
      <c r="CA168" s="7">
        <v>228</v>
      </c>
      <c r="CB168" s="7">
        <v>318</v>
      </c>
      <c r="CC168" s="7">
        <v>431</v>
      </c>
      <c r="CD168" s="7">
        <v>4037</v>
      </c>
      <c r="CE168" s="7">
        <v>368</v>
      </c>
      <c r="CF168" s="7">
        <v>1309</v>
      </c>
      <c r="CG168" s="7">
        <v>543</v>
      </c>
      <c r="CH168" s="51">
        <v>0.05</v>
      </c>
      <c r="CI168" s="51">
        <v>0.05</v>
      </c>
      <c r="CJ168" s="6">
        <v>0</v>
      </c>
      <c r="CK168" s="6">
        <v>1.4</v>
      </c>
      <c r="CL168" s="6">
        <v>0.3</v>
      </c>
      <c r="CM168" s="6">
        <v>0</v>
      </c>
      <c r="CN168">
        <f t="shared" si="3174"/>
        <v>6.46</v>
      </c>
      <c r="CO168">
        <f t="shared" si="3175"/>
        <v>27.52</v>
      </c>
      <c r="CP168">
        <f t="shared" si="3176"/>
        <v>0.22</v>
      </c>
      <c r="CQ168">
        <f t="shared" si="3177"/>
        <v>0</v>
      </c>
      <c r="CR168">
        <f t="shared" si="3178"/>
        <v>0.22</v>
      </c>
      <c r="CS168">
        <f t="shared" si="3179"/>
        <v>1.3999999999999999E-2</v>
      </c>
      <c r="CT168">
        <f t="shared" si="3180"/>
        <v>0</v>
      </c>
      <c r="CU168">
        <f t="shared" si="3181"/>
        <v>1.3999999999999999E-2</v>
      </c>
      <c r="CV168">
        <f t="shared" si="3182"/>
        <v>0</v>
      </c>
      <c r="CW168">
        <f t="shared" si="3183"/>
        <v>1.4319999999999999</v>
      </c>
      <c r="CX168">
        <f t="shared" si="3184"/>
        <v>1.3980000000000001</v>
      </c>
      <c r="CY168">
        <f t="shared" si="3185"/>
        <v>3.4000000000000002E-2</v>
      </c>
      <c r="CZ168">
        <f t="shared" si="3186"/>
        <v>4.4000000000000004E-2</v>
      </c>
      <c r="DA168">
        <f t="shared" si="3187"/>
        <v>0</v>
      </c>
      <c r="DB168">
        <f t="shared" si="3188"/>
        <v>0.28399999999999997</v>
      </c>
      <c r="DC168">
        <f t="shared" si="3189"/>
        <v>1.3999999999999999E-2</v>
      </c>
      <c r="DD168">
        <f t="shared" si="3190"/>
        <v>0.34</v>
      </c>
      <c r="DE168">
        <f t="shared" si="3191"/>
        <v>0.06</v>
      </c>
      <c r="DF168">
        <f t="shared" si="3192"/>
        <v>2.52</v>
      </c>
      <c r="DG168">
        <f t="shared" si="3193"/>
        <v>1.52</v>
      </c>
      <c r="DH168">
        <f t="shared" si="3194"/>
        <v>1.4000000000000002E-3</v>
      </c>
      <c r="DI168">
        <f t="shared" si="3195"/>
        <v>2.4</v>
      </c>
      <c r="DJ168">
        <f t="shared" si="3196"/>
        <v>1.1999999999999999E-3</v>
      </c>
      <c r="DK168">
        <f t="shared" si="3197"/>
        <v>4.5999999999999999E-2</v>
      </c>
      <c r="DL168">
        <f t="shared" si="3198"/>
        <v>2.86</v>
      </c>
      <c r="DM168">
        <f t="shared" si="3199"/>
        <v>0.01</v>
      </c>
      <c r="DN168">
        <f t="shared" si="3200"/>
        <v>1.3999999999999999E-2</v>
      </c>
      <c r="DO168">
        <f t="shared" si="3201"/>
        <v>2.6</v>
      </c>
      <c r="DP168">
        <f t="shared" si="3202"/>
        <v>2E-3</v>
      </c>
      <c r="DQ168">
        <f t="shared" si="3203"/>
        <v>5.9999999999999995E-4</v>
      </c>
      <c r="DR168">
        <f t="shared" si="3204"/>
        <v>0</v>
      </c>
      <c r="DS168">
        <f t="shared" si="3205"/>
        <v>0.02</v>
      </c>
      <c r="DT168">
        <f t="shared" si="3206"/>
        <v>3.5999999999999999E-3</v>
      </c>
      <c r="DU168">
        <f t="shared" si="3207"/>
        <v>0.64</v>
      </c>
      <c r="DV168">
        <f t="shared" si="3208"/>
        <v>8.0000000000000002E-3</v>
      </c>
      <c r="DW168">
        <f t="shared" si="3209"/>
        <v>0.04</v>
      </c>
      <c r="DX168">
        <f t="shared" si="3210"/>
        <v>0</v>
      </c>
      <c r="DY168">
        <f t="shared" si="3211"/>
        <v>0</v>
      </c>
      <c r="DZ168">
        <f t="shared" si="3212"/>
        <v>0</v>
      </c>
      <c r="EA168">
        <f t="shared" si="3213"/>
        <v>0</v>
      </c>
      <c r="EB168">
        <f t="shared" si="3214"/>
        <v>1.18E-2</v>
      </c>
      <c r="EC168">
        <f t="shared" si="3215"/>
        <v>0</v>
      </c>
      <c r="ED168">
        <f t="shared" si="3216"/>
        <v>1.6E-2</v>
      </c>
      <c r="EE168">
        <f t="shared" si="3217"/>
        <v>1.6000000000000001E-3</v>
      </c>
      <c r="EF168">
        <f t="shared" si="3218"/>
        <v>0</v>
      </c>
      <c r="EG168">
        <f t="shared" si="3219"/>
        <v>0</v>
      </c>
      <c r="EH168">
        <f t="shared" si="3220"/>
        <v>0</v>
      </c>
      <c r="EI168">
        <f t="shared" si="3221"/>
        <v>1.6000000000000001E-3</v>
      </c>
      <c r="EJ168">
        <f t="shared" si="3222"/>
        <v>1E-4</v>
      </c>
      <c r="EK168">
        <f t="shared" si="3223"/>
        <v>1E-4</v>
      </c>
      <c r="EL168">
        <f t="shared" si="3224"/>
        <v>0</v>
      </c>
      <c r="EM168">
        <f t="shared" si="3225"/>
        <v>1.1999999999999999E-3</v>
      </c>
      <c r="EN168">
        <f t="shared" si="3226"/>
        <v>0</v>
      </c>
      <c r="EO168">
        <f t="shared" si="3227"/>
        <v>1E-4</v>
      </c>
      <c r="EP168">
        <f t="shared" si="3228"/>
        <v>1.1999999999999999E-3</v>
      </c>
      <c r="EQ168">
        <f t="shared" si="3229"/>
        <v>1E-4</v>
      </c>
      <c r="ER168">
        <f t="shared" si="3230"/>
        <v>0</v>
      </c>
      <c r="ES168">
        <f t="shared" si="3231"/>
        <v>5.4000000000000003E-3</v>
      </c>
      <c r="ET168">
        <f t="shared" si="3232"/>
        <v>5.0000000000000001E-3</v>
      </c>
      <c r="EU168">
        <f t="shared" si="3233"/>
        <v>2.0000000000000001E-4</v>
      </c>
      <c r="EV168">
        <f t="shared" si="3234"/>
        <v>1E-4</v>
      </c>
      <c r="EW168">
        <f t="shared" si="3235"/>
        <v>0</v>
      </c>
      <c r="EX168">
        <f t="shared" si="3236"/>
        <v>0</v>
      </c>
      <c r="EY168">
        <f t="shared" si="3237"/>
        <v>0</v>
      </c>
      <c r="EZ168">
        <f t="shared" si="3238"/>
        <v>2.3199999999999998</v>
      </c>
      <c r="FA168">
        <f t="shared" si="3239"/>
        <v>6.2</v>
      </c>
      <c r="FB168">
        <f t="shared" si="3240"/>
        <v>8.06</v>
      </c>
      <c r="FC168">
        <f t="shared" si="3241"/>
        <v>14.82</v>
      </c>
      <c r="FD168">
        <f t="shared" si="3242"/>
        <v>4.78</v>
      </c>
      <c r="FE168">
        <f t="shared" si="3243"/>
        <v>3.34</v>
      </c>
      <c r="FF168">
        <f t="shared" si="3244"/>
        <v>5.74</v>
      </c>
      <c r="FG168">
        <f t="shared" si="3245"/>
        <v>10.199999999999999</v>
      </c>
      <c r="FH168">
        <f t="shared" si="3246"/>
        <v>6.9</v>
      </c>
      <c r="FI168">
        <f t="shared" si="3247"/>
        <v>9.0399999999999991</v>
      </c>
      <c r="FJ168">
        <f t="shared" si="3248"/>
        <v>7.82</v>
      </c>
      <c r="FK168">
        <f t="shared" si="3249"/>
        <v>4.5599999999999996</v>
      </c>
      <c r="FL168">
        <f t="shared" si="3250"/>
        <v>6.36</v>
      </c>
      <c r="FM168">
        <f t="shared" si="3251"/>
        <v>8.6199999999999992</v>
      </c>
      <c r="FN168">
        <f t="shared" si="3252"/>
        <v>80.739999999999995</v>
      </c>
      <c r="FO168">
        <f t="shared" si="3253"/>
        <v>7.36</v>
      </c>
      <c r="FP168">
        <f t="shared" si="3254"/>
        <v>26.18</v>
      </c>
      <c r="FQ168">
        <f t="shared" si="3255"/>
        <v>10.86</v>
      </c>
      <c r="FR168">
        <f t="shared" si="3256"/>
        <v>1E-3</v>
      </c>
      <c r="FS168">
        <f t="shared" si="3257"/>
        <v>1E-3</v>
      </c>
      <c r="FT168">
        <f t="shared" si="3258"/>
        <v>0</v>
      </c>
      <c r="FU168">
        <f t="shared" si="3259"/>
        <v>2.7999999999999997E-2</v>
      </c>
      <c r="FV168">
        <f t="shared" si="3260"/>
        <v>6.0000000000000001E-3</v>
      </c>
      <c r="FW168">
        <f t="shared" si="3261"/>
        <v>0</v>
      </c>
    </row>
    <row r="169" spans="1:179" x14ac:dyDescent="0.35">
      <c r="B169" s="72" t="s">
        <v>211</v>
      </c>
      <c r="C169">
        <v>3</v>
      </c>
      <c r="D169" s="6">
        <v>899</v>
      </c>
      <c r="E169" s="6">
        <v>3696</v>
      </c>
      <c r="F169" s="6">
        <v>0</v>
      </c>
      <c r="G169" s="6">
        <v>0</v>
      </c>
      <c r="H169" s="6">
        <v>0</v>
      </c>
      <c r="I169" s="6">
        <v>99.9</v>
      </c>
      <c r="J169" s="6">
        <v>0</v>
      </c>
      <c r="K169" s="6">
        <v>99.9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0.2</v>
      </c>
      <c r="T169" s="6">
        <v>0</v>
      </c>
      <c r="U169" s="51">
        <v>0.5</v>
      </c>
      <c r="V169" s="51">
        <v>0.5</v>
      </c>
      <c r="W169" s="6">
        <v>0</v>
      </c>
      <c r="X169" s="51">
        <v>5.0000000000000001E-3</v>
      </c>
      <c r="Y169" s="51">
        <v>0.5</v>
      </c>
      <c r="Z169" s="6">
        <v>0.01</v>
      </c>
      <c r="AA169" s="51">
        <v>0.05</v>
      </c>
      <c r="AB169" s="51">
        <v>0.5</v>
      </c>
      <c r="AC169" s="51">
        <v>0.5</v>
      </c>
      <c r="AD169" s="51">
        <v>5.0000000000000001E-3</v>
      </c>
      <c r="AE169" s="51">
        <v>0.5</v>
      </c>
      <c r="AF169" s="6">
        <v>0</v>
      </c>
      <c r="AG169" s="6">
        <v>0</v>
      </c>
      <c r="AH169" s="6">
        <v>0</v>
      </c>
      <c r="AI169" s="6">
        <v>0</v>
      </c>
      <c r="AJ169" s="51">
        <v>5.0000000000000001E-3</v>
      </c>
      <c r="AK169" s="51">
        <v>0.5</v>
      </c>
      <c r="AL169" s="51">
        <v>5.0000000000000001E-3</v>
      </c>
      <c r="AM169" s="51">
        <v>0.05</v>
      </c>
      <c r="AN169" s="6">
        <v>0</v>
      </c>
      <c r="AO169" s="6">
        <v>36</v>
      </c>
      <c r="AP169" s="6">
        <v>0</v>
      </c>
      <c r="AQ169" s="6">
        <v>216</v>
      </c>
      <c r="AR169" s="6">
        <v>21.42</v>
      </c>
      <c r="AS169" s="6">
        <v>0</v>
      </c>
      <c r="AT169" s="6">
        <v>57.5</v>
      </c>
      <c r="AU169" s="6">
        <v>14.46</v>
      </c>
      <c r="AV169" s="6">
        <v>0</v>
      </c>
      <c r="AW169" s="6">
        <v>0</v>
      </c>
      <c r="AX169" s="6">
        <v>0</v>
      </c>
      <c r="AY169" s="6">
        <v>10.64</v>
      </c>
      <c r="AZ169" s="6">
        <v>3.06</v>
      </c>
      <c r="BA169" s="6">
        <v>0.76</v>
      </c>
      <c r="BB169" s="6">
        <v>0</v>
      </c>
      <c r="BC169" s="6">
        <v>72.95</v>
      </c>
      <c r="BD169" s="6">
        <v>0</v>
      </c>
      <c r="BE169" s="6">
        <v>0.79</v>
      </c>
      <c r="BF169" s="6">
        <v>71.87</v>
      </c>
      <c r="BG169" s="6">
        <v>0.28999999999999998</v>
      </c>
      <c r="BH169" s="6">
        <v>0</v>
      </c>
      <c r="BI169" s="6">
        <v>7.52</v>
      </c>
      <c r="BJ169" s="6">
        <v>6.79</v>
      </c>
      <c r="BK169" s="6">
        <v>0.73</v>
      </c>
      <c r="BL169" s="6">
        <v>0</v>
      </c>
      <c r="BM169" s="6">
        <v>0</v>
      </c>
      <c r="BN169" s="6">
        <v>0</v>
      </c>
      <c r="BO169" s="6">
        <v>0</v>
      </c>
      <c r="BP169" s="7">
        <v>0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s="7">
        <v>0</v>
      </c>
      <c r="BW169" s="7">
        <v>0</v>
      </c>
      <c r="BX169" s="7">
        <v>0</v>
      </c>
      <c r="BY169" s="7">
        <v>0</v>
      </c>
      <c r="BZ169" s="7">
        <v>0</v>
      </c>
      <c r="CA169" s="7">
        <v>0</v>
      </c>
      <c r="CB169" s="7">
        <v>0</v>
      </c>
      <c r="CC169" s="7">
        <v>0</v>
      </c>
      <c r="CD169" s="7">
        <v>0</v>
      </c>
      <c r="CE169" s="7">
        <v>0</v>
      </c>
      <c r="CF169" s="7">
        <v>0</v>
      </c>
      <c r="CG169" s="7">
        <v>0</v>
      </c>
      <c r="CH169" s="6">
        <v>0</v>
      </c>
      <c r="CI169" s="6">
        <v>0</v>
      </c>
      <c r="CJ169" s="6">
        <v>0</v>
      </c>
      <c r="CK169" s="6">
        <v>0</v>
      </c>
      <c r="CL169" s="6">
        <v>0</v>
      </c>
      <c r="CM169" s="6">
        <v>0</v>
      </c>
      <c r="CN169">
        <f t="shared" si="3174"/>
        <v>26.97</v>
      </c>
      <c r="CO169">
        <f t="shared" si="3175"/>
        <v>110.88</v>
      </c>
      <c r="CP169">
        <f t="shared" si="3176"/>
        <v>0</v>
      </c>
      <c r="CQ169">
        <f t="shared" si="3177"/>
        <v>0</v>
      </c>
      <c r="CR169">
        <f t="shared" si="3178"/>
        <v>0</v>
      </c>
      <c r="CS169">
        <f t="shared" si="3179"/>
        <v>2.9970000000000003</v>
      </c>
      <c r="CT169">
        <f t="shared" si="3180"/>
        <v>0</v>
      </c>
      <c r="CU169">
        <f t="shared" si="3181"/>
        <v>2.9970000000000003</v>
      </c>
      <c r="CV169">
        <f t="shared" si="3182"/>
        <v>0</v>
      </c>
      <c r="CW169">
        <f t="shared" si="3183"/>
        <v>0</v>
      </c>
      <c r="CX169">
        <f t="shared" si="3184"/>
        <v>0</v>
      </c>
      <c r="CY169">
        <f t="shared" si="3185"/>
        <v>0</v>
      </c>
      <c r="CZ169">
        <f t="shared" si="3186"/>
        <v>0</v>
      </c>
      <c r="DA169">
        <f t="shared" si="3187"/>
        <v>0</v>
      </c>
      <c r="DB169">
        <f t="shared" si="3188"/>
        <v>0</v>
      </c>
      <c r="DC169">
        <f t="shared" si="3189"/>
        <v>6.000000000000001E-3</v>
      </c>
      <c r="DD169">
        <f t="shared" si="3190"/>
        <v>0</v>
      </c>
      <c r="DE169">
        <f t="shared" si="3191"/>
        <v>1.4999999999999999E-2</v>
      </c>
      <c r="DF169">
        <f t="shared" si="3192"/>
        <v>1.4999999999999999E-2</v>
      </c>
      <c r="DG169">
        <f t="shared" si="3193"/>
        <v>0</v>
      </c>
      <c r="DH169">
        <f t="shared" si="3194"/>
        <v>1.4999999999999999E-4</v>
      </c>
      <c r="DI169">
        <f t="shared" si="3195"/>
        <v>1.4999999999999999E-2</v>
      </c>
      <c r="DJ169">
        <f t="shared" si="3196"/>
        <v>2.9999999999999997E-4</v>
      </c>
      <c r="DK169">
        <f t="shared" si="3197"/>
        <v>1.5000000000000002E-3</v>
      </c>
      <c r="DL169">
        <f t="shared" si="3198"/>
        <v>1.4999999999999999E-2</v>
      </c>
      <c r="DM169">
        <f t="shared" si="3199"/>
        <v>1.4999999999999999E-2</v>
      </c>
      <c r="DN169">
        <f t="shared" si="3200"/>
        <v>1.4999999999999999E-4</v>
      </c>
      <c r="DO169">
        <f t="shared" si="3201"/>
        <v>1.4999999999999999E-2</v>
      </c>
      <c r="DP169">
        <f t="shared" si="3202"/>
        <v>0</v>
      </c>
      <c r="DQ169">
        <f t="shared" si="3203"/>
        <v>0</v>
      </c>
      <c r="DR169">
        <f t="shared" si="3204"/>
        <v>0</v>
      </c>
      <c r="DS169">
        <f t="shared" si="3205"/>
        <v>0</v>
      </c>
      <c r="DT169">
        <f t="shared" si="3206"/>
        <v>1.4999999999999999E-4</v>
      </c>
      <c r="DU169">
        <f t="shared" si="3207"/>
        <v>1.4999999999999999E-2</v>
      </c>
      <c r="DV169">
        <f t="shared" si="3208"/>
        <v>1.4999999999999999E-4</v>
      </c>
      <c r="DW169">
        <f t="shared" si="3209"/>
        <v>1.5000000000000002E-3</v>
      </c>
      <c r="DX169">
        <f t="shared" si="3210"/>
        <v>0</v>
      </c>
      <c r="DY169">
        <f t="shared" si="3211"/>
        <v>1.08</v>
      </c>
      <c r="DZ169">
        <f t="shared" si="3212"/>
        <v>0</v>
      </c>
      <c r="EA169">
        <f t="shared" si="3213"/>
        <v>6.48</v>
      </c>
      <c r="EB169">
        <f t="shared" si="3214"/>
        <v>0.64260000000000006</v>
      </c>
      <c r="EC169">
        <f t="shared" si="3215"/>
        <v>0</v>
      </c>
      <c r="ED169">
        <f t="shared" si="3216"/>
        <v>1.7250000000000001</v>
      </c>
      <c r="EE169">
        <f t="shared" si="3217"/>
        <v>0.43380000000000002</v>
      </c>
      <c r="EF169">
        <f t="shared" si="3218"/>
        <v>0</v>
      </c>
      <c r="EG169">
        <f t="shared" si="3219"/>
        <v>0</v>
      </c>
      <c r="EH169">
        <f t="shared" si="3220"/>
        <v>0</v>
      </c>
      <c r="EI169">
        <f t="shared" si="3221"/>
        <v>0.31920000000000004</v>
      </c>
      <c r="EJ169">
        <f t="shared" si="3222"/>
        <v>9.1799999999999993E-2</v>
      </c>
      <c r="EK169">
        <f t="shared" si="3223"/>
        <v>2.2800000000000001E-2</v>
      </c>
      <c r="EL169">
        <f t="shared" si="3224"/>
        <v>0</v>
      </c>
      <c r="EM169">
        <f t="shared" si="3225"/>
        <v>2.1885000000000003</v>
      </c>
      <c r="EN169">
        <f t="shared" si="3226"/>
        <v>0</v>
      </c>
      <c r="EO169">
        <f t="shared" si="3227"/>
        <v>2.3700000000000002E-2</v>
      </c>
      <c r="EP169">
        <f t="shared" si="3228"/>
        <v>2.1561000000000003</v>
      </c>
      <c r="EQ169">
        <f t="shared" si="3229"/>
        <v>8.6999999999999994E-3</v>
      </c>
      <c r="ER169">
        <f t="shared" si="3230"/>
        <v>0</v>
      </c>
      <c r="ES169">
        <f t="shared" si="3231"/>
        <v>0.22559999999999999</v>
      </c>
      <c r="ET169">
        <f t="shared" si="3232"/>
        <v>0.20370000000000002</v>
      </c>
      <c r="EU169">
        <f t="shared" si="3233"/>
        <v>2.1899999999999999E-2</v>
      </c>
      <c r="EV169">
        <f t="shared" si="3234"/>
        <v>0</v>
      </c>
      <c r="EW169">
        <f t="shared" si="3235"/>
        <v>0</v>
      </c>
      <c r="EX169">
        <f t="shared" si="3236"/>
        <v>0</v>
      </c>
      <c r="EY169">
        <f t="shared" si="3237"/>
        <v>0</v>
      </c>
      <c r="EZ169">
        <f t="shared" si="3238"/>
        <v>0</v>
      </c>
      <c r="FA169">
        <f t="shared" si="3239"/>
        <v>0</v>
      </c>
      <c r="FB169">
        <f t="shared" si="3240"/>
        <v>0</v>
      </c>
      <c r="FC169">
        <f t="shared" si="3241"/>
        <v>0</v>
      </c>
      <c r="FD169">
        <f t="shared" si="3242"/>
        <v>0</v>
      </c>
      <c r="FE169">
        <f t="shared" si="3243"/>
        <v>0</v>
      </c>
      <c r="FF169">
        <f t="shared" si="3244"/>
        <v>0</v>
      </c>
      <c r="FG169">
        <f t="shared" si="3245"/>
        <v>0</v>
      </c>
      <c r="FH169">
        <f t="shared" si="3246"/>
        <v>0</v>
      </c>
      <c r="FI169">
        <f t="shared" si="3247"/>
        <v>0</v>
      </c>
      <c r="FJ169">
        <f t="shared" si="3248"/>
        <v>0</v>
      </c>
      <c r="FK169">
        <f t="shared" si="3249"/>
        <v>0</v>
      </c>
      <c r="FL169">
        <f t="shared" si="3250"/>
        <v>0</v>
      </c>
      <c r="FM169">
        <f t="shared" si="3251"/>
        <v>0</v>
      </c>
      <c r="FN169">
        <f t="shared" si="3252"/>
        <v>0</v>
      </c>
      <c r="FO169">
        <f t="shared" si="3253"/>
        <v>0</v>
      </c>
      <c r="FP169">
        <f t="shared" si="3254"/>
        <v>0</v>
      </c>
      <c r="FQ169">
        <f t="shared" si="3255"/>
        <v>0</v>
      </c>
      <c r="FR169">
        <f t="shared" si="3256"/>
        <v>0</v>
      </c>
      <c r="FS169">
        <f t="shared" si="3257"/>
        <v>0</v>
      </c>
      <c r="FT169">
        <f t="shared" si="3258"/>
        <v>0</v>
      </c>
      <c r="FU169">
        <f t="shared" si="3259"/>
        <v>0</v>
      </c>
      <c r="FV169">
        <f t="shared" si="3260"/>
        <v>0</v>
      </c>
      <c r="FW169">
        <f t="shared" si="3261"/>
        <v>0</v>
      </c>
    </row>
    <row r="170" spans="1:179" x14ac:dyDescent="0.35">
      <c r="B170" s="72" t="s">
        <v>238</v>
      </c>
      <c r="C170">
        <v>2</v>
      </c>
      <c r="D170" s="6">
        <v>758</v>
      </c>
      <c r="E170" s="6">
        <v>3117</v>
      </c>
      <c r="F170" s="6">
        <v>0.8</v>
      </c>
      <c r="G170" s="6">
        <v>0.8</v>
      </c>
      <c r="H170" s="6">
        <v>0</v>
      </c>
      <c r="I170" s="6">
        <v>83.4</v>
      </c>
      <c r="J170" s="6">
        <v>83.4</v>
      </c>
      <c r="K170" s="6">
        <v>0</v>
      </c>
      <c r="L170" s="6">
        <v>250</v>
      </c>
      <c r="M170" s="6">
        <v>1.1000000000000001</v>
      </c>
      <c r="N170" s="6">
        <v>0</v>
      </c>
      <c r="O170" s="6">
        <v>1.1000000000000001</v>
      </c>
      <c r="P170" s="6">
        <v>0</v>
      </c>
      <c r="Q170" s="6">
        <v>0</v>
      </c>
      <c r="R170" s="6">
        <v>14.1</v>
      </c>
      <c r="S170" s="6">
        <v>0</v>
      </c>
      <c r="T170" s="6">
        <v>25</v>
      </c>
      <c r="U170" s="6">
        <v>7</v>
      </c>
      <c r="V170" s="6">
        <v>15</v>
      </c>
      <c r="W170" s="6">
        <v>16</v>
      </c>
      <c r="X170" s="6">
        <v>0.6</v>
      </c>
      <c r="Y170" s="6">
        <v>2</v>
      </c>
      <c r="Z170" s="6">
        <v>0.05</v>
      </c>
      <c r="AA170" s="51">
        <v>0.05</v>
      </c>
      <c r="AB170" s="6">
        <v>17</v>
      </c>
      <c r="AC170" s="6">
        <v>38</v>
      </c>
      <c r="AD170" s="51">
        <v>5.0000000000000001E-3</v>
      </c>
      <c r="AE170" s="6">
        <v>8</v>
      </c>
      <c r="AF170" s="51">
        <v>5.0000000000000001E-3</v>
      </c>
      <c r="AG170" s="6">
        <v>0.02</v>
      </c>
      <c r="AH170" s="6">
        <v>0</v>
      </c>
      <c r="AI170" s="51">
        <v>5.0000000000000001E-3</v>
      </c>
      <c r="AJ170" s="51">
        <v>5.0000000000000001E-3</v>
      </c>
      <c r="AK170" s="51">
        <v>0.5</v>
      </c>
      <c r="AL170" s="6">
        <v>0.04</v>
      </c>
      <c r="AM170" s="51">
        <v>0.05</v>
      </c>
      <c r="AN170" s="51">
        <v>0.05</v>
      </c>
      <c r="AO170" s="6">
        <v>930</v>
      </c>
      <c r="AP170" s="6">
        <v>906</v>
      </c>
      <c r="AQ170" s="6">
        <v>146</v>
      </c>
      <c r="AR170" s="6">
        <v>2.4</v>
      </c>
      <c r="AS170" s="6">
        <v>0.8</v>
      </c>
      <c r="AT170" s="6">
        <v>7.4</v>
      </c>
      <c r="AU170" s="6">
        <v>48.78</v>
      </c>
      <c r="AV170" s="6">
        <v>7.82</v>
      </c>
      <c r="AW170" s="6">
        <v>2.39</v>
      </c>
      <c r="AX170" s="6">
        <v>8.31</v>
      </c>
      <c r="AY170" s="6">
        <v>20.86</v>
      </c>
      <c r="AZ170" s="6">
        <v>9.4</v>
      </c>
      <c r="BA170" s="6">
        <v>0</v>
      </c>
      <c r="BB170" s="6">
        <v>0</v>
      </c>
      <c r="BC170" s="6">
        <v>23.72</v>
      </c>
      <c r="BD170" s="6">
        <v>1.1399999999999999</v>
      </c>
      <c r="BE170" s="6">
        <v>1.9</v>
      </c>
      <c r="BF170" s="6">
        <v>20.68</v>
      </c>
      <c r="BG170" s="6">
        <v>0</v>
      </c>
      <c r="BH170" s="6">
        <v>0</v>
      </c>
      <c r="BI170" s="6">
        <v>2.75</v>
      </c>
      <c r="BJ170" s="6">
        <v>1.57</v>
      </c>
      <c r="BK170" s="6">
        <v>1.18</v>
      </c>
      <c r="BL170" s="6">
        <v>0</v>
      </c>
      <c r="BM170" s="6">
        <v>0</v>
      </c>
      <c r="BN170" s="6">
        <v>0</v>
      </c>
      <c r="BO170" s="6">
        <v>0</v>
      </c>
      <c r="BP170" s="7">
        <v>12</v>
      </c>
      <c r="BQ170" s="7">
        <v>40</v>
      </c>
      <c r="BR170" s="7">
        <v>47</v>
      </c>
      <c r="BS170" s="7">
        <v>86</v>
      </c>
      <c r="BT170" s="7">
        <v>66</v>
      </c>
      <c r="BU170" s="7">
        <v>20</v>
      </c>
      <c r="BV170" s="7">
        <v>9</v>
      </c>
      <c r="BW170" s="7">
        <v>43</v>
      </c>
      <c r="BX170" s="7">
        <v>34</v>
      </c>
      <c r="BY170" s="7">
        <v>56</v>
      </c>
      <c r="BZ170" s="7">
        <v>25</v>
      </c>
      <c r="CA170" s="7">
        <v>23</v>
      </c>
      <c r="CB170" s="7">
        <v>29</v>
      </c>
      <c r="CC170" s="7">
        <v>65</v>
      </c>
      <c r="CD170" s="7">
        <v>187</v>
      </c>
      <c r="CE170" s="7">
        <v>17</v>
      </c>
      <c r="CF170" s="7">
        <v>90</v>
      </c>
      <c r="CG170" s="7">
        <v>49</v>
      </c>
      <c r="CH170" s="6">
        <v>0</v>
      </c>
      <c r="CI170" s="6">
        <v>0</v>
      </c>
      <c r="CJ170" s="6">
        <v>0</v>
      </c>
      <c r="CK170" s="6">
        <v>0</v>
      </c>
      <c r="CL170" s="6">
        <v>0</v>
      </c>
      <c r="CM170" s="6">
        <v>1.1000000000000001</v>
      </c>
      <c r="CN170">
        <f t="shared" si="3174"/>
        <v>15.16</v>
      </c>
      <c r="CO170">
        <f t="shared" si="3175"/>
        <v>62.34</v>
      </c>
      <c r="CP170">
        <f t="shared" si="3176"/>
        <v>1.6E-2</v>
      </c>
      <c r="CQ170">
        <f t="shared" si="3177"/>
        <v>1.6E-2</v>
      </c>
      <c r="CR170">
        <f t="shared" si="3178"/>
        <v>0</v>
      </c>
      <c r="CS170">
        <f t="shared" si="3179"/>
        <v>1.6680000000000001</v>
      </c>
      <c r="CT170">
        <f t="shared" si="3180"/>
        <v>1.6680000000000001</v>
      </c>
      <c r="CU170">
        <f t="shared" si="3181"/>
        <v>0</v>
      </c>
      <c r="CV170">
        <f t="shared" si="3182"/>
        <v>5</v>
      </c>
      <c r="CW170">
        <f t="shared" si="3183"/>
        <v>2.2000000000000002E-2</v>
      </c>
      <c r="CX170">
        <f t="shared" si="3184"/>
        <v>0</v>
      </c>
      <c r="CY170">
        <f t="shared" si="3185"/>
        <v>2.2000000000000002E-2</v>
      </c>
      <c r="CZ170">
        <f t="shared" si="3186"/>
        <v>0</v>
      </c>
      <c r="DA170">
        <f t="shared" si="3187"/>
        <v>0</v>
      </c>
      <c r="DB170">
        <f t="shared" si="3188"/>
        <v>0.28199999999999997</v>
      </c>
      <c r="DC170">
        <f t="shared" si="3189"/>
        <v>0</v>
      </c>
      <c r="DD170">
        <f t="shared" si="3190"/>
        <v>0.5</v>
      </c>
      <c r="DE170">
        <f t="shared" si="3191"/>
        <v>0.14000000000000001</v>
      </c>
      <c r="DF170">
        <f t="shared" si="3192"/>
        <v>0.3</v>
      </c>
      <c r="DG170">
        <f t="shared" si="3193"/>
        <v>0.32</v>
      </c>
      <c r="DH170">
        <f t="shared" si="3194"/>
        <v>1.2E-2</v>
      </c>
      <c r="DI170">
        <f t="shared" si="3195"/>
        <v>0.04</v>
      </c>
      <c r="DJ170">
        <f t="shared" si="3196"/>
        <v>1E-3</v>
      </c>
      <c r="DK170">
        <f t="shared" si="3197"/>
        <v>1E-3</v>
      </c>
      <c r="DL170">
        <f t="shared" si="3198"/>
        <v>0.34</v>
      </c>
      <c r="DM170">
        <f t="shared" si="3199"/>
        <v>0.76</v>
      </c>
      <c r="DN170">
        <f t="shared" si="3200"/>
        <v>1E-4</v>
      </c>
      <c r="DO170">
        <f t="shared" si="3201"/>
        <v>0.16</v>
      </c>
      <c r="DP170">
        <f t="shared" si="3202"/>
        <v>1E-4</v>
      </c>
      <c r="DQ170">
        <f t="shared" si="3203"/>
        <v>4.0000000000000002E-4</v>
      </c>
      <c r="DR170">
        <f t="shared" si="3204"/>
        <v>0</v>
      </c>
      <c r="DS170">
        <f t="shared" si="3205"/>
        <v>1E-4</v>
      </c>
      <c r="DT170">
        <f t="shared" si="3206"/>
        <v>1E-4</v>
      </c>
      <c r="DU170">
        <f t="shared" si="3207"/>
        <v>0.01</v>
      </c>
      <c r="DV170">
        <f t="shared" si="3208"/>
        <v>8.0000000000000004E-4</v>
      </c>
      <c r="DW170">
        <f t="shared" si="3209"/>
        <v>1E-3</v>
      </c>
      <c r="DX170">
        <f t="shared" si="3210"/>
        <v>1E-3</v>
      </c>
      <c r="DY170">
        <f t="shared" si="3211"/>
        <v>18.600000000000001</v>
      </c>
      <c r="DZ170">
        <f t="shared" si="3212"/>
        <v>18.12</v>
      </c>
      <c r="EA170">
        <f t="shared" si="3213"/>
        <v>2.92</v>
      </c>
      <c r="EB170">
        <f t="shared" si="3214"/>
        <v>4.8000000000000001E-2</v>
      </c>
      <c r="EC170">
        <f t="shared" si="3215"/>
        <v>1.6E-2</v>
      </c>
      <c r="ED170">
        <f t="shared" si="3216"/>
        <v>0.14800000000000002</v>
      </c>
      <c r="EE170">
        <f t="shared" si="3217"/>
        <v>0.97560000000000002</v>
      </c>
      <c r="EF170">
        <f t="shared" si="3218"/>
        <v>0.15640000000000001</v>
      </c>
      <c r="EG170">
        <f t="shared" si="3219"/>
        <v>4.7800000000000002E-2</v>
      </c>
      <c r="EH170">
        <f t="shared" si="3220"/>
        <v>0.16620000000000001</v>
      </c>
      <c r="EI170">
        <f t="shared" si="3221"/>
        <v>0.41720000000000002</v>
      </c>
      <c r="EJ170">
        <f t="shared" si="3222"/>
        <v>0.188</v>
      </c>
      <c r="EK170">
        <f t="shared" si="3223"/>
        <v>0</v>
      </c>
      <c r="EL170">
        <f t="shared" si="3224"/>
        <v>0</v>
      </c>
      <c r="EM170">
        <f t="shared" si="3225"/>
        <v>0.47439999999999999</v>
      </c>
      <c r="EN170">
        <f t="shared" si="3226"/>
        <v>2.2799999999999997E-2</v>
      </c>
      <c r="EO170">
        <f t="shared" si="3227"/>
        <v>3.7999999999999999E-2</v>
      </c>
      <c r="EP170">
        <f t="shared" si="3228"/>
        <v>0.41359999999999997</v>
      </c>
      <c r="EQ170">
        <f t="shared" si="3229"/>
        <v>0</v>
      </c>
      <c r="ER170">
        <f t="shared" si="3230"/>
        <v>0</v>
      </c>
      <c r="ES170">
        <f t="shared" si="3231"/>
        <v>5.5E-2</v>
      </c>
      <c r="ET170">
        <f t="shared" si="3232"/>
        <v>3.1400000000000004E-2</v>
      </c>
      <c r="EU170">
        <f t="shared" si="3233"/>
        <v>2.3599999999999999E-2</v>
      </c>
      <c r="EV170">
        <f t="shared" si="3234"/>
        <v>0</v>
      </c>
      <c r="EW170">
        <f t="shared" si="3235"/>
        <v>0</v>
      </c>
      <c r="EX170">
        <f t="shared" si="3236"/>
        <v>0</v>
      </c>
      <c r="EY170">
        <f t="shared" si="3237"/>
        <v>0</v>
      </c>
      <c r="EZ170">
        <f t="shared" si="3238"/>
        <v>0.24</v>
      </c>
      <c r="FA170">
        <f t="shared" si="3239"/>
        <v>0.8</v>
      </c>
      <c r="FB170">
        <f t="shared" si="3240"/>
        <v>0.94</v>
      </c>
      <c r="FC170">
        <f t="shared" si="3241"/>
        <v>1.72</v>
      </c>
      <c r="FD170">
        <f t="shared" si="3242"/>
        <v>1.32</v>
      </c>
      <c r="FE170">
        <f t="shared" si="3243"/>
        <v>0.4</v>
      </c>
      <c r="FF170">
        <f t="shared" si="3244"/>
        <v>0.18</v>
      </c>
      <c r="FG170">
        <f t="shared" si="3245"/>
        <v>0.86</v>
      </c>
      <c r="FH170">
        <f t="shared" si="3246"/>
        <v>0.68</v>
      </c>
      <c r="FI170">
        <f t="shared" si="3247"/>
        <v>1.1200000000000001</v>
      </c>
      <c r="FJ170">
        <f t="shared" si="3248"/>
        <v>0.5</v>
      </c>
      <c r="FK170">
        <f t="shared" si="3249"/>
        <v>0.46</v>
      </c>
      <c r="FL170">
        <f t="shared" si="3250"/>
        <v>0.57999999999999996</v>
      </c>
      <c r="FM170">
        <f t="shared" si="3251"/>
        <v>1.3</v>
      </c>
      <c r="FN170">
        <f t="shared" si="3252"/>
        <v>3.74</v>
      </c>
      <c r="FO170">
        <f t="shared" si="3253"/>
        <v>0.34</v>
      </c>
      <c r="FP170">
        <f t="shared" si="3254"/>
        <v>1.8</v>
      </c>
      <c r="FQ170">
        <f t="shared" si="3255"/>
        <v>0.98</v>
      </c>
      <c r="FR170">
        <f t="shared" si="3256"/>
        <v>0</v>
      </c>
      <c r="FS170">
        <f t="shared" si="3257"/>
        <v>0</v>
      </c>
      <c r="FT170">
        <f t="shared" si="3258"/>
        <v>0</v>
      </c>
      <c r="FU170">
        <f t="shared" si="3259"/>
        <v>0</v>
      </c>
      <c r="FV170">
        <f t="shared" si="3260"/>
        <v>0</v>
      </c>
      <c r="FW170">
        <f t="shared" si="3261"/>
        <v>2.2000000000000002E-2</v>
      </c>
    </row>
    <row r="171" spans="1:179" x14ac:dyDescent="0.35">
      <c r="C171">
        <f>SUM(C160:C170)</f>
        <v>100</v>
      </c>
      <c r="CN171">
        <f>SUM(CN160:CN170)</f>
        <v>152.92999999999998</v>
      </c>
      <c r="CO171">
        <f t="shared" ref="CO171:EZ171" si="3262">SUM(CO160:CO170)</f>
        <v>640.77</v>
      </c>
      <c r="CP171">
        <f t="shared" si="3262"/>
        <v>7.9240000000000004</v>
      </c>
      <c r="CQ171">
        <f t="shared" si="3262"/>
        <v>5.9459999999999997</v>
      </c>
      <c r="CR171">
        <f t="shared" si="3262"/>
        <v>1.978</v>
      </c>
      <c r="CS171">
        <f t="shared" si="3262"/>
        <v>8.277000000000001</v>
      </c>
      <c r="CT171">
        <f t="shared" si="3262"/>
        <v>5.0869999999999997</v>
      </c>
      <c r="CU171">
        <f t="shared" si="3262"/>
        <v>3.1900000000000004</v>
      </c>
      <c r="CV171">
        <f t="shared" si="3262"/>
        <v>34.68</v>
      </c>
      <c r="CW171">
        <f t="shared" si="3262"/>
        <v>11.968</v>
      </c>
      <c r="CX171">
        <f t="shared" si="3262"/>
        <v>9.0039999999999996</v>
      </c>
      <c r="CY171">
        <f t="shared" si="3262"/>
        <v>2.9639999999999995</v>
      </c>
      <c r="CZ171">
        <f t="shared" si="3262"/>
        <v>1.04</v>
      </c>
      <c r="DA171">
        <f t="shared" si="3262"/>
        <v>0</v>
      </c>
      <c r="DB171">
        <f t="shared" si="3262"/>
        <v>70.211000000000013</v>
      </c>
      <c r="DC171">
        <f t="shared" si="3262"/>
        <v>0.86100000000000021</v>
      </c>
      <c r="DD171">
        <f t="shared" si="3262"/>
        <v>78.62</v>
      </c>
      <c r="DE171">
        <f t="shared" si="3262"/>
        <v>68.125</v>
      </c>
      <c r="DF171">
        <f t="shared" si="3262"/>
        <v>212.67500000000004</v>
      </c>
      <c r="DG171">
        <f t="shared" si="3262"/>
        <v>113.12999999999998</v>
      </c>
      <c r="DH171">
        <f t="shared" si="3262"/>
        <v>1.1374500000000003</v>
      </c>
      <c r="DI171">
        <f t="shared" si="3262"/>
        <v>22.294999999999998</v>
      </c>
      <c r="DJ171">
        <f t="shared" si="3262"/>
        <v>4.3200000000000002E-2</v>
      </c>
      <c r="DK171">
        <f t="shared" si="3262"/>
        <v>1.7264999999999999</v>
      </c>
      <c r="DL171">
        <f t="shared" si="3262"/>
        <v>74.814999999999998</v>
      </c>
      <c r="DM171">
        <f t="shared" si="3262"/>
        <v>7.5349999999999993</v>
      </c>
      <c r="DN171">
        <f t="shared" si="3262"/>
        <v>7.5050000000000006E-2</v>
      </c>
      <c r="DO171">
        <f t="shared" si="3262"/>
        <v>70.934999999999988</v>
      </c>
      <c r="DP171">
        <f t="shared" si="3262"/>
        <v>5.4500000000000007E-2</v>
      </c>
      <c r="DQ171">
        <f t="shared" si="3262"/>
        <v>0.1055</v>
      </c>
      <c r="DR171">
        <f t="shared" si="3262"/>
        <v>7.0200000000000005</v>
      </c>
      <c r="DS171">
        <f t="shared" si="3262"/>
        <v>1.3646</v>
      </c>
      <c r="DT171">
        <f t="shared" si="3262"/>
        <v>0.18464999999999998</v>
      </c>
      <c r="DU171">
        <f t="shared" si="3262"/>
        <v>15.885</v>
      </c>
      <c r="DV171">
        <f t="shared" si="3262"/>
        <v>0.33545000000000003</v>
      </c>
      <c r="DW171">
        <f t="shared" si="3262"/>
        <v>1.4555</v>
      </c>
      <c r="DX171">
        <f t="shared" si="3262"/>
        <v>0.63200000000000001</v>
      </c>
      <c r="DY171">
        <f t="shared" si="3262"/>
        <v>159.93000000000004</v>
      </c>
      <c r="DZ171">
        <f t="shared" si="3262"/>
        <v>32.870000000000005</v>
      </c>
      <c r="EA171">
        <f t="shared" si="3262"/>
        <v>762.18999999999983</v>
      </c>
      <c r="EB171">
        <f t="shared" si="3262"/>
        <v>1.0941000000000001</v>
      </c>
      <c r="EC171">
        <f t="shared" si="3262"/>
        <v>0.17699999999999999</v>
      </c>
      <c r="ED171">
        <f t="shared" si="3262"/>
        <v>2.3826000000000001</v>
      </c>
      <c r="EE171">
        <f t="shared" si="3262"/>
        <v>2.9276</v>
      </c>
      <c r="EF171">
        <f t="shared" si="3262"/>
        <v>0.26300000000000001</v>
      </c>
      <c r="EG171">
        <f t="shared" si="3262"/>
        <v>8.72E-2</v>
      </c>
      <c r="EH171">
        <f t="shared" si="3262"/>
        <v>0.34090000000000004</v>
      </c>
      <c r="EI171">
        <f t="shared" si="3262"/>
        <v>1.4520000000000002</v>
      </c>
      <c r="EJ171">
        <f t="shared" si="3262"/>
        <v>0.6621999999999999</v>
      </c>
      <c r="EK171">
        <f t="shared" si="3262"/>
        <v>2.29E-2</v>
      </c>
      <c r="EL171">
        <f t="shared" si="3262"/>
        <v>0</v>
      </c>
      <c r="EM171">
        <f t="shared" si="3262"/>
        <v>3.7111000000000005</v>
      </c>
      <c r="EN171">
        <f t="shared" si="3262"/>
        <v>8.1199999999999994E-2</v>
      </c>
      <c r="EO171">
        <f t="shared" si="3262"/>
        <v>0.1283</v>
      </c>
      <c r="EP171">
        <f t="shared" si="3262"/>
        <v>3.3694000000000006</v>
      </c>
      <c r="EQ171">
        <f t="shared" si="3262"/>
        <v>1.7599999999999998E-2</v>
      </c>
      <c r="ER171">
        <f t="shared" si="3262"/>
        <v>4.3799999999999999E-2</v>
      </c>
      <c r="ES171">
        <f t="shared" si="3262"/>
        <v>0.84650000000000003</v>
      </c>
      <c r="ET171">
        <f t="shared" si="3262"/>
        <v>0.57330000000000003</v>
      </c>
      <c r="EU171">
        <f t="shared" si="3262"/>
        <v>9.6899999999999986E-2</v>
      </c>
      <c r="EV171">
        <f t="shared" si="3262"/>
        <v>6.54E-2</v>
      </c>
      <c r="EW171">
        <f t="shared" si="3262"/>
        <v>2.3799999999999998E-2</v>
      </c>
      <c r="EX171">
        <f t="shared" si="3262"/>
        <v>2.3799999999999998E-2</v>
      </c>
      <c r="EY171">
        <f t="shared" si="3262"/>
        <v>6.3600000000000004E-2</v>
      </c>
      <c r="EZ171">
        <f t="shared" si="3262"/>
        <v>84.679999999999993</v>
      </c>
      <c r="FA171">
        <f t="shared" ref="FA171:FW171" si="3263">SUM(FA160:FA170)</f>
        <v>292.34999999999997</v>
      </c>
      <c r="FB171">
        <f t="shared" si="3263"/>
        <v>329.46000000000004</v>
      </c>
      <c r="FC171">
        <f t="shared" si="3263"/>
        <v>624.43000000000006</v>
      </c>
      <c r="FD171">
        <f t="shared" si="3263"/>
        <v>551.07999999999993</v>
      </c>
      <c r="FE171">
        <f t="shared" si="3263"/>
        <v>195.39</v>
      </c>
      <c r="FF171">
        <f t="shared" si="3263"/>
        <v>95.649999999999991</v>
      </c>
      <c r="FG171">
        <f t="shared" si="3263"/>
        <v>341.03000000000003</v>
      </c>
      <c r="FH171">
        <f t="shared" si="3263"/>
        <v>288.67</v>
      </c>
      <c r="FI171">
        <f t="shared" si="3263"/>
        <v>384.27000000000004</v>
      </c>
      <c r="FJ171">
        <f t="shared" si="3263"/>
        <v>376.4500000000001</v>
      </c>
      <c r="FK171">
        <f t="shared" si="3263"/>
        <v>240.58</v>
      </c>
      <c r="FL171">
        <f t="shared" si="3263"/>
        <v>365.07</v>
      </c>
      <c r="FM171">
        <f t="shared" si="3263"/>
        <v>657.88999999999987</v>
      </c>
      <c r="FN171">
        <f t="shared" si="3263"/>
        <v>1477.7</v>
      </c>
      <c r="FO171">
        <f t="shared" si="3263"/>
        <v>301.75000000000006</v>
      </c>
      <c r="FP171">
        <f t="shared" si="3263"/>
        <v>520.04999999999995</v>
      </c>
      <c r="FQ171">
        <f t="shared" si="3263"/>
        <v>365.37000000000006</v>
      </c>
      <c r="FR171">
        <f t="shared" si="3263"/>
        <v>1E-3</v>
      </c>
      <c r="FS171">
        <f t="shared" si="3263"/>
        <v>1E-3</v>
      </c>
      <c r="FT171">
        <f t="shared" si="3263"/>
        <v>0</v>
      </c>
      <c r="FU171">
        <f t="shared" si="3263"/>
        <v>0.182</v>
      </c>
      <c r="FV171">
        <f t="shared" si="3263"/>
        <v>3.9E-2</v>
      </c>
      <c r="FW171">
        <f t="shared" si="3263"/>
        <v>0.87</v>
      </c>
    </row>
    <row r="173" spans="1:179" x14ac:dyDescent="0.35">
      <c r="A173" s="80" t="s">
        <v>411</v>
      </c>
      <c r="B173" s="71" t="s">
        <v>210</v>
      </c>
      <c r="C173">
        <v>62</v>
      </c>
      <c r="D173" s="54">
        <v>80</v>
      </c>
      <c r="E173" s="54">
        <v>340</v>
      </c>
      <c r="F173" s="54">
        <v>2.1</v>
      </c>
      <c r="G173" s="54">
        <v>0</v>
      </c>
      <c r="H173" s="54">
        <v>2.1</v>
      </c>
      <c r="I173" s="54">
        <v>0.1</v>
      </c>
      <c r="J173" s="54">
        <v>0</v>
      </c>
      <c r="K173" s="54">
        <v>0.1</v>
      </c>
      <c r="L173" s="54">
        <v>0</v>
      </c>
      <c r="M173" s="54">
        <v>18</v>
      </c>
      <c r="N173" s="54">
        <v>17.600000000000001</v>
      </c>
      <c r="O173" s="54">
        <v>0.4</v>
      </c>
      <c r="P173" s="54">
        <v>1.6</v>
      </c>
      <c r="Q173" s="54">
        <v>0</v>
      </c>
      <c r="R173" s="54">
        <v>78.5</v>
      </c>
      <c r="S173" s="54">
        <v>0.6</v>
      </c>
      <c r="T173" s="54">
        <v>10</v>
      </c>
      <c r="U173" s="54">
        <v>7</v>
      </c>
      <c r="V173" s="54">
        <v>570</v>
      </c>
      <c r="W173" s="54">
        <v>54</v>
      </c>
      <c r="X173" s="54">
        <v>0.27</v>
      </c>
      <c r="Y173" s="81">
        <v>0</v>
      </c>
      <c r="Z173" s="81">
        <v>0</v>
      </c>
      <c r="AA173" s="81">
        <v>0</v>
      </c>
      <c r="AB173" s="81">
        <v>0</v>
      </c>
      <c r="AC173" s="81">
        <v>0</v>
      </c>
      <c r="AD173" s="81">
        <v>0</v>
      </c>
      <c r="AE173" s="81">
        <v>0</v>
      </c>
      <c r="AF173" s="54">
        <v>0.1</v>
      </c>
      <c r="AG173" s="54">
        <v>0.04</v>
      </c>
      <c r="AH173" s="54">
        <v>15</v>
      </c>
      <c r="AI173" s="54">
        <v>2.5</v>
      </c>
      <c r="AJ173" s="54">
        <v>0.44</v>
      </c>
      <c r="AK173" s="54">
        <v>35</v>
      </c>
      <c r="AL173" s="81">
        <v>0</v>
      </c>
      <c r="AM173" s="81">
        <v>0</v>
      </c>
      <c r="AN173" s="81">
        <v>0</v>
      </c>
      <c r="AO173" s="54">
        <v>3</v>
      </c>
      <c r="AP173" s="54">
        <v>0</v>
      </c>
      <c r="AQ173" s="54">
        <v>18</v>
      </c>
      <c r="AR173" s="54">
        <v>0.06</v>
      </c>
      <c r="AS173" s="54">
        <v>0</v>
      </c>
      <c r="AT173" s="81">
        <v>0</v>
      </c>
      <c r="AU173" s="54">
        <v>0.03</v>
      </c>
      <c r="AV173" s="81">
        <v>0</v>
      </c>
      <c r="AW173" s="81">
        <v>0</v>
      </c>
      <c r="AX173" s="81">
        <v>0</v>
      </c>
      <c r="AY173" s="81">
        <v>0</v>
      </c>
      <c r="AZ173" s="81">
        <v>0</v>
      </c>
      <c r="BA173" s="81">
        <v>0</v>
      </c>
      <c r="BB173" s="81">
        <v>0</v>
      </c>
      <c r="BC173" s="54">
        <v>0.01</v>
      </c>
      <c r="BD173" s="82">
        <v>0</v>
      </c>
      <c r="BE173" s="82">
        <v>0</v>
      </c>
      <c r="BF173" s="54">
        <v>0.01</v>
      </c>
      <c r="BG173" s="82">
        <v>0</v>
      </c>
      <c r="BH173" s="82">
        <v>0</v>
      </c>
      <c r="BI173" s="54">
        <v>0.01</v>
      </c>
      <c r="BJ173" s="54">
        <v>0.01</v>
      </c>
      <c r="BK173" s="51">
        <v>5.0000000000000001E-3</v>
      </c>
      <c r="BL173" s="82">
        <v>0</v>
      </c>
      <c r="BM173" s="82">
        <v>0</v>
      </c>
      <c r="BN173" s="82">
        <v>0</v>
      </c>
      <c r="BO173" s="54">
        <v>0</v>
      </c>
      <c r="BP173" s="56">
        <v>28</v>
      </c>
      <c r="BQ173" s="56">
        <v>83</v>
      </c>
      <c r="BR173" s="56">
        <v>92</v>
      </c>
      <c r="BS173" s="56">
        <v>122</v>
      </c>
      <c r="BT173" s="56">
        <v>115</v>
      </c>
      <c r="BU173" s="56">
        <v>34</v>
      </c>
      <c r="BV173" s="56">
        <v>22</v>
      </c>
      <c r="BW173" s="56">
        <v>93</v>
      </c>
      <c r="BX173" s="56">
        <v>61</v>
      </c>
      <c r="BY173" s="56">
        <v>116</v>
      </c>
      <c r="BZ173" s="56">
        <v>104</v>
      </c>
      <c r="CA173" s="56">
        <v>36</v>
      </c>
      <c r="CB173" s="56">
        <v>92</v>
      </c>
      <c r="CC173" s="56">
        <v>334</v>
      </c>
      <c r="CD173" s="56">
        <v>348</v>
      </c>
      <c r="CE173" s="56">
        <v>58</v>
      </c>
      <c r="CF173" s="56">
        <v>76</v>
      </c>
      <c r="CG173" s="56">
        <v>76</v>
      </c>
      <c r="CH173" s="81">
        <v>0</v>
      </c>
      <c r="CI173" s="81">
        <v>0</v>
      </c>
      <c r="CJ173" s="83">
        <v>0</v>
      </c>
      <c r="CK173" s="81">
        <v>0</v>
      </c>
      <c r="CL173" s="81">
        <v>0</v>
      </c>
      <c r="CM173" s="83">
        <v>0</v>
      </c>
      <c r="CN173">
        <f t="shared" ref="CN173" si="3264">($C173*D173)/100</f>
        <v>49.6</v>
      </c>
      <c r="CO173">
        <f t="shared" ref="CO173" si="3265">($C173*E173)/100</f>
        <v>210.8</v>
      </c>
      <c r="CP173">
        <f t="shared" ref="CP173" si="3266">($C173*F173)/100</f>
        <v>1.3020000000000003</v>
      </c>
      <c r="CQ173">
        <f t="shared" ref="CQ173" si="3267">($C173*G173)/100</f>
        <v>0</v>
      </c>
      <c r="CR173">
        <f t="shared" ref="CR173" si="3268">($C173*H173)/100</f>
        <v>1.3020000000000003</v>
      </c>
      <c r="CS173">
        <f t="shared" ref="CS173" si="3269">($C173*I173)/100</f>
        <v>6.2E-2</v>
      </c>
      <c r="CT173">
        <f t="shared" ref="CT173" si="3270">($C173*J173)/100</f>
        <v>0</v>
      </c>
      <c r="CU173">
        <f t="shared" ref="CU173" si="3271">($C173*K173)/100</f>
        <v>6.2E-2</v>
      </c>
      <c r="CV173">
        <f t="shared" ref="CV173" si="3272">($C173*L173)/100</f>
        <v>0</v>
      </c>
      <c r="CW173">
        <f t="shared" ref="CW173" si="3273">($C173*M173)/100</f>
        <v>11.16</v>
      </c>
      <c r="CX173">
        <f t="shared" ref="CX173" si="3274">($C173*N173)/100</f>
        <v>10.912000000000001</v>
      </c>
      <c r="CY173">
        <f t="shared" ref="CY173" si="3275">($C173*O173)/100</f>
        <v>0.248</v>
      </c>
      <c r="CZ173">
        <f t="shared" ref="CZ173" si="3276">($C173*P173)/100</f>
        <v>0.99199999999999999</v>
      </c>
      <c r="DA173">
        <f t="shared" ref="DA173" si="3277">($C173*Q173)/100</f>
        <v>0</v>
      </c>
      <c r="DB173">
        <f t="shared" ref="DB173" si="3278">($C173*R173)/100</f>
        <v>48.67</v>
      </c>
      <c r="DC173">
        <f t="shared" ref="DC173" si="3279">($C173*S173)/100</f>
        <v>0.37199999999999994</v>
      </c>
      <c r="DD173">
        <f t="shared" ref="DD173" si="3280">($C173*T173)/100</f>
        <v>6.2</v>
      </c>
      <c r="DE173">
        <f t="shared" ref="DE173" si="3281">($C173*U173)/100</f>
        <v>4.34</v>
      </c>
      <c r="DF173">
        <f t="shared" ref="DF173" si="3282">($C173*V173)/100</f>
        <v>353.4</v>
      </c>
      <c r="DG173">
        <f t="shared" ref="DG173" si="3283">($C173*W173)/100</f>
        <v>33.479999999999997</v>
      </c>
      <c r="DH173">
        <f t="shared" ref="DH173" si="3284">($C173*X173)/100</f>
        <v>0.16740000000000002</v>
      </c>
      <c r="DI173">
        <f t="shared" ref="DI173" si="3285">($C173*Y173)/100</f>
        <v>0</v>
      </c>
      <c r="DJ173">
        <f t="shared" ref="DJ173" si="3286">($C173*Z173)/100</f>
        <v>0</v>
      </c>
      <c r="DK173">
        <f t="shared" ref="DK173" si="3287">($C173*AA173)/100</f>
        <v>0</v>
      </c>
      <c r="DL173">
        <f t="shared" ref="DL173" si="3288">($C173*AB173)/100</f>
        <v>0</v>
      </c>
      <c r="DM173">
        <f t="shared" ref="DM173" si="3289">($C173*AC173)/100</f>
        <v>0</v>
      </c>
      <c r="DN173">
        <f t="shared" ref="DN173" si="3290">($C173*AD173)/100</f>
        <v>0</v>
      </c>
      <c r="DO173">
        <f t="shared" ref="DO173" si="3291">($C173*AE173)/100</f>
        <v>0</v>
      </c>
      <c r="DP173">
        <f t="shared" ref="DP173" si="3292">($C173*AF173)/100</f>
        <v>6.2E-2</v>
      </c>
      <c r="DQ173">
        <f t="shared" ref="DQ173" si="3293">($C173*AG173)/100</f>
        <v>2.4799999999999999E-2</v>
      </c>
      <c r="DR173">
        <f t="shared" ref="DR173" si="3294">($C173*AH173)/100</f>
        <v>9.3000000000000007</v>
      </c>
      <c r="DS173">
        <f t="shared" ref="DS173" si="3295">($C173*AI173)/100</f>
        <v>1.55</v>
      </c>
      <c r="DT173">
        <f t="shared" ref="DT173" si="3296">($C173*AJ173)/100</f>
        <v>0.27279999999999999</v>
      </c>
      <c r="DU173">
        <f t="shared" ref="DU173" si="3297">($C173*AK173)/100</f>
        <v>21.7</v>
      </c>
      <c r="DV173">
        <f t="shared" ref="DV173" si="3298">($C173*AL173)/100</f>
        <v>0</v>
      </c>
      <c r="DW173">
        <f t="shared" ref="DW173" si="3299">($C173*AM173)/100</f>
        <v>0</v>
      </c>
      <c r="DX173">
        <f t="shared" ref="DX173" si="3300">($C173*AN173)/100</f>
        <v>0</v>
      </c>
      <c r="DY173">
        <f t="shared" ref="DY173" si="3301">($C173*AO173)/100</f>
        <v>1.86</v>
      </c>
      <c r="DZ173">
        <f t="shared" ref="DZ173" si="3302">($C173*AP173)/100</f>
        <v>0</v>
      </c>
      <c r="EA173">
        <f t="shared" ref="EA173" si="3303">($C173*AQ173)/100</f>
        <v>11.16</v>
      </c>
      <c r="EB173">
        <f t="shared" ref="EB173" si="3304">($C173*AR173)/100</f>
        <v>3.7199999999999997E-2</v>
      </c>
      <c r="EC173">
        <f t="shared" ref="EC173" si="3305">($C173*AS173)/100</f>
        <v>0</v>
      </c>
      <c r="ED173">
        <f t="shared" ref="ED173" si="3306">($C173*AT173)/100</f>
        <v>0</v>
      </c>
      <c r="EE173">
        <f t="shared" ref="EE173" si="3307">($C173*AU173)/100</f>
        <v>1.8599999999999998E-2</v>
      </c>
      <c r="EF173">
        <f t="shared" ref="EF173" si="3308">($C173*AV173)/100</f>
        <v>0</v>
      </c>
      <c r="EG173">
        <f t="shared" ref="EG173" si="3309">($C173*AW173)/100</f>
        <v>0</v>
      </c>
      <c r="EH173">
        <f t="shared" ref="EH173" si="3310">($C173*AX173)/100</f>
        <v>0</v>
      </c>
      <c r="EI173">
        <f t="shared" ref="EI173" si="3311">($C173*AY173)/100</f>
        <v>0</v>
      </c>
      <c r="EJ173">
        <f t="shared" ref="EJ173" si="3312">($C173*AZ173)/100</f>
        <v>0</v>
      </c>
      <c r="EK173">
        <f t="shared" ref="EK173" si="3313">($C173*BA173)/100</f>
        <v>0</v>
      </c>
      <c r="EL173">
        <f t="shared" ref="EL173" si="3314">($C173*BB173)/100</f>
        <v>0</v>
      </c>
      <c r="EM173">
        <f t="shared" ref="EM173" si="3315">($C173*BC173)/100</f>
        <v>6.1999999999999998E-3</v>
      </c>
      <c r="EN173">
        <f t="shared" ref="EN173" si="3316">($C173*BD173)/100</f>
        <v>0</v>
      </c>
      <c r="EO173">
        <f t="shared" ref="EO173" si="3317">($C173*BE173)/100</f>
        <v>0</v>
      </c>
      <c r="EP173">
        <f t="shared" ref="EP173" si="3318">($C173*BF173)/100</f>
        <v>6.1999999999999998E-3</v>
      </c>
      <c r="EQ173">
        <f t="shared" ref="EQ173" si="3319">($C173*BG173)/100</f>
        <v>0</v>
      </c>
      <c r="ER173">
        <f t="shared" ref="ER173" si="3320">($C173*BH173)/100</f>
        <v>0</v>
      </c>
      <c r="ES173">
        <f t="shared" ref="ES173" si="3321">($C173*BI173)/100</f>
        <v>6.1999999999999998E-3</v>
      </c>
      <c r="ET173">
        <f t="shared" ref="ET173" si="3322">($C173*BJ173)/100</f>
        <v>6.1999999999999998E-3</v>
      </c>
      <c r="EU173">
        <f t="shared" ref="EU173" si="3323">($C173*BK173)/100</f>
        <v>3.0999999999999999E-3</v>
      </c>
      <c r="EV173">
        <f t="shared" ref="EV173" si="3324">($C173*BL173)/100</f>
        <v>0</v>
      </c>
      <c r="EW173">
        <f t="shared" ref="EW173" si="3325">($C173*BM173)/100</f>
        <v>0</v>
      </c>
      <c r="EX173">
        <f t="shared" ref="EX173" si="3326">($C173*BN173)/100</f>
        <v>0</v>
      </c>
      <c r="EY173">
        <f t="shared" ref="EY173" si="3327">($C173*BO173)/100</f>
        <v>0</v>
      </c>
      <c r="EZ173">
        <f t="shared" ref="EZ173" si="3328">($C173*BP173)/100</f>
        <v>17.36</v>
      </c>
      <c r="FA173">
        <f t="shared" ref="FA173" si="3329">($C173*BQ173)/100</f>
        <v>51.46</v>
      </c>
      <c r="FB173">
        <f t="shared" ref="FB173" si="3330">($C173*BR173)/100</f>
        <v>57.04</v>
      </c>
      <c r="FC173">
        <f t="shared" ref="FC173" si="3331">($C173*BS173)/100</f>
        <v>75.64</v>
      </c>
      <c r="FD173">
        <f t="shared" ref="FD173" si="3332">($C173*BT173)/100</f>
        <v>71.3</v>
      </c>
      <c r="FE173">
        <f t="shared" ref="FE173" si="3333">($C173*BU173)/100</f>
        <v>21.08</v>
      </c>
      <c r="FF173">
        <f t="shared" ref="FF173" si="3334">($C173*BV173)/100</f>
        <v>13.64</v>
      </c>
      <c r="FG173">
        <f t="shared" ref="FG173" si="3335">($C173*BW173)/100</f>
        <v>57.66</v>
      </c>
      <c r="FH173">
        <f t="shared" ref="FH173" si="3336">($C173*BX173)/100</f>
        <v>37.82</v>
      </c>
      <c r="FI173">
        <f t="shared" ref="FI173" si="3337">($C173*BY173)/100</f>
        <v>71.92</v>
      </c>
      <c r="FJ173">
        <f t="shared" ref="FJ173" si="3338">($C173*BZ173)/100</f>
        <v>64.48</v>
      </c>
      <c r="FK173">
        <f t="shared" ref="FK173" si="3339">($C173*CA173)/100</f>
        <v>22.32</v>
      </c>
      <c r="FL173">
        <f t="shared" ref="FL173" si="3340">($C173*CB173)/100</f>
        <v>57.04</v>
      </c>
      <c r="FM173">
        <f t="shared" ref="FM173" si="3341">($C173*CC173)/100</f>
        <v>207.08</v>
      </c>
      <c r="FN173">
        <f t="shared" ref="FN173" si="3342">($C173*CD173)/100</f>
        <v>215.76</v>
      </c>
      <c r="FO173">
        <f t="shared" ref="FO173" si="3343">($C173*CE173)/100</f>
        <v>35.96</v>
      </c>
      <c r="FP173">
        <f t="shared" ref="FP173" si="3344">($C173*CF173)/100</f>
        <v>47.12</v>
      </c>
      <c r="FQ173">
        <f t="shared" ref="FQ173" si="3345">($C173*CG173)/100</f>
        <v>47.12</v>
      </c>
      <c r="FR173">
        <f t="shared" ref="FR173" si="3346">($C173*CH173)/100</f>
        <v>0</v>
      </c>
      <c r="FS173">
        <f t="shared" ref="FS173" si="3347">($C173*CI173)/100</f>
        <v>0</v>
      </c>
      <c r="FT173">
        <f t="shared" ref="FT173" si="3348">($C173*CJ173)/100</f>
        <v>0</v>
      </c>
      <c r="FU173">
        <f t="shared" ref="FU173" si="3349">($C173*CK173)/100</f>
        <v>0</v>
      </c>
      <c r="FV173">
        <f t="shared" ref="FV173" si="3350">($C173*CL173)/100</f>
        <v>0</v>
      </c>
      <c r="FW173">
        <f t="shared" ref="FW173" si="3351">($C173*CM173)/100</f>
        <v>0</v>
      </c>
    </row>
    <row r="174" spans="1:179" x14ac:dyDescent="0.35">
      <c r="B174" s="72" t="s">
        <v>412</v>
      </c>
      <c r="C174">
        <v>34</v>
      </c>
      <c r="D174" s="6">
        <v>64</v>
      </c>
      <c r="E174" s="6">
        <v>268</v>
      </c>
      <c r="F174" s="6">
        <v>3.3</v>
      </c>
      <c r="G174" s="6">
        <v>3.3</v>
      </c>
      <c r="H174" s="6">
        <v>0</v>
      </c>
      <c r="I174" s="6">
        <v>3.6</v>
      </c>
      <c r="J174" s="6">
        <v>3.6</v>
      </c>
      <c r="K174" s="6">
        <v>0</v>
      </c>
      <c r="L174" s="6">
        <v>11</v>
      </c>
      <c r="M174" s="6">
        <v>4.9000000000000004</v>
      </c>
      <c r="N174" s="6">
        <v>0</v>
      </c>
      <c r="O174" s="6">
        <v>4.9000000000000004</v>
      </c>
      <c r="P174" s="6">
        <v>0</v>
      </c>
      <c r="Q174" s="6">
        <v>0</v>
      </c>
      <c r="R174" s="6">
        <v>87</v>
      </c>
      <c r="S174" s="6">
        <v>0.1</v>
      </c>
      <c r="T174" s="6">
        <v>119</v>
      </c>
      <c r="U174" s="6">
        <v>50</v>
      </c>
      <c r="V174" s="6">
        <v>150</v>
      </c>
      <c r="W174" s="6">
        <v>93</v>
      </c>
      <c r="X174" s="6">
        <v>0.38</v>
      </c>
      <c r="Y174" s="6">
        <v>12</v>
      </c>
      <c r="Z174" s="6">
        <v>0.02</v>
      </c>
      <c r="AA174" s="6">
        <v>1.6</v>
      </c>
      <c r="AB174" s="6">
        <v>100</v>
      </c>
      <c r="AC174" s="6">
        <v>15</v>
      </c>
      <c r="AD174" s="51">
        <v>5.0000000000000001E-3</v>
      </c>
      <c r="AE174" s="6">
        <v>30</v>
      </c>
      <c r="AF174" s="6">
        <v>0.04</v>
      </c>
      <c r="AG174" s="6">
        <v>0.18</v>
      </c>
      <c r="AH174" s="6">
        <v>1</v>
      </c>
      <c r="AI174" s="6">
        <v>0.1</v>
      </c>
      <c r="AJ174" s="6">
        <v>0.06</v>
      </c>
      <c r="AK174" s="6">
        <v>6</v>
      </c>
      <c r="AL174" s="6">
        <v>0.35</v>
      </c>
      <c r="AM174" s="6">
        <v>1.9</v>
      </c>
      <c r="AN174" s="6">
        <v>0.4</v>
      </c>
      <c r="AO174" s="6">
        <v>43</v>
      </c>
      <c r="AP174" s="6">
        <v>40</v>
      </c>
      <c r="AQ174" s="6">
        <v>20</v>
      </c>
      <c r="AR174" s="6">
        <v>7.0000000000000007E-2</v>
      </c>
      <c r="AS174" s="6">
        <v>0.03</v>
      </c>
      <c r="AT174" s="6">
        <v>0.6</v>
      </c>
      <c r="AU174" s="6">
        <v>2.11</v>
      </c>
      <c r="AV174" s="6">
        <v>0.32</v>
      </c>
      <c r="AW174" s="6">
        <v>0.11</v>
      </c>
      <c r="AX174" s="6">
        <v>0.37</v>
      </c>
      <c r="AY174" s="6">
        <v>0.92</v>
      </c>
      <c r="AZ174" s="6">
        <v>0.39</v>
      </c>
      <c r="BA174" s="6">
        <v>0</v>
      </c>
      <c r="BB174" s="6">
        <v>0</v>
      </c>
      <c r="BC174" s="6">
        <v>1.1000000000000001</v>
      </c>
      <c r="BD174" s="6">
        <v>7.0000000000000007E-2</v>
      </c>
      <c r="BE174" s="6">
        <v>0.1</v>
      </c>
      <c r="BF174" s="6">
        <v>0.93</v>
      </c>
      <c r="BG174" s="6">
        <v>0</v>
      </c>
      <c r="BH174" s="6">
        <v>0</v>
      </c>
      <c r="BI174" s="6">
        <v>0.12</v>
      </c>
      <c r="BJ174" s="6">
        <v>7.0000000000000007E-2</v>
      </c>
      <c r="BK174" s="6">
        <v>0.05</v>
      </c>
      <c r="BL174" s="6">
        <v>0</v>
      </c>
      <c r="BM174" s="6">
        <v>0</v>
      </c>
      <c r="BN174" s="6">
        <v>0</v>
      </c>
      <c r="BO174" s="6">
        <v>0</v>
      </c>
      <c r="BP174" s="7">
        <v>50</v>
      </c>
      <c r="BQ174" s="7">
        <v>164</v>
      </c>
      <c r="BR174" s="7">
        <v>192</v>
      </c>
      <c r="BS174" s="7">
        <v>355</v>
      </c>
      <c r="BT174" s="7">
        <v>272</v>
      </c>
      <c r="BU174" s="7">
        <v>81</v>
      </c>
      <c r="BV174" s="7">
        <v>37</v>
      </c>
      <c r="BW174" s="7">
        <v>176</v>
      </c>
      <c r="BX174" s="7">
        <v>142</v>
      </c>
      <c r="BY174" s="7">
        <v>233</v>
      </c>
      <c r="BZ174" s="7">
        <v>105</v>
      </c>
      <c r="CA174" s="7">
        <v>93</v>
      </c>
      <c r="CB174" s="7">
        <v>119</v>
      </c>
      <c r="CC174" s="7">
        <v>269</v>
      </c>
      <c r="CD174" s="7">
        <v>771</v>
      </c>
      <c r="CE174" s="7">
        <v>70</v>
      </c>
      <c r="CF174" s="7">
        <v>371</v>
      </c>
      <c r="CG174" s="7">
        <v>203</v>
      </c>
      <c r="CH174" s="6">
        <v>0</v>
      </c>
      <c r="CI174" s="6">
        <v>0</v>
      </c>
      <c r="CJ174" s="6">
        <v>0</v>
      </c>
      <c r="CK174" s="6">
        <v>0</v>
      </c>
      <c r="CL174" s="6">
        <v>0</v>
      </c>
      <c r="CM174" s="6">
        <v>4.9000000000000004</v>
      </c>
      <c r="CN174">
        <f t="shared" ref="CN174" si="3352">($C174*D174)/100</f>
        <v>21.76</v>
      </c>
      <c r="CO174">
        <f t="shared" ref="CO174" si="3353">($C174*E174)/100</f>
        <v>91.12</v>
      </c>
      <c r="CP174">
        <f t="shared" ref="CP174" si="3354">($C174*F174)/100</f>
        <v>1.1219999999999999</v>
      </c>
      <c r="CQ174">
        <f t="shared" ref="CQ174" si="3355">($C174*G174)/100</f>
        <v>1.1219999999999999</v>
      </c>
      <c r="CR174">
        <f t="shared" ref="CR174" si="3356">($C174*H174)/100</f>
        <v>0</v>
      </c>
      <c r="CS174">
        <f t="shared" ref="CS174" si="3357">($C174*I174)/100</f>
        <v>1.224</v>
      </c>
      <c r="CT174">
        <f t="shared" ref="CT174" si="3358">($C174*J174)/100</f>
        <v>1.224</v>
      </c>
      <c r="CU174">
        <f t="shared" ref="CU174" si="3359">($C174*K174)/100</f>
        <v>0</v>
      </c>
      <c r="CV174">
        <f t="shared" ref="CV174" si="3360">($C174*L174)/100</f>
        <v>3.74</v>
      </c>
      <c r="CW174">
        <f t="shared" ref="CW174" si="3361">($C174*M174)/100</f>
        <v>1.6660000000000001</v>
      </c>
      <c r="CX174">
        <f t="shared" ref="CX174" si="3362">($C174*N174)/100</f>
        <v>0</v>
      </c>
      <c r="CY174">
        <f t="shared" ref="CY174" si="3363">($C174*O174)/100</f>
        <v>1.6660000000000001</v>
      </c>
      <c r="CZ174">
        <f t="shared" ref="CZ174" si="3364">($C174*P174)/100</f>
        <v>0</v>
      </c>
      <c r="DA174">
        <f t="shared" ref="DA174" si="3365">($C174*Q174)/100</f>
        <v>0</v>
      </c>
      <c r="DB174">
        <f t="shared" ref="DB174" si="3366">($C174*R174)/100</f>
        <v>29.58</v>
      </c>
      <c r="DC174">
        <f t="shared" ref="DC174" si="3367">($C174*S174)/100</f>
        <v>3.4000000000000002E-2</v>
      </c>
      <c r="DD174">
        <f t="shared" ref="DD174" si="3368">($C174*T174)/100</f>
        <v>40.46</v>
      </c>
      <c r="DE174">
        <f t="shared" ref="DE174" si="3369">($C174*U174)/100</f>
        <v>17</v>
      </c>
      <c r="DF174">
        <f t="shared" ref="DF174" si="3370">($C174*V174)/100</f>
        <v>51</v>
      </c>
      <c r="DG174">
        <f t="shared" ref="DG174" si="3371">($C174*W174)/100</f>
        <v>31.62</v>
      </c>
      <c r="DH174">
        <f t="shared" ref="DH174" si="3372">($C174*X174)/100</f>
        <v>0.12920000000000001</v>
      </c>
      <c r="DI174">
        <f t="shared" ref="DI174" si="3373">($C174*Y174)/100</f>
        <v>4.08</v>
      </c>
      <c r="DJ174">
        <f t="shared" ref="DJ174" si="3374">($C174*Z174)/100</f>
        <v>6.8000000000000005E-3</v>
      </c>
      <c r="DK174">
        <f t="shared" ref="DK174" si="3375">($C174*AA174)/100</f>
        <v>0.54400000000000004</v>
      </c>
      <c r="DL174">
        <f t="shared" ref="DL174" si="3376">($C174*AB174)/100</f>
        <v>34</v>
      </c>
      <c r="DM174">
        <f t="shared" ref="DM174" si="3377">($C174*AC174)/100</f>
        <v>5.0999999999999996</v>
      </c>
      <c r="DN174">
        <f t="shared" ref="DN174" si="3378">($C174*AD174)/100</f>
        <v>1.7000000000000001E-3</v>
      </c>
      <c r="DO174">
        <f t="shared" ref="DO174" si="3379">($C174*AE174)/100</f>
        <v>10.199999999999999</v>
      </c>
      <c r="DP174">
        <f t="shared" ref="DP174" si="3380">($C174*AF174)/100</f>
        <v>1.3600000000000001E-2</v>
      </c>
      <c r="DQ174">
        <f t="shared" ref="DQ174" si="3381">($C174*AG174)/100</f>
        <v>6.1200000000000004E-2</v>
      </c>
      <c r="DR174">
        <f t="shared" ref="DR174" si="3382">($C174*AH174)/100</f>
        <v>0.34</v>
      </c>
      <c r="DS174">
        <f t="shared" ref="DS174" si="3383">($C174*AI174)/100</f>
        <v>3.4000000000000002E-2</v>
      </c>
      <c r="DT174">
        <f t="shared" ref="DT174" si="3384">($C174*AJ174)/100</f>
        <v>2.0400000000000001E-2</v>
      </c>
      <c r="DU174">
        <f t="shared" ref="DU174" si="3385">($C174*AK174)/100</f>
        <v>2.04</v>
      </c>
      <c r="DV174">
        <f t="shared" ref="DV174" si="3386">($C174*AL174)/100</f>
        <v>0.11899999999999998</v>
      </c>
      <c r="DW174">
        <f t="shared" ref="DW174" si="3387">($C174*AM174)/100</f>
        <v>0.64599999999999991</v>
      </c>
      <c r="DX174">
        <f t="shared" ref="DX174" si="3388">($C174*AN174)/100</f>
        <v>0.13600000000000001</v>
      </c>
      <c r="DY174">
        <f t="shared" ref="DY174" si="3389">($C174*AO174)/100</f>
        <v>14.62</v>
      </c>
      <c r="DZ174">
        <f t="shared" ref="DZ174" si="3390">($C174*AP174)/100</f>
        <v>13.6</v>
      </c>
      <c r="EA174">
        <f t="shared" ref="EA174" si="3391">($C174*AQ174)/100</f>
        <v>6.8</v>
      </c>
      <c r="EB174">
        <f t="shared" ref="EB174" si="3392">($C174*AR174)/100</f>
        <v>2.3800000000000002E-2</v>
      </c>
      <c r="EC174">
        <f t="shared" ref="EC174" si="3393">($C174*AS174)/100</f>
        <v>1.0200000000000001E-2</v>
      </c>
      <c r="ED174">
        <f t="shared" ref="ED174" si="3394">($C174*AT174)/100</f>
        <v>0.20399999999999999</v>
      </c>
      <c r="EE174">
        <f t="shared" ref="EE174" si="3395">($C174*AU174)/100</f>
        <v>0.71739999999999993</v>
      </c>
      <c r="EF174">
        <f t="shared" ref="EF174" si="3396">($C174*AV174)/100</f>
        <v>0.10880000000000001</v>
      </c>
      <c r="EG174">
        <f t="shared" ref="EG174" si="3397">($C174*AW174)/100</f>
        <v>3.7400000000000003E-2</v>
      </c>
      <c r="EH174">
        <f t="shared" ref="EH174" si="3398">($C174*AX174)/100</f>
        <v>0.1258</v>
      </c>
      <c r="EI174">
        <f t="shared" ref="EI174" si="3399">($C174*AY174)/100</f>
        <v>0.31280000000000002</v>
      </c>
      <c r="EJ174">
        <f t="shared" ref="EJ174" si="3400">($C174*AZ174)/100</f>
        <v>0.1326</v>
      </c>
      <c r="EK174">
        <f t="shared" ref="EK174" si="3401">($C174*BA174)/100</f>
        <v>0</v>
      </c>
      <c r="EL174">
        <f t="shared" ref="EL174" si="3402">($C174*BB174)/100</f>
        <v>0</v>
      </c>
      <c r="EM174">
        <f t="shared" ref="EM174" si="3403">($C174*BC174)/100</f>
        <v>0.37400000000000005</v>
      </c>
      <c r="EN174">
        <f t="shared" ref="EN174" si="3404">($C174*BD174)/100</f>
        <v>2.3800000000000002E-2</v>
      </c>
      <c r="EO174">
        <f t="shared" ref="EO174" si="3405">($C174*BE174)/100</f>
        <v>3.4000000000000002E-2</v>
      </c>
      <c r="EP174">
        <f t="shared" ref="EP174" si="3406">($C174*BF174)/100</f>
        <v>0.31620000000000004</v>
      </c>
      <c r="EQ174">
        <f t="shared" ref="EQ174" si="3407">($C174*BG174)/100</f>
        <v>0</v>
      </c>
      <c r="ER174">
        <f t="shared" ref="ER174" si="3408">($C174*BH174)/100</f>
        <v>0</v>
      </c>
      <c r="ES174">
        <f t="shared" ref="ES174" si="3409">($C174*BI174)/100</f>
        <v>4.0800000000000003E-2</v>
      </c>
      <c r="ET174">
        <f t="shared" ref="ET174" si="3410">($C174*BJ174)/100</f>
        <v>2.3800000000000002E-2</v>
      </c>
      <c r="EU174">
        <f t="shared" ref="EU174" si="3411">($C174*BK174)/100</f>
        <v>1.7000000000000001E-2</v>
      </c>
      <c r="EV174">
        <f t="shared" ref="EV174" si="3412">($C174*BL174)/100</f>
        <v>0</v>
      </c>
      <c r="EW174">
        <f t="shared" ref="EW174" si="3413">($C174*BM174)/100</f>
        <v>0</v>
      </c>
      <c r="EX174">
        <f t="shared" ref="EX174" si="3414">($C174*BN174)/100</f>
        <v>0</v>
      </c>
      <c r="EY174">
        <f t="shared" ref="EY174" si="3415">($C174*BO174)/100</f>
        <v>0</v>
      </c>
      <c r="EZ174">
        <f t="shared" ref="EZ174" si="3416">($C174*BP174)/100</f>
        <v>17</v>
      </c>
      <c r="FA174">
        <f t="shared" ref="FA174" si="3417">($C174*BQ174)/100</f>
        <v>55.76</v>
      </c>
      <c r="FB174">
        <f t="shared" ref="FB174" si="3418">($C174*BR174)/100</f>
        <v>65.28</v>
      </c>
      <c r="FC174">
        <f t="shared" ref="FC174" si="3419">($C174*BS174)/100</f>
        <v>120.7</v>
      </c>
      <c r="FD174">
        <f t="shared" ref="FD174" si="3420">($C174*BT174)/100</f>
        <v>92.48</v>
      </c>
      <c r="FE174">
        <f t="shared" ref="FE174" si="3421">($C174*BU174)/100</f>
        <v>27.54</v>
      </c>
      <c r="FF174">
        <f t="shared" ref="FF174" si="3422">($C174*BV174)/100</f>
        <v>12.58</v>
      </c>
      <c r="FG174">
        <f t="shared" ref="FG174" si="3423">($C174*BW174)/100</f>
        <v>59.84</v>
      </c>
      <c r="FH174">
        <f t="shared" ref="FH174" si="3424">($C174*BX174)/100</f>
        <v>48.28</v>
      </c>
      <c r="FI174">
        <f t="shared" ref="FI174" si="3425">($C174*BY174)/100</f>
        <v>79.22</v>
      </c>
      <c r="FJ174">
        <f t="shared" ref="FJ174" si="3426">($C174*BZ174)/100</f>
        <v>35.700000000000003</v>
      </c>
      <c r="FK174">
        <f t="shared" ref="FK174" si="3427">($C174*CA174)/100</f>
        <v>31.62</v>
      </c>
      <c r="FL174">
        <f t="shared" ref="FL174" si="3428">($C174*CB174)/100</f>
        <v>40.46</v>
      </c>
      <c r="FM174">
        <f t="shared" ref="FM174" si="3429">($C174*CC174)/100</f>
        <v>91.46</v>
      </c>
      <c r="FN174">
        <f t="shared" ref="FN174" si="3430">($C174*CD174)/100</f>
        <v>262.14</v>
      </c>
      <c r="FO174">
        <f t="shared" ref="FO174" si="3431">($C174*CE174)/100</f>
        <v>23.8</v>
      </c>
      <c r="FP174">
        <f t="shared" ref="FP174" si="3432">($C174*CF174)/100</f>
        <v>126.14</v>
      </c>
      <c r="FQ174">
        <f t="shared" ref="FQ174" si="3433">($C174*CG174)/100</f>
        <v>69.02</v>
      </c>
      <c r="FR174">
        <f t="shared" ref="FR174" si="3434">($C174*CH174)/100</f>
        <v>0</v>
      </c>
      <c r="FS174">
        <f t="shared" ref="FS174" si="3435">($C174*CI174)/100</f>
        <v>0</v>
      </c>
      <c r="FT174">
        <f t="shared" ref="FT174" si="3436">($C174*CJ174)/100</f>
        <v>0</v>
      </c>
      <c r="FU174">
        <f t="shared" ref="FU174" si="3437">($C174*CK174)/100</f>
        <v>0</v>
      </c>
      <c r="FV174">
        <f t="shared" ref="FV174" si="3438">($C174*CL174)/100</f>
        <v>0</v>
      </c>
      <c r="FW174">
        <f t="shared" ref="FW174" si="3439">($C174*CM174)/100</f>
        <v>1.6660000000000001</v>
      </c>
    </row>
    <row r="175" spans="1:179" x14ac:dyDescent="0.35">
      <c r="B175" s="71" t="s">
        <v>238</v>
      </c>
      <c r="C175">
        <v>4</v>
      </c>
      <c r="D175" s="6">
        <v>758</v>
      </c>
      <c r="E175" s="6">
        <v>3117</v>
      </c>
      <c r="F175" s="6">
        <v>0.8</v>
      </c>
      <c r="G175" s="6">
        <v>0.8</v>
      </c>
      <c r="H175" s="6">
        <v>0</v>
      </c>
      <c r="I175" s="6">
        <v>83.4</v>
      </c>
      <c r="J175" s="6">
        <v>83.4</v>
      </c>
      <c r="K175" s="6">
        <v>0</v>
      </c>
      <c r="L175" s="6">
        <v>250</v>
      </c>
      <c r="M175" s="6">
        <v>1.1000000000000001</v>
      </c>
      <c r="N175" s="6">
        <v>0</v>
      </c>
      <c r="O175" s="6">
        <v>1.1000000000000001</v>
      </c>
      <c r="P175" s="6">
        <v>0</v>
      </c>
      <c r="Q175" s="6">
        <v>0</v>
      </c>
      <c r="R175" s="6">
        <v>14.1</v>
      </c>
      <c r="S175" s="6">
        <v>0</v>
      </c>
      <c r="T175" s="6">
        <v>25</v>
      </c>
      <c r="U175" s="6">
        <v>7</v>
      </c>
      <c r="V175" s="6">
        <v>15</v>
      </c>
      <c r="W175" s="6">
        <v>16</v>
      </c>
      <c r="X175" s="6">
        <v>0.6</v>
      </c>
      <c r="Y175" s="6">
        <v>2</v>
      </c>
      <c r="Z175" s="6">
        <v>0.05</v>
      </c>
      <c r="AA175" s="51">
        <v>0.05</v>
      </c>
      <c r="AB175" s="6">
        <v>17</v>
      </c>
      <c r="AC175" s="6">
        <v>38</v>
      </c>
      <c r="AD175" s="51">
        <v>5.0000000000000001E-3</v>
      </c>
      <c r="AE175" s="6">
        <v>8</v>
      </c>
      <c r="AF175" s="51">
        <v>5.0000000000000001E-3</v>
      </c>
      <c r="AG175" s="6">
        <v>0.02</v>
      </c>
      <c r="AH175" s="6">
        <v>0</v>
      </c>
      <c r="AI175" s="51">
        <v>5.0000000000000001E-3</v>
      </c>
      <c r="AJ175" s="51">
        <v>5.0000000000000001E-3</v>
      </c>
      <c r="AK175" s="51">
        <v>0.5</v>
      </c>
      <c r="AL175" s="6">
        <v>0.04</v>
      </c>
      <c r="AM175" s="51">
        <v>0.05</v>
      </c>
      <c r="AN175" s="51">
        <v>0.05</v>
      </c>
      <c r="AO175" s="6">
        <v>930</v>
      </c>
      <c r="AP175" s="6">
        <v>906</v>
      </c>
      <c r="AQ175" s="6">
        <v>146</v>
      </c>
      <c r="AR175" s="6">
        <v>2.4</v>
      </c>
      <c r="AS175" s="6">
        <v>0.8</v>
      </c>
      <c r="AT175" s="6">
        <v>7.4</v>
      </c>
      <c r="AU175" s="6">
        <v>48.78</v>
      </c>
      <c r="AV175" s="6">
        <v>7.82</v>
      </c>
      <c r="AW175" s="6">
        <v>2.39</v>
      </c>
      <c r="AX175" s="6">
        <v>8.31</v>
      </c>
      <c r="AY175" s="6">
        <v>20.86</v>
      </c>
      <c r="AZ175" s="6">
        <v>9.4</v>
      </c>
      <c r="BA175" s="6">
        <v>0</v>
      </c>
      <c r="BB175" s="6">
        <v>0</v>
      </c>
      <c r="BC175" s="6">
        <v>23.72</v>
      </c>
      <c r="BD175" s="6">
        <v>1.1399999999999999</v>
      </c>
      <c r="BE175" s="6">
        <v>1.9</v>
      </c>
      <c r="BF175" s="6">
        <v>20.68</v>
      </c>
      <c r="BG175" s="6">
        <v>0</v>
      </c>
      <c r="BH175" s="6">
        <v>0</v>
      </c>
      <c r="BI175" s="6">
        <v>2.75</v>
      </c>
      <c r="BJ175" s="6">
        <v>1.57</v>
      </c>
      <c r="BK175" s="6">
        <v>1.18</v>
      </c>
      <c r="BL175" s="6">
        <v>0</v>
      </c>
      <c r="BM175" s="6">
        <v>0</v>
      </c>
      <c r="BN175" s="6">
        <v>0</v>
      </c>
      <c r="BO175" s="6">
        <v>0</v>
      </c>
      <c r="BP175" s="7">
        <v>12</v>
      </c>
      <c r="BQ175" s="7">
        <v>40</v>
      </c>
      <c r="BR175" s="7">
        <v>47</v>
      </c>
      <c r="BS175" s="7">
        <v>86</v>
      </c>
      <c r="BT175" s="7">
        <v>66</v>
      </c>
      <c r="BU175" s="7">
        <v>20</v>
      </c>
      <c r="BV175" s="7">
        <v>9</v>
      </c>
      <c r="BW175" s="7">
        <v>43</v>
      </c>
      <c r="BX175" s="7">
        <v>34</v>
      </c>
      <c r="BY175" s="7">
        <v>56</v>
      </c>
      <c r="BZ175" s="7">
        <v>25</v>
      </c>
      <c r="CA175" s="7">
        <v>23</v>
      </c>
      <c r="CB175" s="7">
        <v>29</v>
      </c>
      <c r="CC175" s="7">
        <v>65</v>
      </c>
      <c r="CD175" s="7">
        <v>187</v>
      </c>
      <c r="CE175" s="7">
        <v>17</v>
      </c>
      <c r="CF175" s="7">
        <v>90</v>
      </c>
      <c r="CG175" s="7">
        <v>49</v>
      </c>
      <c r="CH175" s="6">
        <v>0</v>
      </c>
      <c r="CI175" s="6">
        <v>0</v>
      </c>
      <c r="CJ175" s="6">
        <v>0</v>
      </c>
      <c r="CK175" s="6">
        <v>0</v>
      </c>
      <c r="CL175" s="6">
        <v>0</v>
      </c>
      <c r="CM175" s="6">
        <v>1.1000000000000001</v>
      </c>
      <c r="CN175">
        <f t="shared" ref="CN175" si="3440">($C175*D175)/100</f>
        <v>30.32</v>
      </c>
      <c r="CO175">
        <f t="shared" ref="CO175" si="3441">($C175*E175)/100</f>
        <v>124.68</v>
      </c>
      <c r="CP175">
        <f t="shared" ref="CP175" si="3442">($C175*F175)/100</f>
        <v>3.2000000000000001E-2</v>
      </c>
      <c r="CQ175">
        <f t="shared" ref="CQ175" si="3443">($C175*G175)/100</f>
        <v>3.2000000000000001E-2</v>
      </c>
      <c r="CR175">
        <f t="shared" ref="CR175" si="3444">($C175*H175)/100</f>
        <v>0</v>
      </c>
      <c r="CS175">
        <f t="shared" ref="CS175" si="3445">($C175*I175)/100</f>
        <v>3.3360000000000003</v>
      </c>
      <c r="CT175">
        <f t="shared" ref="CT175" si="3446">($C175*J175)/100</f>
        <v>3.3360000000000003</v>
      </c>
      <c r="CU175">
        <f t="shared" ref="CU175" si="3447">($C175*K175)/100</f>
        <v>0</v>
      </c>
      <c r="CV175">
        <f t="shared" ref="CV175" si="3448">($C175*L175)/100</f>
        <v>10</v>
      </c>
      <c r="CW175">
        <f t="shared" ref="CW175" si="3449">($C175*M175)/100</f>
        <v>4.4000000000000004E-2</v>
      </c>
      <c r="CX175">
        <f t="shared" ref="CX175" si="3450">($C175*N175)/100</f>
        <v>0</v>
      </c>
      <c r="CY175">
        <f t="shared" ref="CY175" si="3451">($C175*O175)/100</f>
        <v>4.4000000000000004E-2</v>
      </c>
      <c r="CZ175">
        <f t="shared" ref="CZ175" si="3452">($C175*P175)/100</f>
        <v>0</v>
      </c>
      <c r="DA175">
        <f t="shared" ref="DA175" si="3453">($C175*Q175)/100</f>
        <v>0</v>
      </c>
      <c r="DB175">
        <f t="shared" ref="DB175" si="3454">($C175*R175)/100</f>
        <v>0.56399999999999995</v>
      </c>
      <c r="DC175">
        <f t="shared" ref="DC175" si="3455">($C175*S175)/100</f>
        <v>0</v>
      </c>
      <c r="DD175">
        <f t="shared" ref="DD175" si="3456">($C175*T175)/100</f>
        <v>1</v>
      </c>
      <c r="DE175">
        <f t="shared" ref="DE175" si="3457">($C175*U175)/100</f>
        <v>0.28000000000000003</v>
      </c>
      <c r="DF175">
        <f t="shared" ref="DF175" si="3458">($C175*V175)/100</f>
        <v>0.6</v>
      </c>
      <c r="DG175">
        <f t="shared" ref="DG175" si="3459">($C175*W175)/100</f>
        <v>0.64</v>
      </c>
      <c r="DH175">
        <f t="shared" ref="DH175" si="3460">($C175*X175)/100</f>
        <v>2.4E-2</v>
      </c>
      <c r="DI175">
        <f t="shared" ref="DI175" si="3461">($C175*Y175)/100</f>
        <v>0.08</v>
      </c>
      <c r="DJ175">
        <f t="shared" ref="DJ175" si="3462">($C175*Z175)/100</f>
        <v>2E-3</v>
      </c>
      <c r="DK175">
        <f t="shared" ref="DK175" si="3463">($C175*AA175)/100</f>
        <v>2E-3</v>
      </c>
      <c r="DL175">
        <f t="shared" ref="DL175" si="3464">($C175*AB175)/100</f>
        <v>0.68</v>
      </c>
      <c r="DM175">
        <f t="shared" ref="DM175" si="3465">($C175*AC175)/100</f>
        <v>1.52</v>
      </c>
      <c r="DN175">
        <f t="shared" ref="DN175" si="3466">($C175*AD175)/100</f>
        <v>2.0000000000000001E-4</v>
      </c>
      <c r="DO175">
        <f t="shared" ref="DO175" si="3467">($C175*AE175)/100</f>
        <v>0.32</v>
      </c>
      <c r="DP175">
        <f t="shared" ref="DP175" si="3468">($C175*AF175)/100</f>
        <v>2.0000000000000001E-4</v>
      </c>
      <c r="DQ175">
        <f t="shared" ref="DQ175" si="3469">($C175*AG175)/100</f>
        <v>8.0000000000000004E-4</v>
      </c>
      <c r="DR175">
        <f t="shared" ref="DR175" si="3470">($C175*AH175)/100</f>
        <v>0</v>
      </c>
      <c r="DS175">
        <f t="shared" ref="DS175" si="3471">($C175*AI175)/100</f>
        <v>2.0000000000000001E-4</v>
      </c>
      <c r="DT175">
        <f t="shared" ref="DT175" si="3472">($C175*AJ175)/100</f>
        <v>2.0000000000000001E-4</v>
      </c>
      <c r="DU175">
        <f t="shared" ref="DU175" si="3473">($C175*AK175)/100</f>
        <v>0.02</v>
      </c>
      <c r="DV175">
        <f t="shared" ref="DV175" si="3474">($C175*AL175)/100</f>
        <v>1.6000000000000001E-3</v>
      </c>
      <c r="DW175">
        <f t="shared" ref="DW175" si="3475">($C175*AM175)/100</f>
        <v>2E-3</v>
      </c>
      <c r="DX175">
        <f t="shared" ref="DX175" si="3476">($C175*AN175)/100</f>
        <v>2E-3</v>
      </c>
      <c r="DY175">
        <f t="shared" ref="DY175" si="3477">($C175*AO175)/100</f>
        <v>37.200000000000003</v>
      </c>
      <c r="DZ175">
        <f t="shared" ref="DZ175" si="3478">($C175*AP175)/100</f>
        <v>36.24</v>
      </c>
      <c r="EA175">
        <f t="shared" ref="EA175" si="3479">($C175*AQ175)/100</f>
        <v>5.84</v>
      </c>
      <c r="EB175">
        <f t="shared" ref="EB175" si="3480">($C175*AR175)/100</f>
        <v>9.6000000000000002E-2</v>
      </c>
      <c r="EC175">
        <f t="shared" ref="EC175" si="3481">($C175*AS175)/100</f>
        <v>3.2000000000000001E-2</v>
      </c>
      <c r="ED175">
        <f t="shared" ref="ED175" si="3482">($C175*AT175)/100</f>
        <v>0.29600000000000004</v>
      </c>
      <c r="EE175">
        <f t="shared" ref="EE175" si="3483">($C175*AU175)/100</f>
        <v>1.9512</v>
      </c>
      <c r="EF175">
        <f t="shared" ref="EF175" si="3484">($C175*AV175)/100</f>
        <v>0.31280000000000002</v>
      </c>
      <c r="EG175">
        <f t="shared" ref="EG175" si="3485">($C175*AW175)/100</f>
        <v>9.5600000000000004E-2</v>
      </c>
      <c r="EH175">
        <f t="shared" ref="EH175" si="3486">($C175*AX175)/100</f>
        <v>0.33240000000000003</v>
      </c>
      <c r="EI175">
        <f t="shared" ref="EI175" si="3487">($C175*AY175)/100</f>
        <v>0.83440000000000003</v>
      </c>
      <c r="EJ175">
        <f t="shared" ref="EJ175" si="3488">($C175*AZ175)/100</f>
        <v>0.376</v>
      </c>
      <c r="EK175">
        <f t="shared" ref="EK175" si="3489">($C175*BA175)/100</f>
        <v>0</v>
      </c>
      <c r="EL175">
        <f t="shared" ref="EL175" si="3490">($C175*BB175)/100</f>
        <v>0</v>
      </c>
      <c r="EM175">
        <f t="shared" ref="EM175" si="3491">($C175*BC175)/100</f>
        <v>0.94879999999999998</v>
      </c>
      <c r="EN175">
        <f t="shared" ref="EN175" si="3492">($C175*BD175)/100</f>
        <v>4.5599999999999995E-2</v>
      </c>
      <c r="EO175">
        <f t="shared" ref="EO175" si="3493">($C175*BE175)/100</f>
        <v>7.5999999999999998E-2</v>
      </c>
      <c r="EP175">
        <f t="shared" ref="EP175" si="3494">($C175*BF175)/100</f>
        <v>0.82719999999999994</v>
      </c>
      <c r="EQ175">
        <f t="shared" ref="EQ175" si="3495">($C175*BG175)/100</f>
        <v>0</v>
      </c>
      <c r="ER175">
        <f t="shared" ref="ER175" si="3496">($C175*BH175)/100</f>
        <v>0</v>
      </c>
      <c r="ES175">
        <f t="shared" ref="ES175" si="3497">($C175*BI175)/100</f>
        <v>0.11</v>
      </c>
      <c r="ET175">
        <f t="shared" ref="ET175" si="3498">($C175*BJ175)/100</f>
        <v>6.2800000000000009E-2</v>
      </c>
      <c r="EU175">
        <f t="shared" ref="EU175" si="3499">($C175*BK175)/100</f>
        <v>4.7199999999999999E-2</v>
      </c>
      <c r="EV175">
        <f t="shared" ref="EV175" si="3500">($C175*BL175)/100</f>
        <v>0</v>
      </c>
      <c r="EW175">
        <f t="shared" ref="EW175" si="3501">($C175*BM175)/100</f>
        <v>0</v>
      </c>
      <c r="EX175">
        <f t="shared" ref="EX175" si="3502">($C175*BN175)/100</f>
        <v>0</v>
      </c>
      <c r="EY175">
        <f t="shared" ref="EY175" si="3503">($C175*BO175)/100</f>
        <v>0</v>
      </c>
      <c r="EZ175">
        <f t="shared" ref="EZ175" si="3504">($C175*BP175)/100</f>
        <v>0.48</v>
      </c>
      <c r="FA175">
        <f t="shared" ref="FA175" si="3505">($C175*BQ175)/100</f>
        <v>1.6</v>
      </c>
      <c r="FB175">
        <f t="shared" ref="FB175" si="3506">($C175*BR175)/100</f>
        <v>1.88</v>
      </c>
      <c r="FC175">
        <f t="shared" ref="FC175" si="3507">($C175*BS175)/100</f>
        <v>3.44</v>
      </c>
      <c r="FD175">
        <f t="shared" ref="FD175" si="3508">($C175*BT175)/100</f>
        <v>2.64</v>
      </c>
      <c r="FE175">
        <f t="shared" ref="FE175" si="3509">($C175*BU175)/100</f>
        <v>0.8</v>
      </c>
      <c r="FF175">
        <f t="shared" ref="FF175" si="3510">($C175*BV175)/100</f>
        <v>0.36</v>
      </c>
      <c r="FG175">
        <f t="shared" ref="FG175" si="3511">($C175*BW175)/100</f>
        <v>1.72</v>
      </c>
      <c r="FH175">
        <f t="shared" ref="FH175" si="3512">($C175*BX175)/100</f>
        <v>1.36</v>
      </c>
      <c r="FI175">
        <f t="shared" ref="FI175" si="3513">($C175*BY175)/100</f>
        <v>2.2400000000000002</v>
      </c>
      <c r="FJ175">
        <f t="shared" ref="FJ175" si="3514">($C175*BZ175)/100</f>
        <v>1</v>
      </c>
      <c r="FK175">
        <f t="shared" ref="FK175" si="3515">($C175*CA175)/100</f>
        <v>0.92</v>
      </c>
      <c r="FL175">
        <f t="shared" ref="FL175" si="3516">($C175*CB175)/100</f>
        <v>1.1599999999999999</v>
      </c>
      <c r="FM175">
        <f t="shared" ref="FM175" si="3517">($C175*CC175)/100</f>
        <v>2.6</v>
      </c>
      <c r="FN175">
        <f t="shared" ref="FN175" si="3518">($C175*CD175)/100</f>
        <v>7.48</v>
      </c>
      <c r="FO175">
        <f t="shared" ref="FO175" si="3519">($C175*CE175)/100</f>
        <v>0.68</v>
      </c>
      <c r="FP175">
        <f t="shared" ref="FP175" si="3520">($C175*CF175)/100</f>
        <v>3.6</v>
      </c>
      <c r="FQ175">
        <f t="shared" ref="FQ175" si="3521">($C175*CG175)/100</f>
        <v>1.96</v>
      </c>
      <c r="FR175">
        <f t="shared" ref="FR175" si="3522">($C175*CH175)/100</f>
        <v>0</v>
      </c>
      <c r="FS175">
        <f t="shared" ref="FS175" si="3523">($C175*CI175)/100</f>
        <v>0</v>
      </c>
      <c r="FT175">
        <f t="shared" ref="FT175" si="3524">($C175*CJ175)/100</f>
        <v>0</v>
      </c>
      <c r="FU175">
        <f t="shared" ref="FU175" si="3525">($C175*CK175)/100</f>
        <v>0</v>
      </c>
      <c r="FV175">
        <f t="shared" ref="FV175" si="3526">($C175*CL175)/100</f>
        <v>0</v>
      </c>
      <c r="FW175">
        <f t="shared" ref="FW175" si="3527">($C175*CM175)/100</f>
        <v>4.4000000000000004E-2</v>
      </c>
    </row>
    <row r="176" spans="1:179" x14ac:dyDescent="0.35">
      <c r="C176">
        <f>SUM(C173:C175)</f>
        <v>100</v>
      </c>
      <c r="CN176">
        <f>SUM(CN173:CN175)</f>
        <v>101.68</v>
      </c>
      <c r="CO176">
        <f t="shared" ref="CO176:EZ176" si="3528">SUM(CO173:CO175)</f>
        <v>426.6</v>
      </c>
      <c r="CP176">
        <f t="shared" si="3528"/>
        <v>2.4560000000000004</v>
      </c>
      <c r="CQ176">
        <f t="shared" si="3528"/>
        <v>1.1539999999999999</v>
      </c>
      <c r="CR176">
        <f t="shared" si="3528"/>
        <v>1.3020000000000003</v>
      </c>
      <c r="CS176">
        <f t="shared" si="3528"/>
        <v>4.6219999999999999</v>
      </c>
      <c r="CT176">
        <f t="shared" si="3528"/>
        <v>4.5600000000000005</v>
      </c>
      <c r="CU176">
        <f t="shared" si="3528"/>
        <v>6.2E-2</v>
      </c>
      <c r="CV176">
        <f t="shared" si="3528"/>
        <v>13.74</v>
      </c>
      <c r="CW176">
        <f t="shared" si="3528"/>
        <v>12.870000000000001</v>
      </c>
      <c r="CX176">
        <f t="shared" si="3528"/>
        <v>10.912000000000001</v>
      </c>
      <c r="CY176">
        <f t="shared" si="3528"/>
        <v>1.9580000000000002</v>
      </c>
      <c r="CZ176">
        <f t="shared" si="3528"/>
        <v>0.99199999999999999</v>
      </c>
      <c r="DA176">
        <f t="shared" si="3528"/>
        <v>0</v>
      </c>
      <c r="DB176">
        <f t="shared" si="3528"/>
        <v>78.813999999999993</v>
      </c>
      <c r="DC176">
        <f t="shared" si="3528"/>
        <v>0.40599999999999992</v>
      </c>
      <c r="DD176">
        <f t="shared" si="3528"/>
        <v>47.660000000000004</v>
      </c>
      <c r="DE176">
        <f t="shared" si="3528"/>
        <v>21.62</v>
      </c>
      <c r="DF176">
        <f t="shared" si="3528"/>
        <v>405</v>
      </c>
      <c r="DG176">
        <f t="shared" si="3528"/>
        <v>65.739999999999995</v>
      </c>
      <c r="DH176">
        <f t="shared" si="3528"/>
        <v>0.32060000000000005</v>
      </c>
      <c r="DI176">
        <f t="shared" si="3528"/>
        <v>4.16</v>
      </c>
      <c r="DJ176">
        <f t="shared" si="3528"/>
        <v>8.8000000000000005E-3</v>
      </c>
      <c r="DK176">
        <f t="shared" si="3528"/>
        <v>0.54600000000000004</v>
      </c>
      <c r="DL176">
        <f t="shared" si="3528"/>
        <v>34.68</v>
      </c>
      <c r="DM176">
        <f t="shared" si="3528"/>
        <v>6.6199999999999992</v>
      </c>
      <c r="DN176">
        <f t="shared" si="3528"/>
        <v>1.9000000000000002E-3</v>
      </c>
      <c r="DO176">
        <f t="shared" si="3528"/>
        <v>10.52</v>
      </c>
      <c r="DP176">
        <f t="shared" si="3528"/>
        <v>7.5800000000000006E-2</v>
      </c>
      <c r="DQ176">
        <f t="shared" si="3528"/>
        <v>8.6800000000000002E-2</v>
      </c>
      <c r="DR176">
        <f t="shared" si="3528"/>
        <v>9.64</v>
      </c>
      <c r="DS176">
        <f t="shared" si="3528"/>
        <v>1.5842000000000001</v>
      </c>
      <c r="DT176">
        <f t="shared" si="3528"/>
        <v>0.29339999999999999</v>
      </c>
      <c r="DU176">
        <f t="shared" si="3528"/>
        <v>23.759999999999998</v>
      </c>
      <c r="DV176">
        <f t="shared" si="3528"/>
        <v>0.12059999999999998</v>
      </c>
      <c r="DW176">
        <f t="shared" si="3528"/>
        <v>0.64799999999999991</v>
      </c>
      <c r="DX176">
        <f t="shared" si="3528"/>
        <v>0.13800000000000001</v>
      </c>
      <c r="DY176">
        <f t="shared" si="3528"/>
        <v>53.680000000000007</v>
      </c>
      <c r="DZ176">
        <f t="shared" si="3528"/>
        <v>49.84</v>
      </c>
      <c r="EA176">
        <f t="shared" si="3528"/>
        <v>23.8</v>
      </c>
      <c r="EB176">
        <f t="shared" si="3528"/>
        <v>0.157</v>
      </c>
      <c r="EC176">
        <f t="shared" si="3528"/>
        <v>4.2200000000000001E-2</v>
      </c>
      <c r="ED176">
        <f t="shared" si="3528"/>
        <v>0.5</v>
      </c>
      <c r="EE176">
        <f t="shared" si="3528"/>
        <v>2.6871999999999998</v>
      </c>
      <c r="EF176">
        <f t="shared" si="3528"/>
        <v>0.42160000000000003</v>
      </c>
      <c r="EG176">
        <f t="shared" si="3528"/>
        <v>0.13300000000000001</v>
      </c>
      <c r="EH176">
        <f t="shared" si="3528"/>
        <v>0.45820000000000005</v>
      </c>
      <c r="EI176">
        <f t="shared" si="3528"/>
        <v>1.1472</v>
      </c>
      <c r="EJ176">
        <f t="shared" si="3528"/>
        <v>0.50859999999999994</v>
      </c>
      <c r="EK176">
        <f t="shared" si="3528"/>
        <v>0</v>
      </c>
      <c r="EL176">
        <f t="shared" si="3528"/>
        <v>0</v>
      </c>
      <c r="EM176">
        <f t="shared" si="3528"/>
        <v>1.329</v>
      </c>
      <c r="EN176">
        <f t="shared" si="3528"/>
        <v>6.9399999999999989E-2</v>
      </c>
      <c r="EO176">
        <f t="shared" si="3528"/>
        <v>0.11</v>
      </c>
      <c r="EP176">
        <f t="shared" si="3528"/>
        <v>1.1496</v>
      </c>
      <c r="EQ176">
        <f t="shared" si="3528"/>
        <v>0</v>
      </c>
      <c r="ER176">
        <f t="shared" si="3528"/>
        <v>0</v>
      </c>
      <c r="ES176">
        <f t="shared" si="3528"/>
        <v>0.157</v>
      </c>
      <c r="ET176">
        <f t="shared" si="3528"/>
        <v>9.2800000000000007E-2</v>
      </c>
      <c r="EU176">
        <f t="shared" si="3528"/>
        <v>6.7299999999999999E-2</v>
      </c>
      <c r="EV176">
        <f t="shared" si="3528"/>
        <v>0</v>
      </c>
      <c r="EW176">
        <f t="shared" si="3528"/>
        <v>0</v>
      </c>
      <c r="EX176">
        <f t="shared" si="3528"/>
        <v>0</v>
      </c>
      <c r="EY176">
        <f t="shared" si="3528"/>
        <v>0</v>
      </c>
      <c r="EZ176">
        <f t="shared" si="3528"/>
        <v>34.839999999999996</v>
      </c>
      <c r="FA176">
        <f t="shared" ref="FA176:FW176" si="3529">SUM(FA173:FA175)</f>
        <v>108.82</v>
      </c>
      <c r="FB176">
        <f t="shared" si="3529"/>
        <v>124.19999999999999</v>
      </c>
      <c r="FC176">
        <f t="shared" si="3529"/>
        <v>199.78</v>
      </c>
      <c r="FD176">
        <f t="shared" si="3529"/>
        <v>166.42</v>
      </c>
      <c r="FE176">
        <f t="shared" si="3529"/>
        <v>49.419999999999995</v>
      </c>
      <c r="FF176">
        <f t="shared" si="3529"/>
        <v>26.58</v>
      </c>
      <c r="FG176">
        <f t="shared" si="3529"/>
        <v>119.22</v>
      </c>
      <c r="FH176">
        <f t="shared" si="3529"/>
        <v>87.46</v>
      </c>
      <c r="FI176">
        <f t="shared" si="3529"/>
        <v>153.38</v>
      </c>
      <c r="FJ176">
        <f t="shared" si="3529"/>
        <v>101.18</v>
      </c>
      <c r="FK176">
        <f t="shared" si="3529"/>
        <v>54.86</v>
      </c>
      <c r="FL176">
        <f t="shared" si="3529"/>
        <v>98.66</v>
      </c>
      <c r="FM176">
        <f t="shared" si="3529"/>
        <v>301.14000000000004</v>
      </c>
      <c r="FN176">
        <f t="shared" si="3529"/>
        <v>485.38</v>
      </c>
      <c r="FO176">
        <f t="shared" si="3529"/>
        <v>60.440000000000005</v>
      </c>
      <c r="FP176">
        <f t="shared" si="3529"/>
        <v>176.85999999999999</v>
      </c>
      <c r="FQ176">
        <f t="shared" si="3529"/>
        <v>118.09999999999998</v>
      </c>
      <c r="FR176">
        <f t="shared" si="3529"/>
        <v>0</v>
      </c>
      <c r="FS176">
        <f t="shared" si="3529"/>
        <v>0</v>
      </c>
      <c r="FT176">
        <f t="shared" si="3529"/>
        <v>0</v>
      </c>
      <c r="FU176">
        <f t="shared" si="3529"/>
        <v>0</v>
      </c>
      <c r="FV176">
        <f t="shared" si="3529"/>
        <v>0</v>
      </c>
      <c r="FW176">
        <f t="shared" si="3529"/>
        <v>1.7100000000000002</v>
      </c>
    </row>
    <row r="178" spans="1:179" x14ac:dyDescent="0.35">
      <c r="A178" s="80" t="s">
        <v>413</v>
      </c>
      <c r="B178" s="72" t="s">
        <v>222</v>
      </c>
      <c r="C178">
        <v>91</v>
      </c>
      <c r="D178" s="6">
        <v>128</v>
      </c>
      <c r="E178" s="6">
        <v>533</v>
      </c>
      <c r="F178" s="6">
        <v>12.4</v>
      </c>
      <c r="G178" s="6">
        <v>12.4</v>
      </c>
      <c r="H178" s="6">
        <v>0</v>
      </c>
      <c r="I178" s="6">
        <v>8.6999999999999993</v>
      </c>
      <c r="J178" s="6">
        <v>8.6999999999999993</v>
      </c>
      <c r="K178" s="6">
        <v>0</v>
      </c>
      <c r="L178" s="6">
        <v>371</v>
      </c>
      <c r="M178" s="51">
        <v>0.05</v>
      </c>
      <c r="N178" s="6">
        <v>0</v>
      </c>
      <c r="O178" s="51">
        <v>0.05</v>
      </c>
      <c r="P178" s="6">
        <v>0</v>
      </c>
      <c r="Q178" s="6">
        <v>0</v>
      </c>
      <c r="R178" s="6">
        <v>77.099999999999994</v>
      </c>
      <c r="S178" s="6">
        <v>1.5</v>
      </c>
      <c r="T178" s="6">
        <v>48</v>
      </c>
      <c r="U178" s="6">
        <v>137</v>
      </c>
      <c r="V178" s="6">
        <v>133</v>
      </c>
      <c r="W178" s="6">
        <v>210</v>
      </c>
      <c r="X178" s="6">
        <v>1.2</v>
      </c>
      <c r="Y178" s="6">
        <v>13</v>
      </c>
      <c r="Z178" s="6">
        <v>0.06</v>
      </c>
      <c r="AA178" s="6">
        <v>5.8</v>
      </c>
      <c r="AB178" s="6">
        <v>160</v>
      </c>
      <c r="AC178" s="6">
        <v>53</v>
      </c>
      <c r="AD178" s="51">
        <v>5.0000000000000001E-3</v>
      </c>
      <c r="AE178" s="6">
        <v>180</v>
      </c>
      <c r="AF178" s="6">
        <v>0.09</v>
      </c>
      <c r="AG178" s="6">
        <v>0.3</v>
      </c>
      <c r="AH178" s="6">
        <v>0</v>
      </c>
      <c r="AI178" s="6">
        <v>0.1</v>
      </c>
      <c r="AJ178" s="6">
        <v>0.12</v>
      </c>
      <c r="AK178" s="6">
        <v>50</v>
      </c>
      <c r="AL178" s="6">
        <v>1.77</v>
      </c>
      <c r="AM178" s="6">
        <v>20</v>
      </c>
      <c r="AN178" s="6">
        <v>2.5</v>
      </c>
      <c r="AO178" s="6">
        <v>225</v>
      </c>
      <c r="AP178" s="6">
        <v>211</v>
      </c>
      <c r="AQ178" s="6">
        <v>84</v>
      </c>
      <c r="AR178" s="6">
        <v>1.1100000000000001</v>
      </c>
      <c r="AS178" s="6">
        <v>1.75</v>
      </c>
      <c r="AT178" s="51">
        <v>5.0000000000000001E-3</v>
      </c>
      <c r="AU178" s="6">
        <v>3.17</v>
      </c>
      <c r="AV178" s="6">
        <v>0</v>
      </c>
      <c r="AW178" s="6">
        <v>0</v>
      </c>
      <c r="AX178" s="6">
        <v>0.03</v>
      </c>
      <c r="AY178" s="6">
        <v>1.9</v>
      </c>
      <c r="AZ178" s="6">
        <v>1.21</v>
      </c>
      <c r="BA178" s="6">
        <v>0</v>
      </c>
      <c r="BB178" s="6">
        <v>0</v>
      </c>
      <c r="BC178" s="6">
        <v>2.58</v>
      </c>
      <c r="BD178" s="6">
        <v>0</v>
      </c>
      <c r="BE178" s="6">
        <v>0.23</v>
      </c>
      <c r="BF178" s="6">
        <v>2.35</v>
      </c>
      <c r="BG178" s="6">
        <v>0</v>
      </c>
      <c r="BH178" s="6">
        <v>0</v>
      </c>
      <c r="BI178" s="6">
        <v>1.26</v>
      </c>
      <c r="BJ178" s="6">
        <v>1.06</v>
      </c>
      <c r="BK178" s="6">
        <v>0.04</v>
      </c>
      <c r="BL178" s="6">
        <v>0.16</v>
      </c>
      <c r="BM178" s="6">
        <v>0</v>
      </c>
      <c r="BN178" s="6">
        <v>0</v>
      </c>
      <c r="BO178" s="6">
        <v>0</v>
      </c>
      <c r="BP178" s="7">
        <v>197</v>
      </c>
      <c r="BQ178" s="7">
        <v>623</v>
      </c>
      <c r="BR178" s="7">
        <v>657</v>
      </c>
      <c r="BS178" s="7">
        <v>1041</v>
      </c>
      <c r="BT178" s="7">
        <v>880</v>
      </c>
      <c r="BU178" s="7">
        <v>437</v>
      </c>
      <c r="BV178" s="7">
        <v>323</v>
      </c>
      <c r="BW178" s="7">
        <v>662</v>
      </c>
      <c r="BX178" s="7">
        <v>503</v>
      </c>
      <c r="BY178" s="7">
        <v>823</v>
      </c>
      <c r="BZ178" s="7">
        <v>767</v>
      </c>
      <c r="CA178" s="7">
        <v>298</v>
      </c>
      <c r="CB178" s="7">
        <v>719</v>
      </c>
      <c r="CC178" s="7">
        <v>1209</v>
      </c>
      <c r="CD178" s="7">
        <v>1508</v>
      </c>
      <c r="CE178" s="7">
        <v>416</v>
      </c>
      <c r="CF178" s="7">
        <v>496</v>
      </c>
      <c r="CG178" s="7">
        <v>842</v>
      </c>
      <c r="CH178" s="51">
        <v>0.05</v>
      </c>
      <c r="CI178" s="6">
        <v>0</v>
      </c>
      <c r="CJ178" s="6">
        <v>0</v>
      </c>
      <c r="CK178" s="6">
        <v>0</v>
      </c>
      <c r="CL178" s="6">
        <v>0</v>
      </c>
      <c r="CM178" s="6">
        <v>0</v>
      </c>
      <c r="CN178">
        <f t="shared" ref="CN178:CN179" si="3530">($C178*D178)/100</f>
        <v>116.48</v>
      </c>
      <c r="CO178">
        <f t="shared" ref="CO178:CO179" si="3531">($C178*E178)/100</f>
        <v>485.03</v>
      </c>
      <c r="CP178">
        <f t="shared" ref="CP178:CP179" si="3532">($C178*F178)/100</f>
        <v>11.284000000000001</v>
      </c>
      <c r="CQ178">
        <f t="shared" ref="CQ178:CQ179" si="3533">($C178*G178)/100</f>
        <v>11.284000000000001</v>
      </c>
      <c r="CR178">
        <f t="shared" ref="CR178:CR179" si="3534">($C178*H178)/100</f>
        <v>0</v>
      </c>
      <c r="CS178">
        <f t="shared" ref="CS178:CS179" si="3535">($C178*I178)/100</f>
        <v>7.9169999999999989</v>
      </c>
      <c r="CT178">
        <f t="shared" ref="CT178:CT179" si="3536">($C178*J178)/100</f>
        <v>7.9169999999999989</v>
      </c>
      <c r="CU178">
        <f t="shared" ref="CU178:CU179" si="3537">($C178*K178)/100</f>
        <v>0</v>
      </c>
      <c r="CV178">
        <f t="shared" ref="CV178:CV179" si="3538">($C178*L178)/100</f>
        <v>337.61</v>
      </c>
      <c r="CW178">
        <f t="shared" ref="CW178:CW179" si="3539">($C178*M178)/100</f>
        <v>4.5499999999999999E-2</v>
      </c>
      <c r="CX178">
        <f t="shared" ref="CX178:CX179" si="3540">($C178*N178)/100</f>
        <v>0</v>
      </c>
      <c r="CY178">
        <f t="shared" ref="CY178:CY179" si="3541">($C178*O178)/100</f>
        <v>4.5499999999999999E-2</v>
      </c>
      <c r="CZ178">
        <f t="shared" ref="CZ178:CZ179" si="3542">($C178*P178)/100</f>
        <v>0</v>
      </c>
      <c r="DA178">
        <f t="shared" ref="DA178:DA179" si="3543">($C178*Q178)/100</f>
        <v>0</v>
      </c>
      <c r="DB178">
        <f t="shared" ref="DB178:DB179" si="3544">($C178*R178)/100</f>
        <v>70.161000000000001</v>
      </c>
      <c r="DC178">
        <f t="shared" ref="DC178:DC179" si="3545">($C178*S178)/100</f>
        <v>1.365</v>
      </c>
      <c r="DD178">
        <f t="shared" ref="DD178:DD179" si="3546">($C178*T178)/100</f>
        <v>43.68</v>
      </c>
      <c r="DE178">
        <f t="shared" ref="DE178:DE179" si="3547">($C178*U178)/100</f>
        <v>124.67</v>
      </c>
      <c r="DF178">
        <f t="shared" ref="DF178:DF179" si="3548">($C178*V178)/100</f>
        <v>121.03</v>
      </c>
      <c r="DG178">
        <f t="shared" ref="DG178:DG179" si="3549">($C178*W178)/100</f>
        <v>191.1</v>
      </c>
      <c r="DH178">
        <f t="shared" ref="DH178:DH179" si="3550">($C178*X178)/100</f>
        <v>1.0920000000000001</v>
      </c>
      <c r="DI178">
        <f t="shared" ref="DI178:DI179" si="3551">($C178*Y178)/100</f>
        <v>11.83</v>
      </c>
      <c r="DJ178">
        <f t="shared" ref="DJ178:DJ179" si="3552">($C178*Z178)/100</f>
        <v>5.4600000000000003E-2</v>
      </c>
      <c r="DK178">
        <f t="shared" ref="DK178:DK179" si="3553">($C178*AA178)/100</f>
        <v>5.2779999999999996</v>
      </c>
      <c r="DL178">
        <f t="shared" ref="DL178:DL179" si="3554">($C178*AB178)/100</f>
        <v>145.6</v>
      </c>
      <c r="DM178">
        <f t="shared" ref="DM178:DM179" si="3555">($C178*AC178)/100</f>
        <v>48.23</v>
      </c>
      <c r="DN178">
        <f t="shared" ref="DN178:DN179" si="3556">($C178*AD178)/100</f>
        <v>4.5500000000000002E-3</v>
      </c>
      <c r="DO178">
        <f t="shared" ref="DO178:DO179" si="3557">($C178*AE178)/100</f>
        <v>163.80000000000001</v>
      </c>
      <c r="DP178">
        <f t="shared" ref="DP178:DP179" si="3558">($C178*AF178)/100</f>
        <v>8.1900000000000001E-2</v>
      </c>
      <c r="DQ178">
        <f t="shared" ref="DQ178:DQ179" si="3559">($C178*AG178)/100</f>
        <v>0.27300000000000002</v>
      </c>
      <c r="DR178">
        <f t="shared" ref="DR178:DR179" si="3560">($C178*AH178)/100</f>
        <v>0</v>
      </c>
      <c r="DS178">
        <f t="shared" ref="DS178:DS179" si="3561">($C178*AI178)/100</f>
        <v>9.0999999999999998E-2</v>
      </c>
      <c r="DT178">
        <f t="shared" ref="DT178:DT179" si="3562">($C178*AJ178)/100</f>
        <v>0.10920000000000001</v>
      </c>
      <c r="DU178">
        <f t="shared" ref="DU178:DU179" si="3563">($C178*AK178)/100</f>
        <v>45.5</v>
      </c>
      <c r="DV178">
        <f t="shared" ref="DV178:DV179" si="3564">($C178*AL178)/100</f>
        <v>1.6107</v>
      </c>
      <c r="DW178">
        <f t="shared" ref="DW178:DW179" si="3565">($C178*AM178)/100</f>
        <v>18.2</v>
      </c>
      <c r="DX178">
        <f t="shared" ref="DX178:DX179" si="3566">($C178*AN178)/100</f>
        <v>2.2749999999999999</v>
      </c>
      <c r="DY178">
        <f t="shared" ref="DY178:DY179" si="3567">($C178*AO178)/100</f>
        <v>204.75</v>
      </c>
      <c r="DZ178">
        <f t="shared" ref="DZ178:DZ179" si="3568">($C178*AP178)/100</f>
        <v>192.01</v>
      </c>
      <c r="EA178">
        <f t="shared" ref="EA178:EA179" si="3569">($C178*AQ178)/100</f>
        <v>76.44</v>
      </c>
      <c r="EB178">
        <f t="shared" ref="EB178:EB179" si="3570">($C178*AR178)/100</f>
        <v>1.0101</v>
      </c>
      <c r="EC178">
        <f t="shared" ref="EC178:EC179" si="3571">($C178*AS178)/100</f>
        <v>1.5925</v>
      </c>
      <c r="ED178">
        <f t="shared" ref="ED178:ED179" si="3572">($C178*AT178)/100</f>
        <v>4.5500000000000002E-3</v>
      </c>
      <c r="EE178">
        <f t="shared" ref="EE178:EE179" si="3573">($C178*AU178)/100</f>
        <v>2.8846999999999996</v>
      </c>
      <c r="EF178">
        <f t="shared" ref="EF178:EF179" si="3574">($C178*AV178)/100</f>
        <v>0</v>
      </c>
      <c r="EG178">
        <f t="shared" ref="EG178:EG179" si="3575">($C178*AW178)/100</f>
        <v>0</v>
      </c>
      <c r="EH178">
        <f t="shared" ref="EH178:EH179" si="3576">($C178*AX178)/100</f>
        <v>2.7300000000000001E-2</v>
      </c>
      <c r="EI178">
        <f t="shared" ref="EI178:EI179" si="3577">($C178*AY178)/100</f>
        <v>1.7290000000000001</v>
      </c>
      <c r="EJ178">
        <f t="shared" ref="EJ178:EJ179" si="3578">($C178*AZ178)/100</f>
        <v>1.1011</v>
      </c>
      <c r="EK178">
        <f t="shared" ref="EK178:EK179" si="3579">($C178*BA178)/100</f>
        <v>0</v>
      </c>
      <c r="EL178">
        <f t="shared" ref="EL178:EL179" si="3580">($C178*BB178)/100</f>
        <v>0</v>
      </c>
      <c r="EM178">
        <f t="shared" ref="EM178:EM179" si="3581">($C178*BC178)/100</f>
        <v>2.3477999999999999</v>
      </c>
      <c r="EN178">
        <f t="shared" ref="EN178:EN179" si="3582">($C178*BD178)/100</f>
        <v>0</v>
      </c>
      <c r="EO178">
        <f t="shared" ref="EO178:EO179" si="3583">($C178*BE178)/100</f>
        <v>0.20929999999999999</v>
      </c>
      <c r="EP178">
        <f t="shared" ref="EP178:EP179" si="3584">($C178*BF178)/100</f>
        <v>2.1385000000000001</v>
      </c>
      <c r="EQ178">
        <f t="shared" ref="EQ178:EQ179" si="3585">($C178*BG178)/100</f>
        <v>0</v>
      </c>
      <c r="ER178">
        <f t="shared" ref="ER178:ER179" si="3586">($C178*BH178)/100</f>
        <v>0</v>
      </c>
      <c r="ES178">
        <f t="shared" ref="ES178:ES179" si="3587">($C178*BI178)/100</f>
        <v>1.1466000000000001</v>
      </c>
      <c r="ET178">
        <f t="shared" ref="ET178:ET179" si="3588">($C178*BJ178)/100</f>
        <v>0.96460000000000012</v>
      </c>
      <c r="EU178">
        <f t="shared" ref="EU178:EU179" si="3589">($C178*BK178)/100</f>
        <v>3.6400000000000002E-2</v>
      </c>
      <c r="EV178">
        <f t="shared" ref="EV178:EV179" si="3590">($C178*BL178)/100</f>
        <v>0.14560000000000001</v>
      </c>
      <c r="EW178">
        <f t="shared" ref="EW178:EW179" si="3591">($C178*BM178)/100</f>
        <v>0</v>
      </c>
      <c r="EX178">
        <f t="shared" ref="EX178:EX179" si="3592">($C178*BN178)/100</f>
        <v>0</v>
      </c>
      <c r="EY178">
        <f t="shared" ref="EY178:EY179" si="3593">($C178*BO178)/100</f>
        <v>0</v>
      </c>
      <c r="EZ178">
        <f t="shared" ref="EZ178:EZ179" si="3594">($C178*BP178)/100</f>
        <v>179.27</v>
      </c>
      <c r="FA178">
        <f t="shared" ref="FA178:FA179" si="3595">($C178*BQ178)/100</f>
        <v>566.92999999999995</v>
      </c>
      <c r="FB178">
        <f t="shared" ref="FB178:FB179" si="3596">($C178*BR178)/100</f>
        <v>597.87</v>
      </c>
      <c r="FC178">
        <f t="shared" ref="FC178:FC179" si="3597">($C178*BS178)/100</f>
        <v>947.31</v>
      </c>
      <c r="FD178">
        <f t="shared" ref="FD178:FD179" si="3598">($C178*BT178)/100</f>
        <v>800.8</v>
      </c>
      <c r="FE178">
        <f t="shared" ref="FE178:FE179" si="3599">($C178*BU178)/100</f>
        <v>397.67</v>
      </c>
      <c r="FF178">
        <f t="shared" ref="FF178:FF179" si="3600">($C178*BV178)/100</f>
        <v>293.93</v>
      </c>
      <c r="FG178">
        <f t="shared" ref="FG178:FG179" si="3601">($C178*BW178)/100</f>
        <v>602.41999999999996</v>
      </c>
      <c r="FH178">
        <f t="shared" ref="FH178:FH179" si="3602">($C178*BX178)/100</f>
        <v>457.73</v>
      </c>
      <c r="FI178">
        <f t="shared" ref="FI178:FI179" si="3603">($C178*BY178)/100</f>
        <v>748.93</v>
      </c>
      <c r="FJ178">
        <f t="shared" ref="FJ178:FJ179" si="3604">($C178*BZ178)/100</f>
        <v>697.97</v>
      </c>
      <c r="FK178">
        <f t="shared" ref="FK178:FK179" si="3605">($C178*CA178)/100</f>
        <v>271.18</v>
      </c>
      <c r="FL178">
        <f t="shared" ref="FL178:FL179" si="3606">($C178*CB178)/100</f>
        <v>654.29</v>
      </c>
      <c r="FM178">
        <f t="shared" ref="FM178:FM179" si="3607">($C178*CC178)/100</f>
        <v>1100.19</v>
      </c>
      <c r="FN178">
        <f t="shared" ref="FN178:FN179" si="3608">($C178*CD178)/100</f>
        <v>1372.28</v>
      </c>
      <c r="FO178">
        <f t="shared" ref="FO178:FO179" si="3609">($C178*CE178)/100</f>
        <v>378.56</v>
      </c>
      <c r="FP178">
        <f t="shared" ref="FP178:FP179" si="3610">($C178*CF178)/100</f>
        <v>451.36</v>
      </c>
      <c r="FQ178">
        <f t="shared" ref="FQ178:FQ179" si="3611">($C178*CG178)/100</f>
        <v>766.22</v>
      </c>
      <c r="FR178">
        <f t="shared" ref="FR178:FR179" si="3612">($C178*CH178)/100</f>
        <v>4.5499999999999999E-2</v>
      </c>
      <c r="FS178">
        <f t="shared" ref="FS178:FS179" si="3613">($C178*CI178)/100</f>
        <v>0</v>
      </c>
      <c r="FT178">
        <f t="shared" ref="FT178:FT179" si="3614">($C178*CJ178)/100</f>
        <v>0</v>
      </c>
      <c r="FU178">
        <f t="shared" ref="FU178:FU179" si="3615">($C178*CK178)/100</f>
        <v>0</v>
      </c>
      <c r="FV178">
        <f t="shared" ref="FV178:FV179" si="3616">($C178*CL178)/100</f>
        <v>0</v>
      </c>
      <c r="FW178">
        <f t="shared" ref="FW178:FW179" si="3617">($C178*CM178)/100</f>
        <v>0</v>
      </c>
    </row>
    <row r="179" spans="1:179" x14ac:dyDescent="0.35">
      <c r="B179" s="72" t="s">
        <v>211</v>
      </c>
      <c r="C179">
        <v>9</v>
      </c>
      <c r="D179" s="6">
        <v>899</v>
      </c>
      <c r="E179" s="6">
        <v>3696</v>
      </c>
      <c r="F179" s="6">
        <v>0</v>
      </c>
      <c r="G179" s="6">
        <v>0</v>
      </c>
      <c r="H179" s="6">
        <v>0</v>
      </c>
      <c r="I179" s="6">
        <v>99.9</v>
      </c>
      <c r="J179" s="6">
        <v>0</v>
      </c>
      <c r="K179" s="6">
        <v>99.9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0.2</v>
      </c>
      <c r="T179" s="6">
        <v>0</v>
      </c>
      <c r="U179" s="51">
        <v>0.5</v>
      </c>
      <c r="V179" s="51">
        <v>0.5</v>
      </c>
      <c r="W179" s="6">
        <v>0</v>
      </c>
      <c r="X179" s="51">
        <v>5.0000000000000001E-3</v>
      </c>
      <c r="Y179" s="51">
        <v>0.5</v>
      </c>
      <c r="Z179" s="6">
        <v>0.01</v>
      </c>
      <c r="AA179" s="51">
        <v>0.05</v>
      </c>
      <c r="AB179" s="51">
        <v>0.5</v>
      </c>
      <c r="AC179" s="51">
        <v>0.5</v>
      </c>
      <c r="AD179" s="51">
        <v>5.0000000000000001E-3</v>
      </c>
      <c r="AE179" s="51">
        <v>0.5</v>
      </c>
      <c r="AF179" s="6">
        <v>0</v>
      </c>
      <c r="AG179" s="6">
        <v>0</v>
      </c>
      <c r="AH179" s="6">
        <v>0</v>
      </c>
      <c r="AI179" s="6">
        <v>0</v>
      </c>
      <c r="AJ179" s="51">
        <v>5.0000000000000001E-3</v>
      </c>
      <c r="AK179" s="51">
        <v>0.5</v>
      </c>
      <c r="AL179" s="51">
        <v>5.0000000000000001E-3</v>
      </c>
      <c r="AM179" s="51">
        <v>0.05</v>
      </c>
      <c r="AN179" s="6">
        <v>0</v>
      </c>
      <c r="AO179" s="6">
        <v>36</v>
      </c>
      <c r="AP179" s="6">
        <v>0</v>
      </c>
      <c r="AQ179" s="6">
        <v>216</v>
      </c>
      <c r="AR179" s="6">
        <v>21.42</v>
      </c>
      <c r="AS179" s="6">
        <v>0</v>
      </c>
      <c r="AT179" s="6">
        <v>57.5</v>
      </c>
      <c r="AU179" s="6">
        <v>14.46</v>
      </c>
      <c r="AV179" s="6">
        <v>0</v>
      </c>
      <c r="AW179" s="6">
        <v>0</v>
      </c>
      <c r="AX179" s="6">
        <v>0</v>
      </c>
      <c r="AY179" s="6">
        <v>10.64</v>
      </c>
      <c r="AZ179" s="6">
        <v>3.06</v>
      </c>
      <c r="BA179" s="6">
        <v>0.76</v>
      </c>
      <c r="BB179" s="6">
        <v>0</v>
      </c>
      <c r="BC179" s="6">
        <v>72.95</v>
      </c>
      <c r="BD179" s="6">
        <v>0</v>
      </c>
      <c r="BE179" s="6">
        <v>0.79</v>
      </c>
      <c r="BF179" s="6">
        <v>71.87</v>
      </c>
      <c r="BG179" s="6">
        <v>0.28999999999999998</v>
      </c>
      <c r="BH179" s="6">
        <v>0</v>
      </c>
      <c r="BI179" s="6">
        <v>7.52</v>
      </c>
      <c r="BJ179" s="6">
        <v>6.79</v>
      </c>
      <c r="BK179" s="6">
        <v>0.73</v>
      </c>
      <c r="BL179" s="6">
        <v>0</v>
      </c>
      <c r="BM179" s="6">
        <v>0</v>
      </c>
      <c r="BN179" s="6">
        <v>0</v>
      </c>
      <c r="BO179" s="6">
        <v>0</v>
      </c>
      <c r="BP179" s="7">
        <v>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s="7">
        <v>0</v>
      </c>
      <c r="BW179" s="7">
        <v>0</v>
      </c>
      <c r="BX179" s="7">
        <v>0</v>
      </c>
      <c r="BY179" s="7">
        <v>0</v>
      </c>
      <c r="BZ179" s="7">
        <v>0</v>
      </c>
      <c r="CA179" s="7">
        <v>0</v>
      </c>
      <c r="CB179" s="7">
        <v>0</v>
      </c>
      <c r="CC179" s="7">
        <v>0</v>
      </c>
      <c r="CD179" s="7">
        <v>0</v>
      </c>
      <c r="CE179" s="7">
        <v>0</v>
      </c>
      <c r="CF179" s="7">
        <v>0</v>
      </c>
      <c r="CG179" s="7">
        <v>0</v>
      </c>
      <c r="CH179" s="6">
        <v>0</v>
      </c>
      <c r="CI179" s="6">
        <v>0</v>
      </c>
      <c r="CJ179" s="6">
        <v>0</v>
      </c>
      <c r="CK179" s="6">
        <v>0</v>
      </c>
      <c r="CL179" s="6">
        <v>0</v>
      </c>
      <c r="CM179" s="6">
        <v>0</v>
      </c>
      <c r="CN179">
        <f t="shared" si="3530"/>
        <v>80.91</v>
      </c>
      <c r="CO179">
        <f t="shared" si="3531"/>
        <v>332.64</v>
      </c>
      <c r="CP179">
        <f t="shared" si="3532"/>
        <v>0</v>
      </c>
      <c r="CQ179">
        <f t="shared" si="3533"/>
        <v>0</v>
      </c>
      <c r="CR179">
        <f t="shared" si="3534"/>
        <v>0</v>
      </c>
      <c r="CS179">
        <f t="shared" si="3535"/>
        <v>8.9909999999999997</v>
      </c>
      <c r="CT179">
        <f t="shared" si="3536"/>
        <v>0</v>
      </c>
      <c r="CU179">
        <f t="shared" si="3537"/>
        <v>8.9909999999999997</v>
      </c>
      <c r="CV179">
        <f t="shared" si="3538"/>
        <v>0</v>
      </c>
      <c r="CW179">
        <f t="shared" si="3539"/>
        <v>0</v>
      </c>
      <c r="CX179">
        <f t="shared" si="3540"/>
        <v>0</v>
      </c>
      <c r="CY179">
        <f t="shared" si="3541"/>
        <v>0</v>
      </c>
      <c r="CZ179">
        <f t="shared" si="3542"/>
        <v>0</v>
      </c>
      <c r="DA179">
        <f t="shared" si="3543"/>
        <v>0</v>
      </c>
      <c r="DB179">
        <f t="shared" si="3544"/>
        <v>0</v>
      </c>
      <c r="DC179">
        <f t="shared" si="3545"/>
        <v>1.8000000000000002E-2</v>
      </c>
      <c r="DD179">
        <f t="shared" si="3546"/>
        <v>0</v>
      </c>
      <c r="DE179">
        <f t="shared" si="3547"/>
        <v>4.4999999999999998E-2</v>
      </c>
      <c r="DF179">
        <f t="shared" si="3548"/>
        <v>4.4999999999999998E-2</v>
      </c>
      <c r="DG179">
        <f t="shared" si="3549"/>
        <v>0</v>
      </c>
      <c r="DH179">
        <f t="shared" si="3550"/>
        <v>4.4999999999999999E-4</v>
      </c>
      <c r="DI179">
        <f t="shared" si="3551"/>
        <v>4.4999999999999998E-2</v>
      </c>
      <c r="DJ179">
        <f t="shared" si="3552"/>
        <v>8.9999999999999998E-4</v>
      </c>
      <c r="DK179">
        <f t="shared" si="3553"/>
        <v>4.5000000000000005E-3</v>
      </c>
      <c r="DL179">
        <f t="shared" si="3554"/>
        <v>4.4999999999999998E-2</v>
      </c>
      <c r="DM179">
        <f t="shared" si="3555"/>
        <v>4.4999999999999998E-2</v>
      </c>
      <c r="DN179">
        <f t="shared" si="3556"/>
        <v>4.4999999999999999E-4</v>
      </c>
      <c r="DO179">
        <f t="shared" si="3557"/>
        <v>4.4999999999999998E-2</v>
      </c>
      <c r="DP179">
        <f t="shared" si="3558"/>
        <v>0</v>
      </c>
      <c r="DQ179">
        <f t="shared" si="3559"/>
        <v>0</v>
      </c>
      <c r="DR179">
        <f t="shared" si="3560"/>
        <v>0</v>
      </c>
      <c r="DS179">
        <f t="shared" si="3561"/>
        <v>0</v>
      </c>
      <c r="DT179">
        <f t="shared" si="3562"/>
        <v>4.4999999999999999E-4</v>
      </c>
      <c r="DU179">
        <f t="shared" si="3563"/>
        <v>4.4999999999999998E-2</v>
      </c>
      <c r="DV179">
        <f t="shared" si="3564"/>
        <v>4.4999999999999999E-4</v>
      </c>
      <c r="DW179">
        <f t="shared" si="3565"/>
        <v>4.5000000000000005E-3</v>
      </c>
      <c r="DX179">
        <f t="shared" si="3566"/>
        <v>0</v>
      </c>
      <c r="DY179">
        <f t="shared" si="3567"/>
        <v>3.24</v>
      </c>
      <c r="DZ179">
        <f t="shared" si="3568"/>
        <v>0</v>
      </c>
      <c r="EA179">
        <f t="shared" si="3569"/>
        <v>19.440000000000001</v>
      </c>
      <c r="EB179">
        <f t="shared" si="3570"/>
        <v>1.9278000000000004</v>
      </c>
      <c r="EC179">
        <f t="shared" si="3571"/>
        <v>0</v>
      </c>
      <c r="ED179">
        <f t="shared" si="3572"/>
        <v>5.1749999999999998</v>
      </c>
      <c r="EE179">
        <f t="shared" si="3573"/>
        <v>1.3014000000000001</v>
      </c>
      <c r="EF179">
        <f t="shared" si="3574"/>
        <v>0</v>
      </c>
      <c r="EG179">
        <f t="shared" si="3575"/>
        <v>0</v>
      </c>
      <c r="EH179">
        <f t="shared" si="3576"/>
        <v>0</v>
      </c>
      <c r="EI179">
        <f t="shared" si="3577"/>
        <v>0.95760000000000001</v>
      </c>
      <c r="EJ179">
        <f t="shared" si="3578"/>
        <v>0.27539999999999998</v>
      </c>
      <c r="EK179">
        <f t="shared" si="3579"/>
        <v>6.8400000000000002E-2</v>
      </c>
      <c r="EL179">
        <f t="shared" si="3580"/>
        <v>0</v>
      </c>
      <c r="EM179">
        <f t="shared" si="3581"/>
        <v>6.565500000000001</v>
      </c>
      <c r="EN179">
        <f t="shared" si="3582"/>
        <v>0</v>
      </c>
      <c r="EO179">
        <f t="shared" si="3583"/>
        <v>7.1099999999999997E-2</v>
      </c>
      <c r="EP179">
        <f t="shared" si="3584"/>
        <v>6.4683000000000002</v>
      </c>
      <c r="EQ179">
        <f t="shared" si="3585"/>
        <v>2.6099999999999998E-2</v>
      </c>
      <c r="ER179">
        <f t="shared" si="3586"/>
        <v>0</v>
      </c>
      <c r="ES179">
        <f t="shared" si="3587"/>
        <v>0.67679999999999996</v>
      </c>
      <c r="ET179">
        <f t="shared" si="3588"/>
        <v>0.61109999999999998</v>
      </c>
      <c r="EU179">
        <f t="shared" si="3589"/>
        <v>6.5700000000000008E-2</v>
      </c>
      <c r="EV179">
        <f t="shared" si="3590"/>
        <v>0</v>
      </c>
      <c r="EW179">
        <f t="shared" si="3591"/>
        <v>0</v>
      </c>
      <c r="EX179">
        <f t="shared" si="3592"/>
        <v>0</v>
      </c>
      <c r="EY179">
        <f t="shared" si="3593"/>
        <v>0</v>
      </c>
      <c r="EZ179">
        <f t="shared" si="3594"/>
        <v>0</v>
      </c>
      <c r="FA179">
        <f t="shared" si="3595"/>
        <v>0</v>
      </c>
      <c r="FB179">
        <f t="shared" si="3596"/>
        <v>0</v>
      </c>
      <c r="FC179">
        <f t="shared" si="3597"/>
        <v>0</v>
      </c>
      <c r="FD179">
        <f t="shared" si="3598"/>
        <v>0</v>
      </c>
      <c r="FE179">
        <f t="shared" si="3599"/>
        <v>0</v>
      </c>
      <c r="FF179">
        <f t="shared" si="3600"/>
        <v>0</v>
      </c>
      <c r="FG179">
        <f t="shared" si="3601"/>
        <v>0</v>
      </c>
      <c r="FH179">
        <f t="shared" si="3602"/>
        <v>0</v>
      </c>
      <c r="FI179">
        <f t="shared" si="3603"/>
        <v>0</v>
      </c>
      <c r="FJ179">
        <f t="shared" si="3604"/>
        <v>0</v>
      </c>
      <c r="FK179">
        <f t="shared" si="3605"/>
        <v>0</v>
      </c>
      <c r="FL179">
        <f t="shared" si="3606"/>
        <v>0</v>
      </c>
      <c r="FM179">
        <f t="shared" si="3607"/>
        <v>0</v>
      </c>
      <c r="FN179">
        <f t="shared" si="3608"/>
        <v>0</v>
      </c>
      <c r="FO179">
        <f t="shared" si="3609"/>
        <v>0</v>
      </c>
      <c r="FP179">
        <f t="shared" si="3610"/>
        <v>0</v>
      </c>
      <c r="FQ179">
        <f t="shared" si="3611"/>
        <v>0</v>
      </c>
      <c r="FR179">
        <f t="shared" si="3612"/>
        <v>0</v>
      </c>
      <c r="FS179">
        <f t="shared" si="3613"/>
        <v>0</v>
      </c>
      <c r="FT179">
        <f t="shared" si="3614"/>
        <v>0</v>
      </c>
      <c r="FU179">
        <f t="shared" si="3615"/>
        <v>0</v>
      </c>
      <c r="FV179">
        <f t="shared" si="3616"/>
        <v>0</v>
      </c>
      <c r="FW179">
        <f t="shared" si="3617"/>
        <v>0</v>
      </c>
    </row>
    <row r="180" spans="1:179" x14ac:dyDescent="0.35">
      <c r="CN180">
        <f>SUM(CN178:CN179)</f>
        <v>197.39</v>
      </c>
      <c r="CO180">
        <f t="shared" ref="CO180:EZ180" si="3618">SUM(CO178:CO179)</f>
        <v>817.67</v>
      </c>
      <c r="CP180">
        <f t="shared" si="3618"/>
        <v>11.284000000000001</v>
      </c>
      <c r="CQ180">
        <f t="shared" si="3618"/>
        <v>11.284000000000001</v>
      </c>
      <c r="CR180">
        <f t="shared" si="3618"/>
        <v>0</v>
      </c>
      <c r="CS180">
        <f t="shared" si="3618"/>
        <v>16.907999999999998</v>
      </c>
      <c r="CT180">
        <f t="shared" si="3618"/>
        <v>7.9169999999999989</v>
      </c>
      <c r="CU180">
        <f t="shared" si="3618"/>
        <v>8.9909999999999997</v>
      </c>
      <c r="CV180">
        <f t="shared" si="3618"/>
        <v>337.61</v>
      </c>
      <c r="CW180">
        <f t="shared" si="3618"/>
        <v>4.5499999999999999E-2</v>
      </c>
      <c r="CX180">
        <f t="shared" si="3618"/>
        <v>0</v>
      </c>
      <c r="CY180">
        <f t="shared" si="3618"/>
        <v>4.5499999999999999E-2</v>
      </c>
      <c r="CZ180">
        <f t="shared" si="3618"/>
        <v>0</v>
      </c>
      <c r="DA180">
        <f t="shared" si="3618"/>
        <v>0</v>
      </c>
      <c r="DB180">
        <f t="shared" si="3618"/>
        <v>70.161000000000001</v>
      </c>
      <c r="DC180">
        <f t="shared" si="3618"/>
        <v>1.383</v>
      </c>
      <c r="DD180">
        <f t="shared" si="3618"/>
        <v>43.68</v>
      </c>
      <c r="DE180">
        <f t="shared" si="3618"/>
        <v>124.715</v>
      </c>
      <c r="DF180">
        <f t="shared" si="3618"/>
        <v>121.075</v>
      </c>
      <c r="DG180">
        <f t="shared" si="3618"/>
        <v>191.1</v>
      </c>
      <c r="DH180">
        <f t="shared" si="3618"/>
        <v>1.0924500000000001</v>
      </c>
      <c r="DI180">
        <f t="shared" si="3618"/>
        <v>11.875</v>
      </c>
      <c r="DJ180">
        <f t="shared" si="3618"/>
        <v>5.5500000000000001E-2</v>
      </c>
      <c r="DK180">
        <f t="shared" si="3618"/>
        <v>5.2824999999999998</v>
      </c>
      <c r="DL180">
        <f t="shared" si="3618"/>
        <v>145.64499999999998</v>
      </c>
      <c r="DM180">
        <f t="shared" si="3618"/>
        <v>48.274999999999999</v>
      </c>
      <c r="DN180">
        <f t="shared" si="3618"/>
        <v>5.0000000000000001E-3</v>
      </c>
      <c r="DO180">
        <f t="shared" si="3618"/>
        <v>163.845</v>
      </c>
      <c r="DP180">
        <f t="shared" si="3618"/>
        <v>8.1900000000000001E-2</v>
      </c>
      <c r="DQ180">
        <f t="shared" si="3618"/>
        <v>0.27300000000000002</v>
      </c>
      <c r="DR180">
        <f t="shared" si="3618"/>
        <v>0</v>
      </c>
      <c r="DS180">
        <f t="shared" si="3618"/>
        <v>9.0999999999999998E-2</v>
      </c>
      <c r="DT180">
        <f t="shared" si="3618"/>
        <v>0.10965000000000001</v>
      </c>
      <c r="DU180">
        <f t="shared" si="3618"/>
        <v>45.545000000000002</v>
      </c>
      <c r="DV180">
        <f t="shared" si="3618"/>
        <v>1.6111500000000001</v>
      </c>
      <c r="DW180">
        <f t="shared" si="3618"/>
        <v>18.204499999999999</v>
      </c>
      <c r="DX180">
        <f t="shared" si="3618"/>
        <v>2.2749999999999999</v>
      </c>
      <c r="DY180">
        <f t="shared" si="3618"/>
        <v>207.99</v>
      </c>
      <c r="DZ180">
        <f t="shared" si="3618"/>
        <v>192.01</v>
      </c>
      <c r="EA180">
        <f t="shared" si="3618"/>
        <v>95.88</v>
      </c>
      <c r="EB180">
        <f t="shared" si="3618"/>
        <v>2.9379000000000004</v>
      </c>
      <c r="EC180">
        <f t="shared" si="3618"/>
        <v>1.5925</v>
      </c>
      <c r="ED180">
        <f t="shared" si="3618"/>
        <v>5.1795499999999999</v>
      </c>
      <c r="EE180">
        <f t="shared" si="3618"/>
        <v>4.1860999999999997</v>
      </c>
      <c r="EF180">
        <f t="shared" si="3618"/>
        <v>0</v>
      </c>
      <c r="EG180">
        <f t="shared" si="3618"/>
        <v>0</v>
      </c>
      <c r="EH180">
        <f t="shared" si="3618"/>
        <v>2.7300000000000001E-2</v>
      </c>
      <c r="EI180">
        <f t="shared" si="3618"/>
        <v>2.6866000000000003</v>
      </c>
      <c r="EJ180">
        <f t="shared" si="3618"/>
        <v>1.3765000000000001</v>
      </c>
      <c r="EK180">
        <f t="shared" si="3618"/>
        <v>6.8400000000000002E-2</v>
      </c>
      <c r="EL180">
        <f t="shared" si="3618"/>
        <v>0</v>
      </c>
      <c r="EM180">
        <f t="shared" si="3618"/>
        <v>8.9133000000000013</v>
      </c>
      <c r="EN180">
        <f t="shared" si="3618"/>
        <v>0</v>
      </c>
      <c r="EO180">
        <f t="shared" si="3618"/>
        <v>0.28039999999999998</v>
      </c>
      <c r="EP180">
        <f t="shared" si="3618"/>
        <v>8.6067999999999998</v>
      </c>
      <c r="EQ180">
        <f t="shared" si="3618"/>
        <v>2.6099999999999998E-2</v>
      </c>
      <c r="ER180">
        <f t="shared" si="3618"/>
        <v>0</v>
      </c>
      <c r="ES180">
        <f t="shared" si="3618"/>
        <v>1.8233999999999999</v>
      </c>
      <c r="ET180">
        <f t="shared" si="3618"/>
        <v>1.5757000000000001</v>
      </c>
      <c r="EU180">
        <f t="shared" si="3618"/>
        <v>0.10210000000000001</v>
      </c>
      <c r="EV180">
        <f t="shared" si="3618"/>
        <v>0.14560000000000001</v>
      </c>
      <c r="EW180">
        <f t="shared" si="3618"/>
        <v>0</v>
      </c>
      <c r="EX180">
        <f t="shared" si="3618"/>
        <v>0</v>
      </c>
      <c r="EY180">
        <f t="shared" si="3618"/>
        <v>0</v>
      </c>
      <c r="EZ180">
        <f t="shared" si="3618"/>
        <v>179.27</v>
      </c>
      <c r="FA180">
        <f t="shared" ref="FA180:FW180" si="3619">SUM(FA178:FA179)</f>
        <v>566.92999999999995</v>
      </c>
      <c r="FB180">
        <f t="shared" si="3619"/>
        <v>597.87</v>
      </c>
      <c r="FC180">
        <f t="shared" si="3619"/>
        <v>947.31</v>
      </c>
      <c r="FD180">
        <f t="shared" si="3619"/>
        <v>800.8</v>
      </c>
      <c r="FE180">
        <f t="shared" si="3619"/>
        <v>397.67</v>
      </c>
      <c r="FF180">
        <f t="shared" si="3619"/>
        <v>293.93</v>
      </c>
      <c r="FG180">
        <f t="shared" si="3619"/>
        <v>602.41999999999996</v>
      </c>
      <c r="FH180">
        <f t="shared" si="3619"/>
        <v>457.73</v>
      </c>
      <c r="FI180">
        <f t="shared" si="3619"/>
        <v>748.93</v>
      </c>
      <c r="FJ180">
        <f t="shared" si="3619"/>
        <v>697.97</v>
      </c>
      <c r="FK180">
        <f t="shared" si="3619"/>
        <v>271.18</v>
      </c>
      <c r="FL180">
        <f t="shared" si="3619"/>
        <v>654.29</v>
      </c>
      <c r="FM180">
        <f t="shared" si="3619"/>
        <v>1100.19</v>
      </c>
      <c r="FN180">
        <f t="shared" si="3619"/>
        <v>1372.28</v>
      </c>
      <c r="FO180">
        <f t="shared" si="3619"/>
        <v>378.56</v>
      </c>
      <c r="FP180">
        <f t="shared" si="3619"/>
        <v>451.36</v>
      </c>
      <c r="FQ180">
        <f t="shared" si="3619"/>
        <v>766.22</v>
      </c>
      <c r="FR180">
        <f t="shared" si="3619"/>
        <v>4.5499999999999999E-2</v>
      </c>
      <c r="FS180">
        <f t="shared" si="3619"/>
        <v>0</v>
      </c>
      <c r="FT180">
        <f t="shared" si="3619"/>
        <v>0</v>
      </c>
      <c r="FU180">
        <f t="shared" si="3619"/>
        <v>0</v>
      </c>
      <c r="FV180">
        <f t="shared" si="3619"/>
        <v>0</v>
      </c>
      <c r="FW180">
        <f t="shared" si="3619"/>
        <v>0</v>
      </c>
    </row>
    <row r="182" spans="1:179" x14ac:dyDescent="0.35">
      <c r="A182" s="80" t="s">
        <v>414</v>
      </c>
      <c r="B182" s="72" t="s">
        <v>416</v>
      </c>
      <c r="C182">
        <v>70</v>
      </c>
      <c r="D182" s="54">
        <v>73</v>
      </c>
      <c r="E182" s="54">
        <v>305</v>
      </c>
      <c r="F182" s="54">
        <v>4.3</v>
      </c>
      <c r="G182" s="54">
        <v>0</v>
      </c>
      <c r="H182" s="54">
        <v>4.3</v>
      </c>
      <c r="I182" s="54">
        <v>1.4</v>
      </c>
      <c r="J182" s="54">
        <v>0</v>
      </c>
      <c r="K182" s="54">
        <v>1.4</v>
      </c>
      <c r="L182" s="54">
        <v>0</v>
      </c>
      <c r="M182" s="54">
        <v>7.2</v>
      </c>
      <c r="N182" s="54">
        <v>5.8</v>
      </c>
      <c r="O182" s="54">
        <v>1.4</v>
      </c>
      <c r="P182" s="54">
        <v>8.1</v>
      </c>
      <c r="Q182" s="54">
        <v>0</v>
      </c>
      <c r="R182" s="54">
        <v>78</v>
      </c>
      <c r="S182" s="54">
        <v>1.5</v>
      </c>
      <c r="T182" s="54">
        <v>41</v>
      </c>
      <c r="U182" s="54">
        <v>336</v>
      </c>
      <c r="V182" s="54">
        <v>96</v>
      </c>
      <c r="W182" s="54">
        <v>55</v>
      </c>
      <c r="X182" s="54">
        <v>0.5</v>
      </c>
      <c r="Y182" s="81">
        <v>0</v>
      </c>
      <c r="Z182" s="81">
        <v>0</v>
      </c>
      <c r="AA182" s="81">
        <v>0</v>
      </c>
      <c r="AB182" s="81">
        <v>0</v>
      </c>
      <c r="AC182" s="81">
        <v>0</v>
      </c>
      <c r="AD182" s="81">
        <v>0</v>
      </c>
      <c r="AE182" s="81">
        <v>0</v>
      </c>
      <c r="AF182" s="54">
        <v>0.03</v>
      </c>
      <c r="AG182" s="54">
        <v>0.02</v>
      </c>
      <c r="AH182" s="51">
        <v>0.5</v>
      </c>
      <c r="AI182" s="54">
        <v>0.1</v>
      </c>
      <c r="AJ182" s="54">
        <v>0.03</v>
      </c>
      <c r="AK182" s="54">
        <v>7</v>
      </c>
      <c r="AL182" s="81">
        <v>0</v>
      </c>
      <c r="AM182" s="81">
        <v>0</v>
      </c>
      <c r="AN182" s="81">
        <v>0</v>
      </c>
      <c r="AO182" s="54">
        <v>2</v>
      </c>
      <c r="AP182" s="54">
        <v>0</v>
      </c>
      <c r="AQ182" s="54">
        <v>14</v>
      </c>
      <c r="AR182" s="54">
        <v>1.05</v>
      </c>
      <c r="AS182" s="54">
        <v>0</v>
      </c>
      <c r="AT182" s="81">
        <v>0</v>
      </c>
      <c r="AU182" s="54">
        <v>0.18</v>
      </c>
      <c r="AV182" s="81">
        <v>0</v>
      </c>
      <c r="AW182" s="81">
        <v>0</v>
      </c>
      <c r="AX182" s="81">
        <v>0</v>
      </c>
      <c r="AY182" s="81">
        <v>0</v>
      </c>
      <c r="AZ182" s="81">
        <v>0</v>
      </c>
      <c r="BA182" s="81">
        <v>0</v>
      </c>
      <c r="BB182" s="81">
        <v>0</v>
      </c>
      <c r="BC182" s="54">
        <v>0.39</v>
      </c>
      <c r="BD182" s="81">
        <v>0</v>
      </c>
      <c r="BE182" s="81">
        <v>0</v>
      </c>
      <c r="BF182" s="54">
        <v>0.38</v>
      </c>
      <c r="BG182" s="81">
        <v>0</v>
      </c>
      <c r="BH182" s="81">
        <v>0</v>
      </c>
      <c r="BI182" s="54">
        <v>0.77</v>
      </c>
      <c r="BJ182" s="54">
        <v>0.74</v>
      </c>
      <c r="BK182" s="54">
        <v>0.03</v>
      </c>
      <c r="BL182" s="82">
        <v>0</v>
      </c>
      <c r="BM182" s="82">
        <v>0</v>
      </c>
      <c r="BN182" s="82">
        <v>0</v>
      </c>
      <c r="BO182" s="54">
        <v>0</v>
      </c>
      <c r="BP182" s="56">
        <v>44</v>
      </c>
      <c r="BQ182" s="56">
        <v>155</v>
      </c>
      <c r="BR182" s="56">
        <v>188</v>
      </c>
      <c r="BS182" s="56">
        <v>343</v>
      </c>
      <c r="BT182" s="56">
        <v>284</v>
      </c>
      <c r="BU182" s="56">
        <v>44</v>
      </c>
      <c r="BV182" s="56">
        <v>45</v>
      </c>
      <c r="BW182" s="56">
        <v>261</v>
      </c>
      <c r="BX182" s="56">
        <v>129</v>
      </c>
      <c r="BY182" s="56">
        <v>198</v>
      </c>
      <c r="BZ182" s="56">
        <v>378</v>
      </c>
      <c r="CA182" s="56">
        <v>108</v>
      </c>
      <c r="CB182" s="56">
        <v>182</v>
      </c>
      <c r="CC182" s="56">
        <v>494</v>
      </c>
      <c r="CD182" s="56">
        <v>678</v>
      </c>
      <c r="CE182" s="56">
        <v>161</v>
      </c>
      <c r="CF182" s="56">
        <v>177</v>
      </c>
      <c r="CG182" s="56">
        <v>219</v>
      </c>
      <c r="CH182" s="81">
        <v>0</v>
      </c>
      <c r="CI182" s="81">
        <v>0</v>
      </c>
      <c r="CJ182" s="83">
        <v>0</v>
      </c>
      <c r="CK182" s="81">
        <v>0</v>
      </c>
      <c r="CL182" s="81">
        <v>0</v>
      </c>
      <c r="CM182" s="83">
        <v>0</v>
      </c>
      <c r="CN182">
        <f t="shared" ref="CN182:CN183" si="3620">($C182*D182)/100</f>
        <v>51.1</v>
      </c>
      <c r="CO182">
        <f t="shared" ref="CO182:CO183" si="3621">($C182*E182)/100</f>
        <v>213.5</v>
      </c>
      <c r="CP182">
        <f t="shared" ref="CP182:CP183" si="3622">($C182*F182)/100</f>
        <v>3.01</v>
      </c>
      <c r="CQ182">
        <f t="shared" ref="CQ182:CQ183" si="3623">($C182*G182)/100</f>
        <v>0</v>
      </c>
      <c r="CR182">
        <f t="shared" ref="CR182:CR183" si="3624">($C182*H182)/100</f>
        <v>3.01</v>
      </c>
      <c r="CS182">
        <f t="shared" ref="CS182:CS183" si="3625">($C182*I182)/100</f>
        <v>0.98</v>
      </c>
      <c r="CT182">
        <f t="shared" ref="CT182:CT183" si="3626">($C182*J182)/100</f>
        <v>0</v>
      </c>
      <c r="CU182">
        <f t="shared" ref="CU182:CU183" si="3627">($C182*K182)/100</f>
        <v>0.98</v>
      </c>
      <c r="CV182">
        <f t="shared" ref="CV182:CV183" si="3628">($C182*L182)/100</f>
        <v>0</v>
      </c>
      <c r="CW182">
        <f t="shared" ref="CW182:CW183" si="3629">($C182*M182)/100</f>
        <v>5.04</v>
      </c>
      <c r="CX182">
        <f t="shared" ref="CX182:CX183" si="3630">($C182*N182)/100</f>
        <v>4.0599999999999996</v>
      </c>
      <c r="CY182">
        <f t="shared" ref="CY182:CY183" si="3631">($C182*O182)/100</f>
        <v>0.98</v>
      </c>
      <c r="CZ182">
        <f t="shared" ref="CZ182:CZ183" si="3632">($C182*P182)/100</f>
        <v>5.67</v>
      </c>
      <c r="DA182">
        <f t="shared" ref="DA182:DA183" si="3633">($C182*Q182)/100</f>
        <v>0</v>
      </c>
      <c r="DB182">
        <f t="shared" ref="DB182:DB183" si="3634">($C182*R182)/100</f>
        <v>54.6</v>
      </c>
      <c r="DC182">
        <f t="shared" ref="DC182:DC183" si="3635">($C182*S182)/100</f>
        <v>1.05</v>
      </c>
      <c r="DD182">
        <f t="shared" ref="DD182:DD183" si="3636">($C182*T182)/100</f>
        <v>28.7</v>
      </c>
      <c r="DE182">
        <f t="shared" ref="DE182:DE183" si="3637">($C182*U182)/100</f>
        <v>235.2</v>
      </c>
      <c r="DF182">
        <f t="shared" ref="DF182:DF183" si="3638">($C182*V182)/100</f>
        <v>67.2</v>
      </c>
      <c r="DG182">
        <f t="shared" ref="DG182:DG183" si="3639">($C182*W182)/100</f>
        <v>38.5</v>
      </c>
      <c r="DH182">
        <f t="shared" ref="DH182:DH183" si="3640">($C182*X182)/100</f>
        <v>0.35</v>
      </c>
      <c r="DI182">
        <f t="shared" ref="DI182:DI183" si="3641">($C182*Y182)/100</f>
        <v>0</v>
      </c>
      <c r="DJ182">
        <f t="shared" ref="DJ182:DJ183" si="3642">($C182*Z182)/100</f>
        <v>0</v>
      </c>
      <c r="DK182">
        <f t="shared" ref="DK182:DK183" si="3643">($C182*AA182)/100</f>
        <v>0</v>
      </c>
      <c r="DL182">
        <f t="shared" ref="DL182:DL183" si="3644">($C182*AB182)/100</f>
        <v>0</v>
      </c>
      <c r="DM182">
        <f t="shared" ref="DM182:DM183" si="3645">($C182*AC182)/100</f>
        <v>0</v>
      </c>
      <c r="DN182">
        <f t="shared" ref="DN182:DN183" si="3646">($C182*AD182)/100</f>
        <v>0</v>
      </c>
      <c r="DO182">
        <f t="shared" ref="DO182:DO183" si="3647">($C182*AE182)/100</f>
        <v>0</v>
      </c>
      <c r="DP182">
        <f t="shared" ref="DP182:DP183" si="3648">($C182*AF182)/100</f>
        <v>2.1000000000000001E-2</v>
      </c>
      <c r="DQ182">
        <f t="shared" ref="DQ182:DQ183" si="3649">($C182*AG182)/100</f>
        <v>1.4000000000000002E-2</v>
      </c>
      <c r="DR182">
        <f t="shared" ref="DR182:DR183" si="3650">($C182*AH182)/100</f>
        <v>0.35</v>
      </c>
      <c r="DS182">
        <f t="shared" ref="DS182:DS183" si="3651">($C182*AI182)/100</f>
        <v>7.0000000000000007E-2</v>
      </c>
      <c r="DT182">
        <f t="shared" ref="DT182:DT183" si="3652">($C182*AJ182)/100</f>
        <v>2.1000000000000001E-2</v>
      </c>
      <c r="DU182">
        <f t="shared" ref="DU182:DU183" si="3653">($C182*AK182)/100</f>
        <v>4.9000000000000004</v>
      </c>
      <c r="DV182">
        <f t="shared" ref="DV182:DV183" si="3654">($C182*AL182)/100</f>
        <v>0</v>
      </c>
      <c r="DW182">
        <f t="shared" ref="DW182:DW183" si="3655">($C182*AM182)/100</f>
        <v>0</v>
      </c>
      <c r="DX182">
        <f t="shared" ref="DX182:DX183" si="3656">($C182*AN182)/100</f>
        <v>0</v>
      </c>
      <c r="DY182">
        <f t="shared" ref="DY182:DY183" si="3657">($C182*AO182)/100</f>
        <v>1.4</v>
      </c>
      <c r="DZ182">
        <f t="shared" ref="DZ182:DZ183" si="3658">($C182*AP182)/100</f>
        <v>0</v>
      </c>
      <c r="EA182">
        <f t="shared" ref="EA182:EA183" si="3659">($C182*AQ182)/100</f>
        <v>9.8000000000000007</v>
      </c>
      <c r="EB182">
        <f t="shared" ref="EB182:EB183" si="3660">($C182*AR182)/100</f>
        <v>0.73499999999999999</v>
      </c>
      <c r="EC182">
        <f t="shared" ref="EC182:EC183" si="3661">($C182*AS182)/100</f>
        <v>0</v>
      </c>
      <c r="ED182">
        <f t="shared" ref="ED182:ED183" si="3662">($C182*AT182)/100</f>
        <v>0</v>
      </c>
      <c r="EE182">
        <f t="shared" ref="EE182:EE183" si="3663">($C182*AU182)/100</f>
        <v>0.126</v>
      </c>
      <c r="EF182">
        <f t="shared" ref="EF182:EF183" si="3664">($C182*AV182)/100</f>
        <v>0</v>
      </c>
      <c r="EG182">
        <f t="shared" ref="EG182:EG183" si="3665">($C182*AW182)/100</f>
        <v>0</v>
      </c>
      <c r="EH182">
        <f t="shared" ref="EH182:EH183" si="3666">($C182*AX182)/100</f>
        <v>0</v>
      </c>
      <c r="EI182">
        <f t="shared" ref="EI182:EI183" si="3667">($C182*AY182)/100</f>
        <v>0</v>
      </c>
      <c r="EJ182">
        <f t="shared" ref="EJ182:EJ183" si="3668">($C182*AZ182)/100</f>
        <v>0</v>
      </c>
      <c r="EK182">
        <f t="shared" ref="EK182:EK183" si="3669">($C182*BA182)/100</f>
        <v>0</v>
      </c>
      <c r="EL182">
        <f t="shared" ref="EL182:EL183" si="3670">($C182*BB182)/100</f>
        <v>0</v>
      </c>
      <c r="EM182">
        <f t="shared" ref="EM182:EM183" si="3671">($C182*BC182)/100</f>
        <v>0.27300000000000002</v>
      </c>
      <c r="EN182">
        <f t="shared" ref="EN182:EN183" si="3672">($C182*BD182)/100</f>
        <v>0</v>
      </c>
      <c r="EO182">
        <f t="shared" ref="EO182:EO183" si="3673">($C182*BE182)/100</f>
        <v>0</v>
      </c>
      <c r="EP182">
        <f t="shared" ref="EP182:EP183" si="3674">($C182*BF182)/100</f>
        <v>0.26600000000000001</v>
      </c>
      <c r="EQ182">
        <f t="shared" ref="EQ182:EQ183" si="3675">($C182*BG182)/100</f>
        <v>0</v>
      </c>
      <c r="ER182">
        <f t="shared" ref="ER182:ER183" si="3676">($C182*BH182)/100</f>
        <v>0</v>
      </c>
      <c r="ES182">
        <f t="shared" ref="ES182:ES183" si="3677">($C182*BI182)/100</f>
        <v>0.53900000000000003</v>
      </c>
      <c r="ET182">
        <f t="shared" ref="ET182:ET183" si="3678">($C182*BJ182)/100</f>
        <v>0.51800000000000002</v>
      </c>
      <c r="EU182">
        <f t="shared" ref="EU182:EU183" si="3679">($C182*BK182)/100</f>
        <v>2.1000000000000001E-2</v>
      </c>
      <c r="EV182">
        <f t="shared" ref="EV182:EV183" si="3680">($C182*BL182)/100</f>
        <v>0</v>
      </c>
      <c r="EW182">
        <f t="shared" ref="EW182:EW183" si="3681">($C182*BM182)/100</f>
        <v>0</v>
      </c>
      <c r="EX182">
        <f t="shared" ref="EX182:EX183" si="3682">($C182*BN182)/100</f>
        <v>0</v>
      </c>
      <c r="EY182">
        <f t="shared" ref="EY182:EY183" si="3683">($C182*BO182)/100</f>
        <v>0</v>
      </c>
      <c r="EZ182">
        <f t="shared" ref="EZ182:EZ183" si="3684">($C182*BP182)/100</f>
        <v>30.8</v>
      </c>
      <c r="FA182">
        <f t="shared" ref="FA182:FA183" si="3685">($C182*BQ182)/100</f>
        <v>108.5</v>
      </c>
      <c r="FB182">
        <f t="shared" ref="FB182:FB183" si="3686">($C182*BR182)/100</f>
        <v>131.6</v>
      </c>
      <c r="FC182">
        <f t="shared" ref="FC182:FC183" si="3687">($C182*BS182)/100</f>
        <v>240.1</v>
      </c>
      <c r="FD182">
        <f t="shared" ref="FD182:FD183" si="3688">($C182*BT182)/100</f>
        <v>198.8</v>
      </c>
      <c r="FE182">
        <f t="shared" ref="FE182:FE183" si="3689">($C182*BU182)/100</f>
        <v>30.8</v>
      </c>
      <c r="FF182">
        <f t="shared" ref="FF182:FF183" si="3690">($C182*BV182)/100</f>
        <v>31.5</v>
      </c>
      <c r="FG182">
        <f t="shared" ref="FG182:FG183" si="3691">($C182*BW182)/100</f>
        <v>182.7</v>
      </c>
      <c r="FH182">
        <f t="shared" ref="FH182:FH183" si="3692">($C182*BX182)/100</f>
        <v>90.3</v>
      </c>
      <c r="FI182">
        <f t="shared" ref="FI182:FI183" si="3693">($C182*BY182)/100</f>
        <v>138.6</v>
      </c>
      <c r="FJ182">
        <f t="shared" ref="FJ182:FJ183" si="3694">($C182*BZ182)/100</f>
        <v>264.60000000000002</v>
      </c>
      <c r="FK182">
        <f t="shared" ref="FK182:FK183" si="3695">($C182*CA182)/100</f>
        <v>75.599999999999994</v>
      </c>
      <c r="FL182">
        <f t="shared" ref="FL182:FL183" si="3696">($C182*CB182)/100</f>
        <v>127.4</v>
      </c>
      <c r="FM182">
        <f t="shared" ref="FM182:FM183" si="3697">($C182*CC182)/100</f>
        <v>345.8</v>
      </c>
      <c r="FN182">
        <f t="shared" ref="FN182:FN183" si="3698">($C182*CD182)/100</f>
        <v>474.6</v>
      </c>
      <c r="FO182">
        <f t="shared" ref="FO182:FO183" si="3699">($C182*CE182)/100</f>
        <v>112.7</v>
      </c>
      <c r="FP182">
        <f t="shared" ref="FP182:FP183" si="3700">($C182*CF182)/100</f>
        <v>123.9</v>
      </c>
      <c r="FQ182">
        <f t="shared" ref="FQ182:FQ183" si="3701">($C182*CG182)/100</f>
        <v>153.30000000000001</v>
      </c>
      <c r="FR182">
        <f t="shared" ref="FR182:FR183" si="3702">($C182*CH182)/100</f>
        <v>0</v>
      </c>
      <c r="FS182">
        <f t="shared" ref="FS182:FS183" si="3703">($C182*CI182)/100</f>
        <v>0</v>
      </c>
      <c r="FT182">
        <f t="shared" ref="FT182:FT183" si="3704">($C182*CJ182)/100</f>
        <v>0</v>
      </c>
      <c r="FU182">
        <f t="shared" ref="FU182:FU183" si="3705">($C182*CK182)/100</f>
        <v>0</v>
      </c>
      <c r="FV182">
        <f t="shared" ref="FV182:FV183" si="3706">($C182*CL182)/100</f>
        <v>0</v>
      </c>
      <c r="FW182">
        <f t="shared" ref="FW182:FW183" si="3707">($C182*CM182)/100</f>
        <v>0</v>
      </c>
    </row>
    <row r="183" spans="1:179" x14ac:dyDescent="0.35">
      <c r="B183" s="1" t="s">
        <v>415</v>
      </c>
      <c r="C183">
        <v>10</v>
      </c>
      <c r="D183" s="48">
        <v>595</v>
      </c>
      <c r="E183" s="48">
        <v>2490</v>
      </c>
      <c r="F183" s="48">
        <v>17</v>
      </c>
      <c r="G183" s="49">
        <v>0</v>
      </c>
      <c r="H183" s="49">
        <v>17</v>
      </c>
      <c r="I183" s="48">
        <v>53.8</v>
      </c>
      <c r="J183" s="49">
        <v>0</v>
      </c>
      <c r="K183" s="49">
        <v>53.8</v>
      </c>
      <c r="L183" s="48">
        <v>0</v>
      </c>
      <c r="M183" s="50">
        <v>1.4</v>
      </c>
      <c r="N183" s="50">
        <v>0.3</v>
      </c>
      <c r="O183" s="50">
        <v>1.1000000000000001</v>
      </c>
      <c r="P183" s="48">
        <v>9.3000000000000007</v>
      </c>
      <c r="Q183" s="48">
        <v>0</v>
      </c>
      <c r="R183" s="48">
        <v>3.05</v>
      </c>
      <c r="S183" s="48">
        <v>8.9499999999999993</v>
      </c>
      <c r="T183" s="48">
        <v>426</v>
      </c>
      <c r="U183" s="48">
        <v>115</v>
      </c>
      <c r="V183" s="48">
        <v>414</v>
      </c>
      <c r="W183" s="48">
        <v>732</v>
      </c>
      <c r="X183" s="48">
        <v>4.62</v>
      </c>
      <c r="Y183" s="48">
        <v>95</v>
      </c>
      <c r="Z183" s="48">
        <v>1.61</v>
      </c>
      <c r="AA183" s="48">
        <v>34.4</v>
      </c>
      <c r="AB183" s="50">
        <v>10</v>
      </c>
      <c r="AC183" s="50">
        <v>2.2999999999999998</v>
      </c>
      <c r="AD183" s="48">
        <v>1.46</v>
      </c>
      <c r="AE183" s="50">
        <v>211</v>
      </c>
      <c r="AF183" s="48">
        <v>1.22</v>
      </c>
      <c r="AG183" s="48">
        <v>0.47299999999999998</v>
      </c>
      <c r="AH183" s="48">
        <v>0</v>
      </c>
      <c r="AI183" s="48">
        <v>5.45</v>
      </c>
      <c r="AJ183" s="48">
        <v>0.14899999999999999</v>
      </c>
      <c r="AK183" s="48">
        <v>98</v>
      </c>
      <c r="AL183" s="48">
        <v>0.69299999999999995</v>
      </c>
      <c r="AM183" s="50">
        <v>11</v>
      </c>
      <c r="AN183" s="48">
        <v>0</v>
      </c>
      <c r="AO183" s="48">
        <v>6.666666666666667</v>
      </c>
      <c r="AP183" s="48">
        <v>0</v>
      </c>
      <c r="AQ183" s="48">
        <v>40</v>
      </c>
      <c r="AR183" s="48">
        <v>0.25</v>
      </c>
      <c r="AS183" s="48">
        <v>0</v>
      </c>
      <c r="AT183" s="48">
        <v>0</v>
      </c>
      <c r="AU183" s="48">
        <v>7.53</v>
      </c>
      <c r="AV183" s="44">
        <v>0</v>
      </c>
      <c r="AW183" s="48">
        <v>0</v>
      </c>
      <c r="AX183" s="48">
        <v>0.13400000000000001</v>
      </c>
      <c r="AY183" s="48">
        <v>4.8099999999999996</v>
      </c>
      <c r="AZ183" s="48">
        <v>2.2599999999999998</v>
      </c>
      <c r="BA183" s="43">
        <v>0.16300000000000026</v>
      </c>
      <c r="BB183" s="43">
        <v>0.16300000000000026</v>
      </c>
      <c r="BC183" s="48">
        <v>20.3</v>
      </c>
      <c r="BD183" s="43">
        <v>6.4000000000000001E-2</v>
      </c>
      <c r="BE183" s="48">
        <v>0.161</v>
      </c>
      <c r="BF183" s="48">
        <v>20</v>
      </c>
      <c r="BG183" s="48">
        <v>7.4999999999999997E-2</v>
      </c>
      <c r="BH183" s="48">
        <v>0</v>
      </c>
      <c r="BI183" s="48">
        <v>23.6</v>
      </c>
      <c r="BJ183" s="43">
        <v>11.8</v>
      </c>
      <c r="BK183" s="43">
        <v>11.8</v>
      </c>
      <c r="BL183" s="48">
        <v>0</v>
      </c>
      <c r="BM183" s="48">
        <v>0</v>
      </c>
      <c r="BN183" s="48">
        <v>0</v>
      </c>
      <c r="BO183" s="44">
        <v>23.507000000000001</v>
      </c>
      <c r="BP183" s="48">
        <v>0.372</v>
      </c>
      <c r="BQ183" s="48">
        <v>0.70599999999999996</v>
      </c>
      <c r="BR183" s="48">
        <v>0.73099999999999998</v>
      </c>
      <c r="BS183" s="48">
        <v>1.3</v>
      </c>
      <c r="BT183" s="48">
        <v>0.54500000000000004</v>
      </c>
      <c r="BU183" s="48">
        <v>0.56100000000000005</v>
      </c>
      <c r="BV183" s="48">
        <v>0.34300000000000003</v>
      </c>
      <c r="BW183" s="48">
        <v>0.90100000000000002</v>
      </c>
      <c r="BX183" s="48">
        <v>0.71199999999999997</v>
      </c>
      <c r="BY183" s="48">
        <v>0.95</v>
      </c>
      <c r="BZ183" s="48">
        <v>2.52</v>
      </c>
      <c r="CA183" s="48">
        <v>0.5</v>
      </c>
      <c r="CB183" s="48">
        <v>0.88900000000000001</v>
      </c>
      <c r="CC183" s="48">
        <v>1.58</v>
      </c>
      <c r="CD183" s="48">
        <v>3.79</v>
      </c>
      <c r="CE183" s="48">
        <v>1.1599999999999999</v>
      </c>
      <c r="CF183" s="48">
        <v>0.77600000000000002</v>
      </c>
      <c r="CG183" s="48">
        <v>0.92700000000000005</v>
      </c>
      <c r="CH183" s="50">
        <v>0.2</v>
      </c>
      <c r="CI183" s="50">
        <v>0.2</v>
      </c>
      <c r="CJ183" s="47">
        <v>0</v>
      </c>
      <c r="CK183" s="50">
        <v>0.7</v>
      </c>
      <c r="CL183" s="50">
        <v>0</v>
      </c>
      <c r="CM183" s="47">
        <v>0</v>
      </c>
      <c r="CN183">
        <f t="shared" si="3620"/>
        <v>59.5</v>
      </c>
      <c r="CO183">
        <f t="shared" si="3621"/>
        <v>249</v>
      </c>
      <c r="CP183">
        <f t="shared" si="3622"/>
        <v>1.7</v>
      </c>
      <c r="CQ183">
        <f t="shared" si="3623"/>
        <v>0</v>
      </c>
      <c r="CR183">
        <f t="shared" si="3624"/>
        <v>1.7</v>
      </c>
      <c r="CS183">
        <f t="shared" si="3625"/>
        <v>5.38</v>
      </c>
      <c r="CT183">
        <f t="shared" si="3626"/>
        <v>0</v>
      </c>
      <c r="CU183">
        <f t="shared" si="3627"/>
        <v>5.38</v>
      </c>
      <c r="CV183">
        <f t="shared" si="3628"/>
        <v>0</v>
      </c>
      <c r="CW183">
        <f t="shared" si="3629"/>
        <v>0.14000000000000001</v>
      </c>
      <c r="CX183">
        <f t="shared" si="3630"/>
        <v>0.03</v>
      </c>
      <c r="CY183">
        <f t="shared" si="3631"/>
        <v>0.11</v>
      </c>
      <c r="CZ183">
        <f t="shared" si="3632"/>
        <v>0.93</v>
      </c>
      <c r="DA183">
        <f t="shared" si="3633"/>
        <v>0</v>
      </c>
      <c r="DB183">
        <f t="shared" si="3634"/>
        <v>0.30499999999999999</v>
      </c>
      <c r="DC183">
        <f t="shared" si="3635"/>
        <v>0.89500000000000002</v>
      </c>
      <c r="DD183">
        <f t="shared" si="3636"/>
        <v>42.6</v>
      </c>
      <c r="DE183">
        <f t="shared" si="3637"/>
        <v>11.5</v>
      </c>
      <c r="DF183">
        <f t="shared" si="3638"/>
        <v>41.4</v>
      </c>
      <c r="DG183">
        <f t="shared" si="3639"/>
        <v>73.2</v>
      </c>
      <c r="DH183">
        <f t="shared" si="3640"/>
        <v>0.46200000000000002</v>
      </c>
      <c r="DI183">
        <f t="shared" si="3641"/>
        <v>9.5</v>
      </c>
      <c r="DJ183">
        <f t="shared" si="3642"/>
        <v>0.161</v>
      </c>
      <c r="DK183">
        <f t="shared" si="3643"/>
        <v>3.44</v>
      </c>
      <c r="DL183">
        <f t="shared" si="3644"/>
        <v>1</v>
      </c>
      <c r="DM183">
        <f t="shared" si="3645"/>
        <v>0.23</v>
      </c>
      <c r="DN183">
        <f t="shared" si="3646"/>
        <v>0.14599999999999999</v>
      </c>
      <c r="DO183">
        <f t="shared" si="3647"/>
        <v>21.1</v>
      </c>
      <c r="DP183">
        <f t="shared" si="3648"/>
        <v>0.122</v>
      </c>
      <c r="DQ183">
        <f t="shared" si="3649"/>
        <v>4.7299999999999995E-2</v>
      </c>
      <c r="DR183">
        <f t="shared" si="3650"/>
        <v>0</v>
      </c>
      <c r="DS183">
        <f t="shared" si="3651"/>
        <v>0.54500000000000004</v>
      </c>
      <c r="DT183">
        <f t="shared" si="3652"/>
        <v>1.49E-2</v>
      </c>
      <c r="DU183">
        <f t="shared" si="3653"/>
        <v>9.8000000000000007</v>
      </c>
      <c r="DV183">
        <f t="shared" si="3654"/>
        <v>6.93E-2</v>
      </c>
      <c r="DW183">
        <f t="shared" si="3655"/>
        <v>1.1000000000000001</v>
      </c>
      <c r="DX183">
        <f t="shared" si="3656"/>
        <v>0</v>
      </c>
      <c r="DY183">
        <f t="shared" si="3657"/>
        <v>0.66666666666666674</v>
      </c>
      <c r="DZ183">
        <f t="shared" si="3658"/>
        <v>0</v>
      </c>
      <c r="EA183">
        <f t="shared" si="3659"/>
        <v>4</v>
      </c>
      <c r="EB183">
        <f t="shared" si="3660"/>
        <v>2.5000000000000001E-2</v>
      </c>
      <c r="EC183">
        <f t="shared" si="3661"/>
        <v>0</v>
      </c>
      <c r="ED183">
        <f t="shared" si="3662"/>
        <v>0</v>
      </c>
      <c r="EE183">
        <f t="shared" si="3663"/>
        <v>0.753</v>
      </c>
      <c r="EF183">
        <f t="shared" si="3664"/>
        <v>0</v>
      </c>
      <c r="EG183">
        <f t="shared" si="3665"/>
        <v>0</v>
      </c>
      <c r="EH183">
        <f t="shared" si="3666"/>
        <v>1.34E-2</v>
      </c>
      <c r="EI183">
        <f t="shared" si="3667"/>
        <v>0.48099999999999993</v>
      </c>
      <c r="EJ183">
        <f t="shared" si="3668"/>
        <v>0.22599999999999998</v>
      </c>
      <c r="EK183">
        <f t="shared" si="3669"/>
        <v>1.6300000000000026E-2</v>
      </c>
      <c r="EL183">
        <f t="shared" si="3670"/>
        <v>1.6300000000000026E-2</v>
      </c>
      <c r="EM183">
        <f t="shared" si="3671"/>
        <v>2.0299999999999998</v>
      </c>
      <c r="EN183">
        <f t="shared" si="3672"/>
        <v>6.4000000000000003E-3</v>
      </c>
      <c r="EO183">
        <f t="shared" si="3673"/>
        <v>1.61E-2</v>
      </c>
      <c r="EP183">
        <f t="shared" si="3674"/>
        <v>2</v>
      </c>
      <c r="EQ183">
        <f t="shared" si="3675"/>
        <v>7.4999999999999997E-3</v>
      </c>
      <c r="ER183">
        <f t="shared" si="3676"/>
        <v>0</v>
      </c>
      <c r="ES183">
        <f t="shared" si="3677"/>
        <v>2.36</v>
      </c>
      <c r="ET183">
        <f t="shared" si="3678"/>
        <v>1.18</v>
      </c>
      <c r="EU183">
        <f t="shared" si="3679"/>
        <v>1.18</v>
      </c>
      <c r="EV183">
        <f t="shared" si="3680"/>
        <v>0</v>
      </c>
      <c r="EW183">
        <f t="shared" si="3681"/>
        <v>0</v>
      </c>
      <c r="EX183">
        <f t="shared" si="3682"/>
        <v>0</v>
      </c>
      <c r="EY183">
        <f t="shared" si="3683"/>
        <v>2.3507000000000002</v>
      </c>
      <c r="EZ183">
        <f t="shared" si="3684"/>
        <v>3.7199999999999997E-2</v>
      </c>
      <c r="FA183">
        <f t="shared" si="3685"/>
        <v>7.0599999999999996E-2</v>
      </c>
      <c r="FB183">
        <f t="shared" si="3686"/>
        <v>7.3099999999999998E-2</v>
      </c>
      <c r="FC183">
        <f t="shared" si="3687"/>
        <v>0.13</v>
      </c>
      <c r="FD183">
        <f t="shared" si="3688"/>
        <v>5.45E-2</v>
      </c>
      <c r="FE183">
        <f t="shared" si="3689"/>
        <v>5.6100000000000004E-2</v>
      </c>
      <c r="FF183">
        <f t="shared" si="3690"/>
        <v>3.4300000000000004E-2</v>
      </c>
      <c r="FG183">
        <f t="shared" si="3691"/>
        <v>9.01E-2</v>
      </c>
      <c r="FH183">
        <f t="shared" si="3692"/>
        <v>7.1199999999999986E-2</v>
      </c>
      <c r="FI183">
        <f t="shared" si="3693"/>
        <v>9.5000000000000001E-2</v>
      </c>
      <c r="FJ183">
        <f t="shared" si="3694"/>
        <v>0.252</v>
      </c>
      <c r="FK183">
        <f t="shared" si="3695"/>
        <v>0.05</v>
      </c>
      <c r="FL183">
        <f t="shared" si="3696"/>
        <v>8.8900000000000007E-2</v>
      </c>
      <c r="FM183">
        <f t="shared" si="3697"/>
        <v>0.158</v>
      </c>
      <c r="FN183">
        <f t="shared" si="3698"/>
        <v>0.379</v>
      </c>
      <c r="FO183">
        <f t="shared" si="3699"/>
        <v>0.11599999999999999</v>
      </c>
      <c r="FP183">
        <f t="shared" si="3700"/>
        <v>7.7600000000000002E-2</v>
      </c>
      <c r="FQ183">
        <f t="shared" si="3701"/>
        <v>9.2699999999999991E-2</v>
      </c>
      <c r="FR183">
        <f t="shared" si="3702"/>
        <v>0.02</v>
      </c>
      <c r="FS183">
        <f t="shared" si="3703"/>
        <v>0.02</v>
      </c>
      <c r="FT183">
        <f t="shared" si="3704"/>
        <v>0</v>
      </c>
      <c r="FU183">
        <f t="shared" si="3705"/>
        <v>7.0000000000000007E-2</v>
      </c>
      <c r="FV183">
        <f t="shared" si="3706"/>
        <v>0</v>
      </c>
      <c r="FW183">
        <f t="shared" si="3707"/>
        <v>0</v>
      </c>
    </row>
    <row r="184" spans="1:179" x14ac:dyDescent="0.35">
      <c r="B184" s="72" t="s">
        <v>211</v>
      </c>
      <c r="C184">
        <v>10</v>
      </c>
      <c r="D184" s="6">
        <v>899</v>
      </c>
      <c r="E184" s="6">
        <v>3696</v>
      </c>
      <c r="F184" s="6">
        <v>0</v>
      </c>
      <c r="G184" s="6">
        <v>0</v>
      </c>
      <c r="H184" s="6">
        <v>0</v>
      </c>
      <c r="I184" s="6">
        <v>99.9</v>
      </c>
      <c r="J184" s="6">
        <v>0</v>
      </c>
      <c r="K184" s="6">
        <v>99.9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0.2</v>
      </c>
      <c r="T184" s="6">
        <v>0</v>
      </c>
      <c r="U184" s="51">
        <v>0.5</v>
      </c>
      <c r="V184" s="51">
        <v>0.5</v>
      </c>
      <c r="W184" s="6">
        <v>0</v>
      </c>
      <c r="X184" s="51">
        <v>5.0000000000000001E-3</v>
      </c>
      <c r="Y184" s="51">
        <v>0.5</v>
      </c>
      <c r="Z184" s="6">
        <v>0.01</v>
      </c>
      <c r="AA184" s="51">
        <v>0.05</v>
      </c>
      <c r="AB184" s="51">
        <v>0.5</v>
      </c>
      <c r="AC184" s="51">
        <v>0.5</v>
      </c>
      <c r="AD184" s="51">
        <v>5.0000000000000001E-3</v>
      </c>
      <c r="AE184" s="51">
        <v>0.5</v>
      </c>
      <c r="AF184" s="6">
        <v>0</v>
      </c>
      <c r="AG184" s="6">
        <v>0</v>
      </c>
      <c r="AH184" s="6">
        <v>0</v>
      </c>
      <c r="AI184" s="6">
        <v>0</v>
      </c>
      <c r="AJ184" s="51">
        <v>5.0000000000000001E-3</v>
      </c>
      <c r="AK184" s="51">
        <v>0.5</v>
      </c>
      <c r="AL184" s="51">
        <v>5.0000000000000001E-3</v>
      </c>
      <c r="AM184" s="51">
        <v>0.05</v>
      </c>
      <c r="AN184" s="6">
        <v>0</v>
      </c>
      <c r="AO184" s="6">
        <v>36</v>
      </c>
      <c r="AP184" s="6">
        <v>0</v>
      </c>
      <c r="AQ184" s="6">
        <v>216</v>
      </c>
      <c r="AR184" s="6">
        <v>21.42</v>
      </c>
      <c r="AS184" s="6">
        <v>0</v>
      </c>
      <c r="AT184" s="6">
        <v>57.5</v>
      </c>
      <c r="AU184" s="6">
        <v>14.46</v>
      </c>
      <c r="AV184" s="6">
        <v>0</v>
      </c>
      <c r="AW184" s="6">
        <v>0</v>
      </c>
      <c r="AX184" s="6">
        <v>0</v>
      </c>
      <c r="AY184" s="6">
        <v>10.64</v>
      </c>
      <c r="AZ184" s="6">
        <v>3.06</v>
      </c>
      <c r="BA184" s="6">
        <v>0.76</v>
      </c>
      <c r="BB184" s="6">
        <v>0</v>
      </c>
      <c r="BC184" s="6">
        <v>72.95</v>
      </c>
      <c r="BD184" s="6">
        <v>0</v>
      </c>
      <c r="BE184" s="6">
        <v>0.79</v>
      </c>
      <c r="BF184" s="6">
        <v>71.87</v>
      </c>
      <c r="BG184" s="6">
        <v>0.28999999999999998</v>
      </c>
      <c r="BH184" s="6">
        <v>0</v>
      </c>
      <c r="BI184" s="6">
        <v>7.52</v>
      </c>
      <c r="BJ184" s="6">
        <v>6.79</v>
      </c>
      <c r="BK184" s="6">
        <v>0.73</v>
      </c>
      <c r="BL184" s="6">
        <v>0</v>
      </c>
      <c r="BM184" s="6">
        <v>0</v>
      </c>
      <c r="BN184" s="6">
        <v>0</v>
      </c>
      <c r="BO184" s="6">
        <v>0</v>
      </c>
      <c r="BP184" s="7">
        <v>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s="7">
        <v>0</v>
      </c>
      <c r="BW184" s="7">
        <v>0</v>
      </c>
      <c r="BX184" s="7">
        <v>0</v>
      </c>
      <c r="BY184" s="7">
        <v>0</v>
      </c>
      <c r="BZ184" s="7">
        <v>0</v>
      </c>
      <c r="CA184" s="7">
        <v>0</v>
      </c>
      <c r="CB184" s="7">
        <v>0</v>
      </c>
      <c r="CC184" s="7">
        <v>0</v>
      </c>
      <c r="CD184" s="7">
        <v>0</v>
      </c>
      <c r="CE184" s="7">
        <v>0</v>
      </c>
      <c r="CF184" s="7">
        <v>0</v>
      </c>
      <c r="CG184" s="7">
        <v>0</v>
      </c>
      <c r="CH184" s="6">
        <v>0</v>
      </c>
      <c r="CI184" s="6">
        <v>0</v>
      </c>
      <c r="CJ184" s="6">
        <v>0</v>
      </c>
      <c r="CK184" s="6">
        <v>0</v>
      </c>
      <c r="CL184" s="6">
        <v>0</v>
      </c>
      <c r="CM184" s="6">
        <v>0</v>
      </c>
      <c r="CN184">
        <f t="shared" ref="CN184" si="3708">($C184*D184)/100</f>
        <v>89.9</v>
      </c>
      <c r="CO184">
        <f t="shared" ref="CO184" si="3709">($C184*E184)/100</f>
        <v>369.6</v>
      </c>
      <c r="CP184">
        <f t="shared" ref="CP184" si="3710">($C184*F184)/100</f>
        <v>0</v>
      </c>
      <c r="CQ184">
        <f t="shared" ref="CQ184" si="3711">($C184*G184)/100</f>
        <v>0</v>
      </c>
      <c r="CR184">
        <f t="shared" ref="CR184" si="3712">($C184*H184)/100</f>
        <v>0</v>
      </c>
      <c r="CS184">
        <f t="shared" ref="CS184" si="3713">($C184*I184)/100</f>
        <v>9.99</v>
      </c>
      <c r="CT184">
        <f t="shared" ref="CT184" si="3714">($C184*J184)/100</f>
        <v>0</v>
      </c>
      <c r="CU184">
        <f t="shared" ref="CU184" si="3715">($C184*K184)/100</f>
        <v>9.99</v>
      </c>
      <c r="CV184">
        <f t="shared" ref="CV184" si="3716">($C184*L184)/100</f>
        <v>0</v>
      </c>
      <c r="CW184">
        <f t="shared" ref="CW184" si="3717">($C184*M184)/100</f>
        <v>0</v>
      </c>
      <c r="CX184">
        <f t="shared" ref="CX184" si="3718">($C184*N184)/100</f>
        <v>0</v>
      </c>
      <c r="CY184">
        <f t="shared" ref="CY184" si="3719">($C184*O184)/100</f>
        <v>0</v>
      </c>
      <c r="CZ184">
        <f t="shared" ref="CZ184" si="3720">($C184*P184)/100</f>
        <v>0</v>
      </c>
      <c r="DA184">
        <f t="shared" ref="DA184" si="3721">($C184*Q184)/100</f>
        <v>0</v>
      </c>
      <c r="DB184">
        <f t="shared" ref="DB184" si="3722">($C184*R184)/100</f>
        <v>0</v>
      </c>
      <c r="DC184">
        <f t="shared" ref="DC184" si="3723">($C184*S184)/100</f>
        <v>0.02</v>
      </c>
      <c r="DD184">
        <f t="shared" ref="DD184" si="3724">($C184*T184)/100</f>
        <v>0</v>
      </c>
      <c r="DE184">
        <f t="shared" ref="DE184" si="3725">($C184*U184)/100</f>
        <v>0.05</v>
      </c>
      <c r="DF184">
        <f t="shared" ref="DF184" si="3726">($C184*V184)/100</f>
        <v>0.05</v>
      </c>
      <c r="DG184">
        <f t="shared" ref="DG184" si="3727">($C184*W184)/100</f>
        <v>0</v>
      </c>
      <c r="DH184">
        <f t="shared" ref="DH184" si="3728">($C184*X184)/100</f>
        <v>5.0000000000000001E-4</v>
      </c>
      <c r="DI184">
        <f t="shared" ref="DI184" si="3729">($C184*Y184)/100</f>
        <v>0.05</v>
      </c>
      <c r="DJ184">
        <f t="shared" ref="DJ184" si="3730">($C184*Z184)/100</f>
        <v>1E-3</v>
      </c>
      <c r="DK184">
        <f t="shared" ref="DK184" si="3731">($C184*AA184)/100</f>
        <v>5.0000000000000001E-3</v>
      </c>
      <c r="DL184">
        <f t="shared" ref="DL184" si="3732">($C184*AB184)/100</f>
        <v>0.05</v>
      </c>
      <c r="DM184">
        <f t="shared" ref="DM184" si="3733">($C184*AC184)/100</f>
        <v>0.05</v>
      </c>
      <c r="DN184">
        <f t="shared" ref="DN184" si="3734">($C184*AD184)/100</f>
        <v>5.0000000000000001E-4</v>
      </c>
      <c r="DO184">
        <f t="shared" ref="DO184" si="3735">($C184*AE184)/100</f>
        <v>0.05</v>
      </c>
      <c r="DP184">
        <f t="shared" ref="DP184" si="3736">($C184*AF184)/100</f>
        <v>0</v>
      </c>
      <c r="DQ184">
        <f t="shared" ref="DQ184" si="3737">($C184*AG184)/100</f>
        <v>0</v>
      </c>
      <c r="DR184">
        <f t="shared" ref="DR184" si="3738">($C184*AH184)/100</f>
        <v>0</v>
      </c>
      <c r="DS184">
        <f t="shared" ref="DS184" si="3739">($C184*AI184)/100</f>
        <v>0</v>
      </c>
      <c r="DT184">
        <f t="shared" ref="DT184" si="3740">($C184*AJ184)/100</f>
        <v>5.0000000000000001E-4</v>
      </c>
      <c r="DU184">
        <f t="shared" ref="DU184" si="3741">($C184*AK184)/100</f>
        <v>0.05</v>
      </c>
      <c r="DV184">
        <f t="shared" ref="DV184" si="3742">($C184*AL184)/100</f>
        <v>5.0000000000000001E-4</v>
      </c>
      <c r="DW184">
        <f t="shared" ref="DW184" si="3743">($C184*AM184)/100</f>
        <v>5.0000000000000001E-3</v>
      </c>
      <c r="DX184">
        <f t="shared" ref="DX184" si="3744">($C184*AN184)/100</f>
        <v>0</v>
      </c>
      <c r="DY184">
        <f t="shared" ref="DY184" si="3745">($C184*AO184)/100</f>
        <v>3.6</v>
      </c>
      <c r="DZ184">
        <f t="shared" ref="DZ184" si="3746">($C184*AP184)/100</f>
        <v>0</v>
      </c>
      <c r="EA184">
        <f t="shared" ref="EA184" si="3747">($C184*AQ184)/100</f>
        <v>21.6</v>
      </c>
      <c r="EB184">
        <f t="shared" ref="EB184" si="3748">($C184*AR184)/100</f>
        <v>2.1420000000000003</v>
      </c>
      <c r="EC184">
        <f t="shared" ref="EC184" si="3749">($C184*AS184)/100</f>
        <v>0</v>
      </c>
      <c r="ED184">
        <f t="shared" ref="ED184" si="3750">($C184*AT184)/100</f>
        <v>5.75</v>
      </c>
      <c r="EE184">
        <f t="shared" ref="EE184" si="3751">($C184*AU184)/100</f>
        <v>1.4460000000000002</v>
      </c>
      <c r="EF184">
        <f t="shared" ref="EF184" si="3752">($C184*AV184)/100</f>
        <v>0</v>
      </c>
      <c r="EG184">
        <f t="shared" ref="EG184" si="3753">($C184*AW184)/100</f>
        <v>0</v>
      </c>
      <c r="EH184">
        <f t="shared" ref="EH184" si="3754">($C184*AX184)/100</f>
        <v>0</v>
      </c>
      <c r="EI184">
        <f t="shared" ref="EI184" si="3755">($C184*AY184)/100</f>
        <v>1.0640000000000001</v>
      </c>
      <c r="EJ184">
        <f t="shared" ref="EJ184" si="3756">($C184*AZ184)/100</f>
        <v>0.30599999999999999</v>
      </c>
      <c r="EK184">
        <f t="shared" ref="EK184" si="3757">($C184*BA184)/100</f>
        <v>7.5999999999999998E-2</v>
      </c>
      <c r="EL184">
        <f t="shared" ref="EL184" si="3758">($C184*BB184)/100</f>
        <v>0</v>
      </c>
      <c r="EM184">
        <f t="shared" ref="EM184" si="3759">($C184*BC184)/100</f>
        <v>7.2949999999999999</v>
      </c>
      <c r="EN184">
        <f t="shared" ref="EN184" si="3760">($C184*BD184)/100</f>
        <v>0</v>
      </c>
      <c r="EO184">
        <f t="shared" ref="EO184" si="3761">($C184*BE184)/100</f>
        <v>7.9000000000000001E-2</v>
      </c>
      <c r="EP184">
        <f t="shared" ref="EP184" si="3762">($C184*BF184)/100</f>
        <v>7.1870000000000003</v>
      </c>
      <c r="EQ184">
        <f t="shared" ref="EQ184" si="3763">($C184*BG184)/100</f>
        <v>2.8999999999999998E-2</v>
      </c>
      <c r="ER184">
        <f t="shared" ref="ER184" si="3764">($C184*BH184)/100</f>
        <v>0</v>
      </c>
      <c r="ES184">
        <f t="shared" ref="ES184" si="3765">($C184*BI184)/100</f>
        <v>0.75199999999999989</v>
      </c>
      <c r="ET184">
        <f t="shared" ref="ET184" si="3766">($C184*BJ184)/100</f>
        <v>0.67900000000000005</v>
      </c>
      <c r="EU184">
        <f t="shared" ref="EU184" si="3767">($C184*BK184)/100</f>
        <v>7.2999999999999995E-2</v>
      </c>
      <c r="EV184">
        <f t="shared" ref="EV184" si="3768">($C184*BL184)/100</f>
        <v>0</v>
      </c>
      <c r="EW184">
        <f t="shared" ref="EW184" si="3769">($C184*BM184)/100</f>
        <v>0</v>
      </c>
      <c r="EX184">
        <f t="shared" ref="EX184" si="3770">($C184*BN184)/100</f>
        <v>0</v>
      </c>
      <c r="EY184">
        <f t="shared" ref="EY184" si="3771">($C184*BO184)/100</f>
        <v>0</v>
      </c>
      <c r="EZ184">
        <f t="shared" ref="EZ184" si="3772">($C184*BP184)/100</f>
        <v>0</v>
      </c>
      <c r="FA184">
        <f t="shared" ref="FA184" si="3773">($C184*BQ184)/100</f>
        <v>0</v>
      </c>
      <c r="FB184">
        <f t="shared" ref="FB184" si="3774">($C184*BR184)/100</f>
        <v>0</v>
      </c>
      <c r="FC184">
        <f t="shared" ref="FC184" si="3775">($C184*BS184)/100</f>
        <v>0</v>
      </c>
      <c r="FD184">
        <f t="shared" ref="FD184" si="3776">($C184*BT184)/100</f>
        <v>0</v>
      </c>
      <c r="FE184">
        <f t="shared" ref="FE184" si="3777">($C184*BU184)/100</f>
        <v>0</v>
      </c>
      <c r="FF184">
        <f t="shared" ref="FF184" si="3778">($C184*BV184)/100</f>
        <v>0</v>
      </c>
      <c r="FG184">
        <f t="shared" ref="FG184" si="3779">($C184*BW184)/100</f>
        <v>0</v>
      </c>
      <c r="FH184">
        <f t="shared" ref="FH184" si="3780">($C184*BX184)/100</f>
        <v>0</v>
      </c>
      <c r="FI184">
        <f t="shared" ref="FI184" si="3781">($C184*BY184)/100</f>
        <v>0</v>
      </c>
      <c r="FJ184">
        <f t="shared" ref="FJ184" si="3782">($C184*BZ184)/100</f>
        <v>0</v>
      </c>
      <c r="FK184">
        <f t="shared" ref="FK184" si="3783">($C184*CA184)/100</f>
        <v>0</v>
      </c>
      <c r="FL184">
        <f t="shared" ref="FL184" si="3784">($C184*CB184)/100</f>
        <v>0</v>
      </c>
      <c r="FM184">
        <f t="shared" ref="FM184" si="3785">($C184*CC184)/100</f>
        <v>0</v>
      </c>
      <c r="FN184">
        <f t="shared" ref="FN184" si="3786">($C184*CD184)/100</f>
        <v>0</v>
      </c>
      <c r="FO184">
        <f t="shared" ref="FO184" si="3787">($C184*CE184)/100</f>
        <v>0</v>
      </c>
      <c r="FP184">
        <f t="shared" ref="FP184" si="3788">($C184*CF184)/100</f>
        <v>0</v>
      </c>
      <c r="FQ184">
        <f t="shared" ref="FQ184" si="3789">($C184*CG184)/100</f>
        <v>0</v>
      </c>
      <c r="FR184">
        <f t="shared" ref="FR184" si="3790">($C184*CH184)/100</f>
        <v>0</v>
      </c>
      <c r="FS184">
        <f t="shared" ref="FS184" si="3791">($C184*CI184)/100</f>
        <v>0</v>
      </c>
      <c r="FT184">
        <f t="shared" ref="FT184" si="3792">($C184*CJ184)/100</f>
        <v>0</v>
      </c>
      <c r="FU184">
        <f t="shared" ref="FU184" si="3793">($C184*CK184)/100</f>
        <v>0</v>
      </c>
      <c r="FV184">
        <f t="shared" ref="FV184" si="3794">($C184*CL184)/100</f>
        <v>0</v>
      </c>
      <c r="FW184">
        <f t="shared" ref="FW184" si="3795">($C184*CM184)/100</f>
        <v>0</v>
      </c>
    </row>
    <row r="185" spans="1:179" x14ac:dyDescent="0.35">
      <c r="B185" s="72" t="s">
        <v>417</v>
      </c>
      <c r="C185">
        <v>10</v>
      </c>
      <c r="D185" s="6">
        <v>6</v>
      </c>
      <c r="E185" s="6">
        <v>26</v>
      </c>
      <c r="F185" s="6">
        <v>0.2</v>
      </c>
      <c r="G185" s="6">
        <v>0</v>
      </c>
      <c r="H185" s="6">
        <v>0.2</v>
      </c>
      <c r="I185" s="6">
        <v>0</v>
      </c>
      <c r="J185" s="6">
        <v>0</v>
      </c>
      <c r="K185" s="6">
        <v>0</v>
      </c>
      <c r="L185" s="6">
        <v>0</v>
      </c>
      <c r="M185" s="6">
        <v>1.4</v>
      </c>
      <c r="N185" s="6">
        <v>0</v>
      </c>
      <c r="O185" s="6">
        <v>1.4</v>
      </c>
      <c r="P185" s="6">
        <v>0</v>
      </c>
      <c r="Q185" s="6">
        <v>0</v>
      </c>
      <c r="R185" s="6">
        <v>92.1</v>
      </c>
      <c r="S185" s="6">
        <v>0.2</v>
      </c>
      <c r="T185" s="6">
        <v>14</v>
      </c>
      <c r="U185" s="6">
        <v>2</v>
      </c>
      <c r="V185" s="6">
        <v>140</v>
      </c>
      <c r="W185" s="6">
        <v>10</v>
      </c>
      <c r="X185" s="51">
        <v>5.0000000000000001E-3</v>
      </c>
      <c r="Y185" s="6">
        <v>7</v>
      </c>
      <c r="Z185" s="6">
        <v>0.13</v>
      </c>
      <c r="AA185" s="6">
        <v>1</v>
      </c>
      <c r="AB185" s="6">
        <v>3</v>
      </c>
      <c r="AC185" s="6">
        <v>0.6</v>
      </c>
      <c r="AD185" s="51">
        <v>5.0000000000000001E-3</v>
      </c>
      <c r="AE185" s="6">
        <v>2</v>
      </c>
      <c r="AF185" s="6">
        <v>0.02</v>
      </c>
      <c r="AG185" s="6">
        <v>0.02</v>
      </c>
      <c r="AH185" s="6">
        <v>43</v>
      </c>
      <c r="AI185" s="6">
        <v>0.2</v>
      </c>
      <c r="AJ185" s="6">
        <v>0.05</v>
      </c>
      <c r="AK185" s="6">
        <v>13</v>
      </c>
      <c r="AL185" s="6">
        <v>0.1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51">
        <v>5.0000000000000001E-3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0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7">
        <v>1</v>
      </c>
      <c r="BQ185" s="7">
        <v>3</v>
      </c>
      <c r="BR185" s="7">
        <v>6</v>
      </c>
      <c r="BS185" s="7">
        <v>5</v>
      </c>
      <c r="BT185" s="7">
        <v>10</v>
      </c>
      <c r="BU185" s="7">
        <v>3</v>
      </c>
      <c r="BV185" s="7">
        <v>3</v>
      </c>
      <c r="BW185" s="7">
        <v>7</v>
      </c>
      <c r="BX185" s="7">
        <v>4</v>
      </c>
      <c r="BY185" s="7">
        <v>7</v>
      </c>
      <c r="BZ185" s="7">
        <v>12</v>
      </c>
      <c r="CA185" s="7">
        <v>3</v>
      </c>
      <c r="CB185" s="7">
        <v>12</v>
      </c>
      <c r="CC185" s="7">
        <v>28</v>
      </c>
      <c r="CD185" s="7">
        <v>23</v>
      </c>
      <c r="CE185" s="7">
        <v>19</v>
      </c>
      <c r="CF185" s="7">
        <v>11</v>
      </c>
      <c r="CG185" s="7">
        <v>6</v>
      </c>
      <c r="CH185" s="6">
        <v>0.4</v>
      </c>
      <c r="CI185" s="6">
        <v>0.8</v>
      </c>
      <c r="CJ185" s="6">
        <v>0</v>
      </c>
      <c r="CK185" s="6">
        <v>0.2</v>
      </c>
      <c r="CL185" s="6">
        <v>0</v>
      </c>
      <c r="CM185" s="6">
        <v>0</v>
      </c>
      <c r="CN185">
        <f t="shared" ref="CN185" si="3796">($C185*D185)/100</f>
        <v>0.6</v>
      </c>
      <c r="CO185">
        <f t="shared" ref="CO185" si="3797">($C185*E185)/100</f>
        <v>2.6</v>
      </c>
      <c r="CP185">
        <f t="shared" ref="CP185" si="3798">($C185*F185)/100</f>
        <v>0.02</v>
      </c>
      <c r="CQ185">
        <f t="shared" ref="CQ185" si="3799">($C185*G185)/100</f>
        <v>0</v>
      </c>
      <c r="CR185">
        <f t="shared" ref="CR185" si="3800">($C185*H185)/100</f>
        <v>0.02</v>
      </c>
      <c r="CS185">
        <f t="shared" ref="CS185" si="3801">($C185*I185)/100</f>
        <v>0</v>
      </c>
      <c r="CT185">
        <f t="shared" ref="CT185" si="3802">($C185*J185)/100</f>
        <v>0</v>
      </c>
      <c r="CU185">
        <f t="shared" ref="CU185" si="3803">($C185*K185)/100</f>
        <v>0</v>
      </c>
      <c r="CV185">
        <f t="shared" ref="CV185" si="3804">($C185*L185)/100</f>
        <v>0</v>
      </c>
      <c r="CW185">
        <f t="shared" ref="CW185" si="3805">($C185*M185)/100</f>
        <v>0.14000000000000001</v>
      </c>
      <c r="CX185">
        <f t="shared" ref="CX185" si="3806">($C185*N185)/100</f>
        <v>0</v>
      </c>
      <c r="CY185">
        <f t="shared" ref="CY185" si="3807">($C185*O185)/100</f>
        <v>0.14000000000000001</v>
      </c>
      <c r="CZ185">
        <f t="shared" ref="CZ185" si="3808">($C185*P185)/100</f>
        <v>0</v>
      </c>
      <c r="DA185">
        <f t="shared" ref="DA185" si="3809">($C185*Q185)/100</f>
        <v>0</v>
      </c>
      <c r="DB185">
        <f t="shared" ref="DB185" si="3810">($C185*R185)/100</f>
        <v>9.2100000000000009</v>
      </c>
      <c r="DC185">
        <f t="shared" ref="DC185" si="3811">($C185*S185)/100</f>
        <v>0.02</v>
      </c>
      <c r="DD185">
        <f t="shared" ref="DD185" si="3812">($C185*T185)/100</f>
        <v>1.4</v>
      </c>
      <c r="DE185">
        <f t="shared" ref="DE185" si="3813">($C185*U185)/100</f>
        <v>0.2</v>
      </c>
      <c r="DF185">
        <f t="shared" ref="DF185" si="3814">($C185*V185)/100</f>
        <v>14</v>
      </c>
      <c r="DG185">
        <f t="shared" ref="DG185" si="3815">($C185*W185)/100</f>
        <v>1</v>
      </c>
      <c r="DH185">
        <f t="shared" ref="DH185" si="3816">($C185*X185)/100</f>
        <v>5.0000000000000001E-4</v>
      </c>
      <c r="DI185">
        <f t="shared" ref="DI185" si="3817">($C185*Y185)/100</f>
        <v>0.7</v>
      </c>
      <c r="DJ185">
        <f t="shared" ref="DJ185" si="3818">($C185*Z185)/100</f>
        <v>1.3000000000000001E-2</v>
      </c>
      <c r="DK185">
        <f t="shared" ref="DK185" si="3819">($C185*AA185)/100</f>
        <v>0.1</v>
      </c>
      <c r="DL185">
        <f t="shared" ref="DL185" si="3820">($C185*AB185)/100</f>
        <v>0.3</v>
      </c>
      <c r="DM185">
        <f t="shared" ref="DM185" si="3821">($C185*AC185)/100</f>
        <v>0.06</v>
      </c>
      <c r="DN185">
        <f t="shared" ref="DN185" si="3822">($C185*AD185)/100</f>
        <v>5.0000000000000001E-4</v>
      </c>
      <c r="DO185">
        <f t="shared" ref="DO185" si="3823">($C185*AE185)/100</f>
        <v>0.2</v>
      </c>
      <c r="DP185">
        <f t="shared" ref="DP185" si="3824">($C185*AF185)/100</f>
        <v>2E-3</v>
      </c>
      <c r="DQ185">
        <f t="shared" ref="DQ185" si="3825">($C185*AG185)/100</f>
        <v>2E-3</v>
      </c>
      <c r="DR185">
        <f t="shared" ref="DR185" si="3826">($C185*AH185)/100</f>
        <v>4.3</v>
      </c>
      <c r="DS185">
        <f t="shared" ref="DS185" si="3827">($C185*AI185)/100</f>
        <v>0.02</v>
      </c>
      <c r="DT185">
        <f t="shared" ref="DT185" si="3828">($C185*AJ185)/100</f>
        <v>5.0000000000000001E-3</v>
      </c>
      <c r="DU185">
        <f t="shared" ref="DU185" si="3829">($C185*AK185)/100</f>
        <v>1.3</v>
      </c>
      <c r="DV185">
        <f t="shared" ref="DV185" si="3830">($C185*AL185)/100</f>
        <v>0.01</v>
      </c>
      <c r="DW185">
        <f t="shared" ref="DW185" si="3831">($C185*AM185)/100</f>
        <v>0</v>
      </c>
      <c r="DX185">
        <f t="shared" ref="DX185" si="3832">($C185*AN185)/100</f>
        <v>0</v>
      </c>
      <c r="DY185">
        <f t="shared" ref="DY185" si="3833">($C185*AO185)/100</f>
        <v>0</v>
      </c>
      <c r="DZ185">
        <f t="shared" ref="DZ185" si="3834">($C185*AP185)/100</f>
        <v>0</v>
      </c>
      <c r="EA185">
        <f t="shared" ref="EA185" si="3835">($C185*AQ185)/100</f>
        <v>0</v>
      </c>
      <c r="EB185">
        <f t="shared" ref="EB185" si="3836">($C185*AR185)/100</f>
        <v>5.0000000000000001E-4</v>
      </c>
      <c r="EC185">
        <f t="shared" ref="EC185" si="3837">($C185*AS185)/100</f>
        <v>0</v>
      </c>
      <c r="ED185">
        <f t="shared" ref="ED185" si="3838">($C185*AT185)/100</f>
        <v>0</v>
      </c>
      <c r="EE185">
        <f t="shared" ref="EE185" si="3839">($C185*AU185)/100</f>
        <v>0</v>
      </c>
      <c r="EF185">
        <f t="shared" ref="EF185" si="3840">($C185*AV185)/100</f>
        <v>0</v>
      </c>
      <c r="EG185">
        <f t="shared" ref="EG185" si="3841">($C185*AW185)/100</f>
        <v>0</v>
      </c>
      <c r="EH185">
        <f t="shared" ref="EH185" si="3842">($C185*AX185)/100</f>
        <v>0</v>
      </c>
      <c r="EI185">
        <f t="shared" ref="EI185" si="3843">($C185*AY185)/100</f>
        <v>0</v>
      </c>
      <c r="EJ185">
        <f t="shared" ref="EJ185" si="3844">($C185*AZ185)/100</f>
        <v>0</v>
      </c>
      <c r="EK185">
        <f t="shared" ref="EK185" si="3845">($C185*BA185)/100</f>
        <v>0</v>
      </c>
      <c r="EL185">
        <f t="shared" ref="EL185" si="3846">($C185*BB185)/100</f>
        <v>0</v>
      </c>
      <c r="EM185">
        <f t="shared" ref="EM185" si="3847">($C185*BC185)/100</f>
        <v>0</v>
      </c>
      <c r="EN185">
        <f t="shared" ref="EN185" si="3848">($C185*BD185)/100</f>
        <v>0</v>
      </c>
      <c r="EO185">
        <f t="shared" ref="EO185" si="3849">($C185*BE185)/100</f>
        <v>0</v>
      </c>
      <c r="EP185">
        <f t="shared" ref="EP185" si="3850">($C185*BF185)/100</f>
        <v>0</v>
      </c>
      <c r="EQ185">
        <f t="shared" ref="EQ185" si="3851">($C185*BG185)/100</f>
        <v>0</v>
      </c>
      <c r="ER185">
        <f t="shared" ref="ER185" si="3852">($C185*BH185)/100</f>
        <v>0</v>
      </c>
      <c r="ES185">
        <f t="shared" ref="ES185" si="3853">($C185*BI185)/100</f>
        <v>0</v>
      </c>
      <c r="ET185">
        <f t="shared" ref="ET185" si="3854">($C185*BJ185)/100</f>
        <v>0</v>
      </c>
      <c r="EU185">
        <f t="shared" ref="EU185" si="3855">($C185*BK185)/100</f>
        <v>0</v>
      </c>
      <c r="EV185">
        <f t="shared" ref="EV185" si="3856">($C185*BL185)/100</f>
        <v>0</v>
      </c>
      <c r="EW185">
        <f t="shared" ref="EW185" si="3857">($C185*BM185)/100</f>
        <v>0</v>
      </c>
      <c r="EX185">
        <f t="shared" ref="EX185" si="3858">($C185*BN185)/100</f>
        <v>0</v>
      </c>
      <c r="EY185">
        <f t="shared" ref="EY185" si="3859">($C185*BO185)/100</f>
        <v>0</v>
      </c>
      <c r="EZ185">
        <f t="shared" ref="EZ185" si="3860">($C185*BP185)/100</f>
        <v>0.1</v>
      </c>
      <c r="FA185">
        <f t="shared" ref="FA185" si="3861">($C185*BQ185)/100</f>
        <v>0.3</v>
      </c>
      <c r="FB185">
        <f t="shared" ref="FB185" si="3862">($C185*BR185)/100</f>
        <v>0.6</v>
      </c>
      <c r="FC185">
        <f t="shared" ref="FC185" si="3863">($C185*BS185)/100</f>
        <v>0.5</v>
      </c>
      <c r="FD185">
        <f t="shared" ref="FD185" si="3864">($C185*BT185)/100</f>
        <v>1</v>
      </c>
      <c r="FE185">
        <f t="shared" ref="FE185" si="3865">($C185*BU185)/100</f>
        <v>0.3</v>
      </c>
      <c r="FF185">
        <f t="shared" ref="FF185" si="3866">($C185*BV185)/100</f>
        <v>0.3</v>
      </c>
      <c r="FG185">
        <f t="shared" ref="FG185" si="3867">($C185*BW185)/100</f>
        <v>0.7</v>
      </c>
      <c r="FH185">
        <f t="shared" ref="FH185" si="3868">($C185*BX185)/100</f>
        <v>0.4</v>
      </c>
      <c r="FI185">
        <f t="shared" ref="FI185" si="3869">($C185*BY185)/100</f>
        <v>0.7</v>
      </c>
      <c r="FJ185">
        <f t="shared" ref="FJ185" si="3870">($C185*BZ185)/100</f>
        <v>1.2</v>
      </c>
      <c r="FK185">
        <f t="shared" ref="FK185" si="3871">($C185*CA185)/100</f>
        <v>0.3</v>
      </c>
      <c r="FL185">
        <f t="shared" ref="FL185" si="3872">($C185*CB185)/100</f>
        <v>1.2</v>
      </c>
      <c r="FM185">
        <f t="shared" ref="FM185" si="3873">($C185*CC185)/100</f>
        <v>2.8</v>
      </c>
      <c r="FN185">
        <f t="shared" ref="FN185" si="3874">($C185*CD185)/100</f>
        <v>2.2999999999999998</v>
      </c>
      <c r="FO185">
        <f t="shared" ref="FO185" si="3875">($C185*CE185)/100</f>
        <v>1.9</v>
      </c>
      <c r="FP185">
        <f t="shared" ref="FP185" si="3876">($C185*CF185)/100</f>
        <v>1.1000000000000001</v>
      </c>
      <c r="FQ185">
        <f t="shared" ref="FQ185" si="3877">($C185*CG185)/100</f>
        <v>0.6</v>
      </c>
      <c r="FR185">
        <f t="shared" ref="FR185" si="3878">($C185*CH185)/100</f>
        <v>0.04</v>
      </c>
      <c r="FS185">
        <f t="shared" ref="FS185" si="3879">($C185*CI185)/100</f>
        <v>0.08</v>
      </c>
      <c r="FT185">
        <f t="shared" ref="FT185" si="3880">($C185*CJ185)/100</f>
        <v>0</v>
      </c>
      <c r="FU185">
        <f t="shared" ref="FU185" si="3881">($C185*CK185)/100</f>
        <v>0.02</v>
      </c>
      <c r="FV185">
        <f t="shared" ref="FV185" si="3882">($C185*CL185)/100</f>
        <v>0</v>
      </c>
      <c r="FW185">
        <f t="shared" ref="FW185" si="3883">($C185*CM185)/100</f>
        <v>0</v>
      </c>
    </row>
    <row r="186" spans="1:179" x14ac:dyDescent="0.35">
      <c r="B186" s="10"/>
      <c r="C186">
        <f>SUM(C182:C185)</f>
        <v>100</v>
      </c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3"/>
      <c r="CI186" s="33"/>
      <c r="CJ186" s="33"/>
      <c r="CK186" s="33"/>
      <c r="CL186" s="33"/>
      <c r="CM186" s="33"/>
      <c r="CN186">
        <f>SUM(CN182:CN185)</f>
        <v>201.1</v>
      </c>
      <c r="CO186">
        <f t="shared" ref="CO186:EZ186" si="3884">SUM(CO182:CO185)</f>
        <v>834.7</v>
      </c>
      <c r="CP186">
        <f t="shared" si="3884"/>
        <v>4.7299999999999995</v>
      </c>
      <c r="CQ186">
        <f t="shared" si="3884"/>
        <v>0</v>
      </c>
      <c r="CR186">
        <f t="shared" si="3884"/>
        <v>4.7299999999999995</v>
      </c>
      <c r="CS186">
        <f t="shared" si="3884"/>
        <v>16.350000000000001</v>
      </c>
      <c r="CT186">
        <f t="shared" si="3884"/>
        <v>0</v>
      </c>
      <c r="CU186">
        <f t="shared" si="3884"/>
        <v>16.350000000000001</v>
      </c>
      <c r="CV186">
        <f t="shared" si="3884"/>
        <v>0</v>
      </c>
      <c r="CW186">
        <f t="shared" si="3884"/>
        <v>5.3199999999999994</v>
      </c>
      <c r="CX186">
        <f t="shared" si="3884"/>
        <v>4.09</v>
      </c>
      <c r="CY186">
        <f t="shared" si="3884"/>
        <v>1.23</v>
      </c>
      <c r="CZ186">
        <f t="shared" si="3884"/>
        <v>6.6</v>
      </c>
      <c r="DA186">
        <f t="shared" si="3884"/>
        <v>0</v>
      </c>
      <c r="DB186">
        <f t="shared" si="3884"/>
        <v>64.115000000000009</v>
      </c>
      <c r="DC186">
        <f t="shared" si="3884"/>
        <v>1.9850000000000001</v>
      </c>
      <c r="DD186">
        <f t="shared" si="3884"/>
        <v>72.7</v>
      </c>
      <c r="DE186">
        <f t="shared" si="3884"/>
        <v>246.95</v>
      </c>
      <c r="DF186">
        <f t="shared" si="3884"/>
        <v>122.64999999999999</v>
      </c>
      <c r="DG186">
        <f t="shared" si="3884"/>
        <v>112.7</v>
      </c>
      <c r="DH186">
        <f t="shared" si="3884"/>
        <v>0.81299999999999994</v>
      </c>
      <c r="DI186">
        <f t="shared" si="3884"/>
        <v>10.25</v>
      </c>
      <c r="DJ186">
        <f t="shared" si="3884"/>
        <v>0.17500000000000002</v>
      </c>
      <c r="DK186">
        <f t="shared" si="3884"/>
        <v>3.5449999999999999</v>
      </c>
      <c r="DL186">
        <f t="shared" si="3884"/>
        <v>1.35</v>
      </c>
      <c r="DM186">
        <f t="shared" si="3884"/>
        <v>0.34</v>
      </c>
      <c r="DN186">
        <f t="shared" si="3884"/>
        <v>0.14699999999999999</v>
      </c>
      <c r="DO186">
        <f t="shared" si="3884"/>
        <v>21.35</v>
      </c>
      <c r="DP186">
        <f t="shared" si="3884"/>
        <v>0.14499999999999999</v>
      </c>
      <c r="DQ186">
        <f t="shared" si="3884"/>
        <v>6.3299999999999995E-2</v>
      </c>
      <c r="DR186">
        <f t="shared" si="3884"/>
        <v>4.6499999999999995</v>
      </c>
      <c r="DS186">
        <f t="shared" si="3884"/>
        <v>0.63500000000000001</v>
      </c>
      <c r="DT186">
        <f t="shared" si="3884"/>
        <v>4.1399999999999999E-2</v>
      </c>
      <c r="DU186">
        <f t="shared" si="3884"/>
        <v>16.05</v>
      </c>
      <c r="DV186">
        <f t="shared" si="3884"/>
        <v>7.9799999999999996E-2</v>
      </c>
      <c r="DW186">
        <f t="shared" si="3884"/>
        <v>1.105</v>
      </c>
      <c r="DX186">
        <f t="shared" si="3884"/>
        <v>0</v>
      </c>
      <c r="DY186">
        <f t="shared" si="3884"/>
        <v>5.6666666666666661</v>
      </c>
      <c r="DZ186">
        <f t="shared" si="3884"/>
        <v>0</v>
      </c>
      <c r="EA186">
        <f t="shared" si="3884"/>
        <v>35.400000000000006</v>
      </c>
      <c r="EB186">
        <f t="shared" si="3884"/>
        <v>2.9025000000000003</v>
      </c>
      <c r="EC186">
        <f t="shared" si="3884"/>
        <v>0</v>
      </c>
      <c r="ED186">
        <f t="shared" si="3884"/>
        <v>5.75</v>
      </c>
      <c r="EE186">
        <f t="shared" si="3884"/>
        <v>2.3250000000000002</v>
      </c>
      <c r="EF186">
        <f t="shared" si="3884"/>
        <v>0</v>
      </c>
      <c r="EG186">
        <f t="shared" si="3884"/>
        <v>0</v>
      </c>
      <c r="EH186">
        <f t="shared" si="3884"/>
        <v>1.34E-2</v>
      </c>
      <c r="EI186">
        <f t="shared" si="3884"/>
        <v>1.5449999999999999</v>
      </c>
      <c r="EJ186">
        <f t="shared" si="3884"/>
        <v>0.53200000000000003</v>
      </c>
      <c r="EK186">
        <f t="shared" si="3884"/>
        <v>9.2300000000000021E-2</v>
      </c>
      <c r="EL186">
        <f t="shared" si="3884"/>
        <v>1.6300000000000026E-2</v>
      </c>
      <c r="EM186">
        <f t="shared" si="3884"/>
        <v>9.597999999999999</v>
      </c>
      <c r="EN186">
        <f t="shared" si="3884"/>
        <v>6.4000000000000003E-3</v>
      </c>
      <c r="EO186">
        <f t="shared" si="3884"/>
        <v>9.5100000000000004E-2</v>
      </c>
      <c r="EP186">
        <f t="shared" si="3884"/>
        <v>9.4529999999999994</v>
      </c>
      <c r="EQ186">
        <f t="shared" si="3884"/>
        <v>3.6499999999999998E-2</v>
      </c>
      <c r="ER186">
        <f t="shared" si="3884"/>
        <v>0</v>
      </c>
      <c r="ES186">
        <f t="shared" si="3884"/>
        <v>3.6509999999999998</v>
      </c>
      <c r="ET186">
        <f t="shared" si="3884"/>
        <v>2.3769999999999998</v>
      </c>
      <c r="EU186">
        <f t="shared" si="3884"/>
        <v>1.2739999999999998</v>
      </c>
      <c r="EV186">
        <f t="shared" si="3884"/>
        <v>0</v>
      </c>
      <c r="EW186">
        <f t="shared" si="3884"/>
        <v>0</v>
      </c>
      <c r="EX186">
        <f t="shared" si="3884"/>
        <v>0</v>
      </c>
      <c r="EY186">
        <f t="shared" si="3884"/>
        <v>2.3507000000000002</v>
      </c>
      <c r="EZ186">
        <f t="shared" si="3884"/>
        <v>30.937200000000001</v>
      </c>
      <c r="FA186">
        <f t="shared" ref="FA186:FW186" si="3885">SUM(FA182:FA185)</f>
        <v>108.8706</v>
      </c>
      <c r="FB186">
        <f t="shared" si="3885"/>
        <v>132.2731</v>
      </c>
      <c r="FC186">
        <f t="shared" si="3885"/>
        <v>240.73</v>
      </c>
      <c r="FD186">
        <f t="shared" si="3885"/>
        <v>199.8545</v>
      </c>
      <c r="FE186">
        <f t="shared" si="3885"/>
        <v>31.156100000000002</v>
      </c>
      <c r="FF186">
        <f t="shared" si="3885"/>
        <v>31.834300000000002</v>
      </c>
      <c r="FG186">
        <f t="shared" si="3885"/>
        <v>183.49009999999998</v>
      </c>
      <c r="FH186">
        <f t="shared" si="3885"/>
        <v>90.771200000000007</v>
      </c>
      <c r="FI186">
        <f t="shared" si="3885"/>
        <v>139.39499999999998</v>
      </c>
      <c r="FJ186">
        <f t="shared" si="3885"/>
        <v>266.05200000000002</v>
      </c>
      <c r="FK186">
        <f t="shared" si="3885"/>
        <v>75.949999999999989</v>
      </c>
      <c r="FL186">
        <f t="shared" si="3885"/>
        <v>128.68889999999999</v>
      </c>
      <c r="FM186">
        <f t="shared" si="3885"/>
        <v>348.75800000000004</v>
      </c>
      <c r="FN186">
        <f t="shared" si="3885"/>
        <v>477.27900000000005</v>
      </c>
      <c r="FO186">
        <f t="shared" si="3885"/>
        <v>114.71600000000001</v>
      </c>
      <c r="FP186">
        <f t="shared" si="3885"/>
        <v>125.0776</v>
      </c>
      <c r="FQ186">
        <f t="shared" si="3885"/>
        <v>153.99270000000001</v>
      </c>
      <c r="FR186">
        <f t="shared" si="3885"/>
        <v>0.06</v>
      </c>
      <c r="FS186">
        <f t="shared" si="3885"/>
        <v>0.1</v>
      </c>
      <c r="FT186">
        <f t="shared" si="3885"/>
        <v>0</v>
      </c>
      <c r="FU186">
        <f t="shared" si="3885"/>
        <v>9.0000000000000011E-2</v>
      </c>
      <c r="FV186">
        <f t="shared" si="3885"/>
        <v>0</v>
      </c>
      <c r="FW186">
        <f t="shared" si="3885"/>
        <v>0</v>
      </c>
    </row>
    <row r="189" spans="1:179" x14ac:dyDescent="0.35">
      <c r="A189" s="80" t="s">
        <v>444</v>
      </c>
      <c r="B189" s="72" t="s">
        <v>211</v>
      </c>
      <c r="C189">
        <v>70</v>
      </c>
      <c r="D189" s="6">
        <v>899</v>
      </c>
      <c r="E189" s="6">
        <v>3696</v>
      </c>
      <c r="F189" s="6">
        <v>0</v>
      </c>
      <c r="G189" s="6">
        <v>0</v>
      </c>
      <c r="H189" s="6">
        <v>0</v>
      </c>
      <c r="I189" s="6">
        <v>99.9</v>
      </c>
      <c r="J189" s="6">
        <v>0</v>
      </c>
      <c r="K189" s="6">
        <v>99.9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0.2</v>
      </c>
      <c r="T189" s="6">
        <v>0</v>
      </c>
      <c r="U189" s="51">
        <v>0.5</v>
      </c>
      <c r="V189" s="51">
        <v>0.5</v>
      </c>
      <c r="W189" s="6">
        <v>0</v>
      </c>
      <c r="X189" s="51">
        <v>5.0000000000000001E-3</v>
      </c>
      <c r="Y189" s="51">
        <v>0.5</v>
      </c>
      <c r="Z189" s="6">
        <v>0.01</v>
      </c>
      <c r="AA189" s="51">
        <v>0.05</v>
      </c>
      <c r="AB189" s="51">
        <v>0.5</v>
      </c>
      <c r="AC189" s="51">
        <v>0.5</v>
      </c>
      <c r="AD189" s="51">
        <v>5.0000000000000001E-3</v>
      </c>
      <c r="AE189" s="51">
        <v>0.5</v>
      </c>
      <c r="AF189" s="6">
        <v>0</v>
      </c>
      <c r="AG189" s="6">
        <v>0</v>
      </c>
      <c r="AH189" s="6">
        <v>0</v>
      </c>
      <c r="AI189" s="6">
        <v>0</v>
      </c>
      <c r="AJ189" s="51">
        <v>5.0000000000000001E-3</v>
      </c>
      <c r="AK189" s="51">
        <v>0.5</v>
      </c>
      <c r="AL189" s="51">
        <v>5.0000000000000001E-3</v>
      </c>
      <c r="AM189" s="51">
        <v>0.05</v>
      </c>
      <c r="AN189" s="6">
        <v>0</v>
      </c>
      <c r="AO189" s="6">
        <v>36</v>
      </c>
      <c r="AP189" s="6">
        <v>0</v>
      </c>
      <c r="AQ189" s="6">
        <v>216</v>
      </c>
      <c r="AR189" s="6">
        <v>21.42</v>
      </c>
      <c r="AS189" s="6">
        <v>0</v>
      </c>
      <c r="AT189" s="6">
        <v>57.5</v>
      </c>
      <c r="AU189" s="6">
        <v>14.46</v>
      </c>
      <c r="AV189" s="6">
        <v>0</v>
      </c>
      <c r="AW189" s="6">
        <v>0</v>
      </c>
      <c r="AX189" s="6">
        <v>0</v>
      </c>
      <c r="AY189" s="6">
        <v>10.64</v>
      </c>
      <c r="AZ189" s="6">
        <v>3.06</v>
      </c>
      <c r="BA189" s="6">
        <v>0.76</v>
      </c>
      <c r="BB189" s="6">
        <v>0</v>
      </c>
      <c r="BC189" s="6">
        <v>72.95</v>
      </c>
      <c r="BD189" s="6">
        <v>0</v>
      </c>
      <c r="BE189" s="6">
        <v>0.79</v>
      </c>
      <c r="BF189" s="6">
        <v>71.87</v>
      </c>
      <c r="BG189" s="6">
        <v>0.28999999999999998</v>
      </c>
      <c r="BH189" s="6">
        <v>0</v>
      </c>
      <c r="BI189" s="6">
        <v>7.52</v>
      </c>
      <c r="BJ189" s="6">
        <v>6.79</v>
      </c>
      <c r="BK189" s="6">
        <v>0.73</v>
      </c>
      <c r="BL189" s="6">
        <v>0</v>
      </c>
      <c r="BM189" s="6">
        <v>0</v>
      </c>
      <c r="BN189" s="6">
        <v>0</v>
      </c>
      <c r="BO189" s="6">
        <v>0</v>
      </c>
      <c r="BP189" s="7">
        <v>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s="7">
        <v>0</v>
      </c>
      <c r="BW189" s="7">
        <v>0</v>
      </c>
      <c r="BX189" s="7">
        <v>0</v>
      </c>
      <c r="BY189" s="7">
        <v>0</v>
      </c>
      <c r="BZ189" s="7">
        <v>0</v>
      </c>
      <c r="CA189" s="7">
        <v>0</v>
      </c>
      <c r="CB189" s="7">
        <v>0</v>
      </c>
      <c r="CC189" s="7">
        <v>0</v>
      </c>
      <c r="CD189" s="7">
        <v>0</v>
      </c>
      <c r="CE189" s="7">
        <v>0</v>
      </c>
      <c r="CF189" s="7">
        <v>0</v>
      </c>
      <c r="CG189" s="7">
        <v>0</v>
      </c>
      <c r="CH189" s="6">
        <v>0</v>
      </c>
      <c r="CI189" s="6">
        <v>0</v>
      </c>
      <c r="CJ189" s="6">
        <v>0</v>
      </c>
      <c r="CK189" s="6">
        <v>0</v>
      </c>
      <c r="CL189" s="6">
        <v>0</v>
      </c>
      <c r="CM189" s="6">
        <v>0</v>
      </c>
      <c r="CN189">
        <f t="shared" ref="CN189" si="3886">($C189*D189)/100</f>
        <v>629.29999999999995</v>
      </c>
      <c r="CO189">
        <f t="shared" ref="CO189" si="3887">($C189*E189)/100</f>
        <v>2587.1999999999998</v>
      </c>
      <c r="CP189">
        <f t="shared" ref="CP189" si="3888">($C189*F189)/100</f>
        <v>0</v>
      </c>
      <c r="CQ189">
        <f t="shared" ref="CQ189" si="3889">($C189*G189)/100</f>
        <v>0</v>
      </c>
      <c r="CR189">
        <f t="shared" ref="CR189" si="3890">($C189*H189)/100</f>
        <v>0</v>
      </c>
      <c r="CS189">
        <f t="shared" ref="CS189" si="3891">($C189*I189)/100</f>
        <v>69.930000000000007</v>
      </c>
      <c r="CT189">
        <f t="shared" ref="CT189" si="3892">($C189*J189)/100</f>
        <v>0</v>
      </c>
      <c r="CU189">
        <f t="shared" ref="CU189" si="3893">($C189*K189)/100</f>
        <v>69.930000000000007</v>
      </c>
      <c r="CV189">
        <f t="shared" ref="CV189" si="3894">($C189*L189)/100</f>
        <v>0</v>
      </c>
      <c r="CW189">
        <f t="shared" ref="CW189" si="3895">($C189*M189)/100</f>
        <v>0</v>
      </c>
      <c r="CX189">
        <f t="shared" ref="CX189" si="3896">($C189*N189)/100</f>
        <v>0</v>
      </c>
      <c r="CY189">
        <f t="shared" ref="CY189" si="3897">($C189*O189)/100</f>
        <v>0</v>
      </c>
      <c r="CZ189">
        <f t="shared" ref="CZ189" si="3898">($C189*P189)/100</f>
        <v>0</v>
      </c>
      <c r="DA189">
        <f t="shared" ref="DA189" si="3899">($C189*Q189)/100</f>
        <v>0</v>
      </c>
      <c r="DB189">
        <f t="shared" ref="DB189" si="3900">($C189*R189)/100</f>
        <v>0</v>
      </c>
      <c r="DC189">
        <f t="shared" ref="DC189" si="3901">($C189*S189)/100</f>
        <v>0.14000000000000001</v>
      </c>
      <c r="DD189">
        <f t="shared" ref="DD189" si="3902">($C189*T189)/100</f>
        <v>0</v>
      </c>
      <c r="DE189">
        <f t="shared" ref="DE189" si="3903">($C189*U189)/100</f>
        <v>0.35</v>
      </c>
      <c r="DF189">
        <f t="shared" ref="DF189" si="3904">($C189*V189)/100</f>
        <v>0.35</v>
      </c>
      <c r="DG189">
        <f t="shared" ref="DG189" si="3905">($C189*W189)/100</f>
        <v>0</v>
      </c>
      <c r="DH189">
        <f t="shared" ref="DH189" si="3906">($C189*X189)/100</f>
        <v>3.5000000000000005E-3</v>
      </c>
      <c r="DI189">
        <f t="shared" ref="DI189" si="3907">($C189*Y189)/100</f>
        <v>0.35</v>
      </c>
      <c r="DJ189">
        <f t="shared" ref="DJ189" si="3908">($C189*Z189)/100</f>
        <v>7.000000000000001E-3</v>
      </c>
      <c r="DK189">
        <f t="shared" ref="DK189" si="3909">($C189*AA189)/100</f>
        <v>3.5000000000000003E-2</v>
      </c>
      <c r="DL189">
        <f t="shared" ref="DL189" si="3910">($C189*AB189)/100</f>
        <v>0.35</v>
      </c>
      <c r="DM189">
        <f t="shared" ref="DM189" si="3911">($C189*AC189)/100</f>
        <v>0.35</v>
      </c>
      <c r="DN189">
        <f t="shared" ref="DN189" si="3912">($C189*AD189)/100</f>
        <v>3.5000000000000005E-3</v>
      </c>
      <c r="DO189">
        <f t="shared" ref="DO189" si="3913">($C189*AE189)/100</f>
        <v>0.35</v>
      </c>
      <c r="DP189">
        <f t="shared" ref="DP189" si="3914">($C189*AF189)/100</f>
        <v>0</v>
      </c>
      <c r="DQ189">
        <f t="shared" ref="DQ189" si="3915">($C189*AG189)/100</f>
        <v>0</v>
      </c>
      <c r="DR189">
        <f t="shared" ref="DR189" si="3916">($C189*AH189)/100</f>
        <v>0</v>
      </c>
      <c r="DS189">
        <f t="shared" ref="DS189" si="3917">($C189*AI189)/100</f>
        <v>0</v>
      </c>
      <c r="DT189">
        <f t="shared" ref="DT189" si="3918">($C189*AJ189)/100</f>
        <v>3.5000000000000005E-3</v>
      </c>
      <c r="DU189">
        <f t="shared" ref="DU189" si="3919">($C189*AK189)/100</f>
        <v>0.35</v>
      </c>
      <c r="DV189">
        <f t="shared" ref="DV189" si="3920">($C189*AL189)/100</f>
        <v>3.5000000000000005E-3</v>
      </c>
      <c r="DW189">
        <f t="shared" ref="DW189" si="3921">($C189*AM189)/100</f>
        <v>3.5000000000000003E-2</v>
      </c>
      <c r="DX189">
        <f t="shared" ref="DX189" si="3922">($C189*AN189)/100</f>
        <v>0</v>
      </c>
      <c r="DY189">
        <f t="shared" ref="DY189" si="3923">($C189*AO189)/100</f>
        <v>25.2</v>
      </c>
      <c r="DZ189">
        <f t="shared" ref="DZ189" si="3924">($C189*AP189)/100</f>
        <v>0</v>
      </c>
      <c r="EA189">
        <f t="shared" ref="EA189" si="3925">($C189*AQ189)/100</f>
        <v>151.19999999999999</v>
      </c>
      <c r="EB189">
        <f t="shared" ref="EB189" si="3926">($C189*AR189)/100</f>
        <v>14.994000000000002</v>
      </c>
      <c r="EC189">
        <f t="shared" ref="EC189" si="3927">($C189*AS189)/100</f>
        <v>0</v>
      </c>
      <c r="ED189">
        <f t="shared" ref="ED189" si="3928">($C189*AT189)/100</f>
        <v>40.25</v>
      </c>
      <c r="EE189">
        <f t="shared" ref="EE189" si="3929">($C189*AU189)/100</f>
        <v>10.122</v>
      </c>
      <c r="EF189">
        <f t="shared" ref="EF189" si="3930">($C189*AV189)/100</f>
        <v>0</v>
      </c>
      <c r="EG189">
        <f t="shared" ref="EG189" si="3931">($C189*AW189)/100</f>
        <v>0</v>
      </c>
      <c r="EH189">
        <f t="shared" ref="EH189" si="3932">($C189*AX189)/100</f>
        <v>0</v>
      </c>
      <c r="EI189">
        <f t="shared" ref="EI189" si="3933">($C189*AY189)/100</f>
        <v>7.4480000000000004</v>
      </c>
      <c r="EJ189">
        <f t="shared" ref="EJ189" si="3934">($C189*AZ189)/100</f>
        <v>2.1420000000000003</v>
      </c>
      <c r="EK189">
        <f t="shared" ref="EK189" si="3935">($C189*BA189)/100</f>
        <v>0.53200000000000003</v>
      </c>
      <c r="EL189">
        <f t="shared" ref="EL189" si="3936">($C189*BB189)/100</f>
        <v>0</v>
      </c>
      <c r="EM189">
        <f t="shared" ref="EM189" si="3937">($C189*BC189)/100</f>
        <v>51.064999999999998</v>
      </c>
      <c r="EN189">
        <f t="shared" ref="EN189" si="3938">($C189*BD189)/100</f>
        <v>0</v>
      </c>
      <c r="EO189">
        <f t="shared" ref="EO189" si="3939">($C189*BE189)/100</f>
        <v>0.55300000000000005</v>
      </c>
      <c r="EP189">
        <f t="shared" ref="EP189" si="3940">($C189*BF189)/100</f>
        <v>50.309000000000005</v>
      </c>
      <c r="EQ189">
        <f t="shared" ref="EQ189" si="3941">($C189*BG189)/100</f>
        <v>0.20299999999999996</v>
      </c>
      <c r="ER189">
        <f t="shared" ref="ER189" si="3942">($C189*BH189)/100</f>
        <v>0</v>
      </c>
      <c r="ES189">
        <f t="shared" ref="ES189" si="3943">($C189*BI189)/100</f>
        <v>5.2639999999999993</v>
      </c>
      <c r="ET189">
        <f t="shared" ref="ET189" si="3944">($C189*BJ189)/100</f>
        <v>4.7530000000000001</v>
      </c>
      <c r="EU189">
        <f t="shared" ref="EU189" si="3945">($C189*BK189)/100</f>
        <v>0.51100000000000001</v>
      </c>
      <c r="EV189">
        <f t="shared" ref="EV189" si="3946">($C189*BL189)/100</f>
        <v>0</v>
      </c>
      <c r="EW189">
        <f t="shared" ref="EW189" si="3947">($C189*BM189)/100</f>
        <v>0</v>
      </c>
      <c r="EX189">
        <f t="shared" ref="EX189" si="3948">($C189*BN189)/100</f>
        <v>0</v>
      </c>
      <c r="EY189">
        <f t="shared" ref="EY189" si="3949">($C189*BO189)/100</f>
        <v>0</v>
      </c>
      <c r="EZ189">
        <f t="shared" ref="EZ189" si="3950">($C189*BP189)/100</f>
        <v>0</v>
      </c>
      <c r="FA189">
        <f t="shared" ref="FA189" si="3951">($C189*BQ189)/100</f>
        <v>0</v>
      </c>
      <c r="FB189">
        <f t="shared" ref="FB189" si="3952">($C189*BR189)/100</f>
        <v>0</v>
      </c>
      <c r="FC189">
        <f t="shared" ref="FC189" si="3953">($C189*BS189)/100</f>
        <v>0</v>
      </c>
      <c r="FD189">
        <f t="shared" ref="FD189" si="3954">($C189*BT189)/100</f>
        <v>0</v>
      </c>
      <c r="FE189">
        <f t="shared" ref="FE189" si="3955">($C189*BU189)/100</f>
        <v>0</v>
      </c>
      <c r="FF189">
        <f t="shared" ref="FF189" si="3956">($C189*BV189)/100</f>
        <v>0</v>
      </c>
      <c r="FG189">
        <f t="shared" ref="FG189" si="3957">($C189*BW189)/100</f>
        <v>0</v>
      </c>
      <c r="FH189">
        <f t="shared" ref="FH189" si="3958">($C189*BX189)/100</f>
        <v>0</v>
      </c>
      <c r="FI189">
        <f t="shared" ref="FI189" si="3959">($C189*BY189)/100</f>
        <v>0</v>
      </c>
      <c r="FJ189">
        <f t="shared" ref="FJ189" si="3960">($C189*BZ189)/100</f>
        <v>0</v>
      </c>
      <c r="FK189">
        <f t="shared" ref="FK189" si="3961">($C189*CA189)/100</f>
        <v>0</v>
      </c>
      <c r="FL189">
        <f t="shared" ref="FL189" si="3962">($C189*CB189)/100</f>
        <v>0</v>
      </c>
      <c r="FM189">
        <f t="shared" ref="FM189" si="3963">($C189*CC189)/100</f>
        <v>0</v>
      </c>
      <c r="FN189">
        <f t="shared" ref="FN189" si="3964">($C189*CD189)/100</f>
        <v>0</v>
      </c>
      <c r="FO189">
        <f t="shared" ref="FO189" si="3965">($C189*CE189)/100</f>
        <v>0</v>
      </c>
      <c r="FP189">
        <f t="shared" ref="FP189" si="3966">($C189*CF189)/100</f>
        <v>0</v>
      </c>
      <c r="FQ189">
        <f t="shared" ref="FQ189" si="3967">($C189*CG189)/100</f>
        <v>0</v>
      </c>
      <c r="FR189">
        <f t="shared" ref="FR189" si="3968">($C189*CH189)/100</f>
        <v>0</v>
      </c>
      <c r="FS189">
        <f t="shared" ref="FS189" si="3969">($C189*CI189)/100</f>
        <v>0</v>
      </c>
      <c r="FT189">
        <f t="shared" ref="FT189" si="3970">($C189*CJ189)/100</f>
        <v>0</v>
      </c>
      <c r="FU189">
        <f t="shared" ref="FU189" si="3971">($C189*CK189)/100</f>
        <v>0</v>
      </c>
      <c r="FV189">
        <f t="shared" ref="FV189" si="3972">($C189*CL189)/100</f>
        <v>0</v>
      </c>
      <c r="FW189">
        <f t="shared" ref="FW189" si="3973">($C189*CM189)/100</f>
        <v>0</v>
      </c>
    </row>
    <row r="190" spans="1:179" x14ac:dyDescent="0.35">
      <c r="B190" s="72" t="s">
        <v>445</v>
      </c>
      <c r="C190">
        <v>30</v>
      </c>
      <c r="D190" s="6">
        <v>4</v>
      </c>
      <c r="E190" s="6">
        <v>16</v>
      </c>
      <c r="F190" s="6">
        <v>0.4</v>
      </c>
      <c r="G190" s="6">
        <v>0</v>
      </c>
      <c r="H190" s="6">
        <v>0.4</v>
      </c>
      <c r="I190" s="6">
        <v>0</v>
      </c>
      <c r="J190" s="6">
        <v>0</v>
      </c>
      <c r="K190" s="6">
        <v>0</v>
      </c>
      <c r="L190" s="6">
        <v>0</v>
      </c>
      <c r="M190" s="6">
        <v>0.6</v>
      </c>
      <c r="N190" s="6">
        <v>0</v>
      </c>
      <c r="O190" s="6">
        <v>0.6</v>
      </c>
      <c r="P190" s="6">
        <v>0</v>
      </c>
      <c r="Q190" s="6">
        <v>0</v>
      </c>
      <c r="R190" s="6">
        <v>99</v>
      </c>
      <c r="S190" s="6">
        <v>0.5</v>
      </c>
      <c r="T190" s="6">
        <v>15</v>
      </c>
      <c r="U190" s="6">
        <v>20</v>
      </c>
      <c r="V190" s="6">
        <v>89</v>
      </c>
      <c r="W190" s="6">
        <v>32</v>
      </c>
      <c r="X190" s="6">
        <v>0.6</v>
      </c>
      <c r="Y190" s="6">
        <v>4</v>
      </c>
      <c r="Z190" s="6">
        <v>0.04</v>
      </c>
      <c r="AA190" s="6">
        <v>1</v>
      </c>
      <c r="AB190" s="6">
        <v>47</v>
      </c>
      <c r="AC190" s="51">
        <v>0.5</v>
      </c>
      <c r="AD190" s="6">
        <v>0.01</v>
      </c>
      <c r="AE190" s="6">
        <v>57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0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79">
        <v>0.5</v>
      </c>
      <c r="BQ190" s="79">
        <v>0.5</v>
      </c>
      <c r="BR190" s="79">
        <v>0.5</v>
      </c>
      <c r="BS190" s="79">
        <v>0.5</v>
      </c>
      <c r="BT190" s="79">
        <v>0.5</v>
      </c>
      <c r="BU190" s="79">
        <v>0.5</v>
      </c>
      <c r="BV190" s="79">
        <v>0.5</v>
      </c>
      <c r="BW190" s="79">
        <v>0.5</v>
      </c>
      <c r="BX190" s="79">
        <v>0.5</v>
      </c>
      <c r="BY190" s="79">
        <v>0.5</v>
      </c>
      <c r="BZ190" s="79">
        <v>0.5</v>
      </c>
      <c r="CA190" s="79">
        <v>0.5</v>
      </c>
      <c r="CB190" s="79">
        <v>0.5</v>
      </c>
      <c r="CC190" s="79">
        <v>0.5</v>
      </c>
      <c r="CD190" s="79">
        <v>0.5</v>
      </c>
      <c r="CE190" s="79">
        <v>0.5</v>
      </c>
      <c r="CF190" s="79">
        <v>0.5</v>
      </c>
      <c r="CG190" s="79">
        <v>0.5</v>
      </c>
      <c r="CH190" s="6">
        <v>0.3</v>
      </c>
      <c r="CI190" s="6">
        <v>0.3</v>
      </c>
      <c r="CJ190" s="6">
        <v>0</v>
      </c>
      <c r="CK190" s="6">
        <v>0</v>
      </c>
      <c r="CL190" s="6">
        <v>0</v>
      </c>
      <c r="CM190" s="6">
        <v>0</v>
      </c>
      <c r="CN190">
        <f t="shared" ref="CN190" si="3974">($C190*D190)/100</f>
        <v>1.2</v>
      </c>
      <c r="CO190">
        <f t="shared" ref="CO190" si="3975">($C190*E190)/100</f>
        <v>4.8</v>
      </c>
      <c r="CP190">
        <f t="shared" ref="CP190" si="3976">($C190*F190)/100</f>
        <v>0.12</v>
      </c>
      <c r="CQ190">
        <f t="shared" ref="CQ190" si="3977">($C190*G190)/100</f>
        <v>0</v>
      </c>
      <c r="CR190">
        <f t="shared" ref="CR190" si="3978">($C190*H190)/100</f>
        <v>0.12</v>
      </c>
      <c r="CS190">
        <f t="shared" ref="CS190" si="3979">($C190*I190)/100</f>
        <v>0</v>
      </c>
      <c r="CT190">
        <f t="shared" ref="CT190" si="3980">($C190*J190)/100</f>
        <v>0</v>
      </c>
      <c r="CU190">
        <f t="shared" ref="CU190" si="3981">($C190*K190)/100</f>
        <v>0</v>
      </c>
      <c r="CV190">
        <f t="shared" ref="CV190" si="3982">($C190*L190)/100</f>
        <v>0</v>
      </c>
      <c r="CW190">
        <f t="shared" ref="CW190" si="3983">($C190*M190)/100</f>
        <v>0.18</v>
      </c>
      <c r="CX190">
        <f t="shared" ref="CX190" si="3984">($C190*N190)/100</f>
        <v>0</v>
      </c>
      <c r="CY190">
        <f t="shared" ref="CY190" si="3985">($C190*O190)/100</f>
        <v>0.18</v>
      </c>
      <c r="CZ190">
        <f t="shared" ref="CZ190" si="3986">($C190*P190)/100</f>
        <v>0</v>
      </c>
      <c r="DA190">
        <f t="shared" ref="DA190" si="3987">($C190*Q190)/100</f>
        <v>0</v>
      </c>
      <c r="DB190">
        <f t="shared" ref="DB190" si="3988">($C190*R190)/100</f>
        <v>29.7</v>
      </c>
      <c r="DC190">
        <f t="shared" ref="DC190" si="3989">($C190*S190)/100</f>
        <v>0.15</v>
      </c>
      <c r="DD190">
        <f t="shared" ref="DD190" si="3990">($C190*T190)/100</f>
        <v>4.5</v>
      </c>
      <c r="DE190">
        <f t="shared" ref="DE190" si="3991">($C190*U190)/100</f>
        <v>6</v>
      </c>
      <c r="DF190">
        <f t="shared" ref="DF190" si="3992">($C190*V190)/100</f>
        <v>26.7</v>
      </c>
      <c r="DG190">
        <f t="shared" ref="DG190" si="3993">($C190*W190)/100</f>
        <v>9.6</v>
      </c>
      <c r="DH190">
        <f t="shared" ref="DH190" si="3994">($C190*X190)/100</f>
        <v>0.18</v>
      </c>
      <c r="DI190">
        <f t="shared" ref="DI190" si="3995">($C190*Y190)/100</f>
        <v>1.2</v>
      </c>
      <c r="DJ190">
        <f t="shared" ref="DJ190" si="3996">($C190*Z190)/100</f>
        <v>1.2E-2</v>
      </c>
      <c r="DK190">
        <f t="shared" ref="DK190" si="3997">($C190*AA190)/100</f>
        <v>0.3</v>
      </c>
      <c r="DL190">
        <f t="shared" ref="DL190" si="3998">($C190*AB190)/100</f>
        <v>14.1</v>
      </c>
      <c r="DM190">
        <f t="shared" ref="DM190" si="3999">($C190*AC190)/100</f>
        <v>0.15</v>
      </c>
      <c r="DN190">
        <f t="shared" ref="DN190" si="4000">($C190*AD190)/100</f>
        <v>3.0000000000000001E-3</v>
      </c>
      <c r="DO190">
        <f t="shared" ref="DO190" si="4001">($C190*AE190)/100</f>
        <v>17.100000000000001</v>
      </c>
      <c r="DP190">
        <f t="shared" ref="DP190" si="4002">($C190*AF190)/100</f>
        <v>0</v>
      </c>
      <c r="DQ190">
        <f t="shared" ref="DQ190" si="4003">($C190*AG190)/100</f>
        <v>0</v>
      </c>
      <c r="DR190">
        <f t="shared" ref="DR190" si="4004">($C190*AH190)/100</f>
        <v>0</v>
      </c>
      <c r="DS190">
        <f t="shared" ref="DS190" si="4005">($C190*AI190)/100</f>
        <v>0</v>
      </c>
      <c r="DT190">
        <f t="shared" ref="DT190" si="4006">($C190*AJ190)/100</f>
        <v>0</v>
      </c>
      <c r="DU190">
        <f t="shared" ref="DU190" si="4007">($C190*AK190)/100</f>
        <v>0</v>
      </c>
      <c r="DV190">
        <f t="shared" ref="DV190" si="4008">($C190*AL190)/100</f>
        <v>0</v>
      </c>
      <c r="DW190">
        <f t="shared" ref="DW190" si="4009">($C190*AM190)/100</f>
        <v>0</v>
      </c>
      <c r="DX190">
        <f t="shared" ref="DX190" si="4010">($C190*AN190)/100</f>
        <v>0</v>
      </c>
      <c r="DY190">
        <f t="shared" ref="DY190" si="4011">($C190*AO190)/100</f>
        <v>0</v>
      </c>
      <c r="DZ190">
        <f t="shared" ref="DZ190" si="4012">($C190*AP190)/100</f>
        <v>0</v>
      </c>
      <c r="EA190">
        <f t="shared" ref="EA190" si="4013">($C190*AQ190)/100</f>
        <v>0</v>
      </c>
      <c r="EB190">
        <f t="shared" ref="EB190" si="4014">($C190*AR190)/100</f>
        <v>0</v>
      </c>
      <c r="EC190">
        <f t="shared" ref="EC190" si="4015">($C190*AS190)/100</f>
        <v>0</v>
      </c>
      <c r="ED190">
        <f t="shared" ref="ED190" si="4016">($C190*AT190)/100</f>
        <v>0</v>
      </c>
      <c r="EE190">
        <f t="shared" ref="EE190" si="4017">($C190*AU190)/100</f>
        <v>0</v>
      </c>
      <c r="EF190">
        <f t="shared" ref="EF190" si="4018">($C190*AV190)/100</f>
        <v>0</v>
      </c>
      <c r="EG190">
        <f t="shared" ref="EG190" si="4019">($C190*AW190)/100</f>
        <v>0</v>
      </c>
      <c r="EH190">
        <f t="shared" ref="EH190" si="4020">($C190*AX190)/100</f>
        <v>0</v>
      </c>
      <c r="EI190">
        <f t="shared" ref="EI190" si="4021">($C190*AY190)/100</f>
        <v>0</v>
      </c>
      <c r="EJ190">
        <f t="shared" ref="EJ190" si="4022">($C190*AZ190)/100</f>
        <v>0</v>
      </c>
      <c r="EK190">
        <f t="shared" ref="EK190" si="4023">($C190*BA190)/100</f>
        <v>0</v>
      </c>
      <c r="EL190">
        <f t="shared" ref="EL190" si="4024">($C190*BB190)/100</f>
        <v>0</v>
      </c>
      <c r="EM190">
        <f t="shared" ref="EM190" si="4025">($C190*BC190)/100</f>
        <v>0</v>
      </c>
      <c r="EN190">
        <f t="shared" ref="EN190" si="4026">($C190*BD190)/100</f>
        <v>0</v>
      </c>
      <c r="EO190">
        <f t="shared" ref="EO190" si="4027">($C190*BE190)/100</f>
        <v>0</v>
      </c>
      <c r="EP190">
        <f t="shared" ref="EP190" si="4028">($C190*BF190)/100</f>
        <v>0</v>
      </c>
      <c r="EQ190">
        <f t="shared" ref="EQ190" si="4029">($C190*BG190)/100</f>
        <v>0</v>
      </c>
      <c r="ER190">
        <f t="shared" ref="ER190" si="4030">($C190*BH190)/100</f>
        <v>0</v>
      </c>
      <c r="ES190">
        <f t="shared" ref="ES190" si="4031">($C190*BI190)/100</f>
        <v>0</v>
      </c>
      <c r="ET190">
        <f t="shared" ref="ET190" si="4032">($C190*BJ190)/100</f>
        <v>0</v>
      </c>
      <c r="EU190">
        <f t="shared" ref="EU190" si="4033">($C190*BK190)/100</f>
        <v>0</v>
      </c>
      <c r="EV190">
        <f t="shared" ref="EV190" si="4034">($C190*BL190)/100</f>
        <v>0</v>
      </c>
      <c r="EW190">
        <f t="shared" ref="EW190" si="4035">($C190*BM190)/100</f>
        <v>0</v>
      </c>
      <c r="EX190">
        <f t="shared" ref="EX190" si="4036">($C190*BN190)/100</f>
        <v>0</v>
      </c>
      <c r="EY190">
        <f t="shared" ref="EY190" si="4037">($C190*BO190)/100</f>
        <v>0</v>
      </c>
      <c r="EZ190">
        <f t="shared" ref="EZ190" si="4038">($C190*BP190)/100</f>
        <v>0.15</v>
      </c>
      <c r="FA190">
        <f t="shared" ref="FA190" si="4039">($C190*BQ190)/100</f>
        <v>0.15</v>
      </c>
      <c r="FB190">
        <f t="shared" ref="FB190" si="4040">($C190*BR190)/100</f>
        <v>0.15</v>
      </c>
      <c r="FC190">
        <f t="shared" ref="FC190" si="4041">($C190*BS190)/100</f>
        <v>0.15</v>
      </c>
      <c r="FD190">
        <f t="shared" ref="FD190" si="4042">($C190*BT190)/100</f>
        <v>0.15</v>
      </c>
      <c r="FE190">
        <f t="shared" ref="FE190" si="4043">($C190*BU190)/100</f>
        <v>0.15</v>
      </c>
      <c r="FF190">
        <f t="shared" ref="FF190" si="4044">($C190*BV190)/100</f>
        <v>0.15</v>
      </c>
      <c r="FG190">
        <f t="shared" ref="FG190" si="4045">($C190*BW190)/100</f>
        <v>0.15</v>
      </c>
      <c r="FH190">
        <f t="shared" ref="FH190" si="4046">($C190*BX190)/100</f>
        <v>0.15</v>
      </c>
      <c r="FI190">
        <f t="shared" ref="FI190" si="4047">($C190*BY190)/100</f>
        <v>0.15</v>
      </c>
      <c r="FJ190">
        <f t="shared" ref="FJ190" si="4048">($C190*BZ190)/100</f>
        <v>0.15</v>
      </c>
      <c r="FK190">
        <f t="shared" ref="FK190" si="4049">($C190*CA190)/100</f>
        <v>0.15</v>
      </c>
      <c r="FL190">
        <f t="shared" ref="FL190" si="4050">($C190*CB190)/100</f>
        <v>0.15</v>
      </c>
      <c r="FM190">
        <f t="shared" ref="FM190" si="4051">($C190*CC190)/100</f>
        <v>0.15</v>
      </c>
      <c r="FN190">
        <f t="shared" ref="FN190" si="4052">($C190*CD190)/100</f>
        <v>0.15</v>
      </c>
      <c r="FO190">
        <f t="shared" ref="FO190" si="4053">($C190*CE190)/100</f>
        <v>0.15</v>
      </c>
      <c r="FP190">
        <f t="shared" ref="FP190" si="4054">($C190*CF190)/100</f>
        <v>0.15</v>
      </c>
      <c r="FQ190">
        <f t="shared" ref="FQ190" si="4055">($C190*CG190)/100</f>
        <v>0.15</v>
      </c>
      <c r="FR190">
        <f t="shared" ref="FR190" si="4056">($C190*CH190)/100</f>
        <v>0.09</v>
      </c>
      <c r="FS190">
        <f t="shared" ref="FS190" si="4057">($C190*CI190)/100</f>
        <v>0.09</v>
      </c>
      <c r="FT190">
        <f t="shared" ref="FT190" si="4058">($C190*CJ190)/100</f>
        <v>0</v>
      </c>
      <c r="FU190">
        <f t="shared" ref="FU190" si="4059">($C190*CK190)/100</f>
        <v>0</v>
      </c>
      <c r="FV190">
        <f t="shared" ref="FV190" si="4060">($C190*CL190)/100</f>
        <v>0</v>
      </c>
      <c r="FW190">
        <f t="shared" ref="FW190" si="4061">($C190*CM190)/100</f>
        <v>0</v>
      </c>
    </row>
    <row r="191" spans="1:179" x14ac:dyDescent="0.35">
      <c r="C191">
        <f>SUM(C189:C190)</f>
        <v>100</v>
      </c>
      <c r="CN191">
        <f>SUM(CN189:CN190)</f>
        <v>630.5</v>
      </c>
      <c r="CO191">
        <f t="shared" ref="CO191:EZ191" si="4062">SUM(CO189:CO190)</f>
        <v>2592</v>
      </c>
      <c r="CP191">
        <f t="shared" si="4062"/>
        <v>0.12</v>
      </c>
      <c r="CQ191">
        <f t="shared" si="4062"/>
        <v>0</v>
      </c>
      <c r="CR191">
        <f t="shared" si="4062"/>
        <v>0.12</v>
      </c>
      <c r="CS191">
        <f t="shared" si="4062"/>
        <v>69.930000000000007</v>
      </c>
      <c r="CT191">
        <f t="shared" si="4062"/>
        <v>0</v>
      </c>
      <c r="CU191">
        <f t="shared" si="4062"/>
        <v>69.930000000000007</v>
      </c>
      <c r="CV191">
        <f t="shared" si="4062"/>
        <v>0</v>
      </c>
      <c r="CW191">
        <f t="shared" si="4062"/>
        <v>0.18</v>
      </c>
      <c r="CX191">
        <f t="shared" si="4062"/>
        <v>0</v>
      </c>
      <c r="CY191">
        <f t="shared" si="4062"/>
        <v>0.18</v>
      </c>
      <c r="CZ191">
        <f t="shared" si="4062"/>
        <v>0</v>
      </c>
      <c r="DA191">
        <f t="shared" si="4062"/>
        <v>0</v>
      </c>
      <c r="DB191">
        <f t="shared" si="4062"/>
        <v>29.7</v>
      </c>
      <c r="DC191">
        <f t="shared" si="4062"/>
        <v>0.29000000000000004</v>
      </c>
      <c r="DD191">
        <f t="shared" si="4062"/>
        <v>4.5</v>
      </c>
      <c r="DE191">
        <f t="shared" si="4062"/>
        <v>6.35</v>
      </c>
      <c r="DF191">
        <f t="shared" si="4062"/>
        <v>27.05</v>
      </c>
      <c r="DG191">
        <f t="shared" si="4062"/>
        <v>9.6</v>
      </c>
      <c r="DH191">
        <f t="shared" si="4062"/>
        <v>0.1835</v>
      </c>
      <c r="DI191">
        <f t="shared" si="4062"/>
        <v>1.5499999999999998</v>
      </c>
      <c r="DJ191">
        <f t="shared" si="4062"/>
        <v>1.9000000000000003E-2</v>
      </c>
      <c r="DK191">
        <f t="shared" si="4062"/>
        <v>0.33499999999999996</v>
      </c>
      <c r="DL191">
        <f t="shared" si="4062"/>
        <v>14.45</v>
      </c>
      <c r="DM191">
        <f t="shared" si="4062"/>
        <v>0.5</v>
      </c>
      <c r="DN191">
        <f t="shared" si="4062"/>
        <v>6.5000000000000006E-3</v>
      </c>
      <c r="DO191">
        <f t="shared" si="4062"/>
        <v>17.450000000000003</v>
      </c>
      <c r="DP191">
        <f t="shared" si="4062"/>
        <v>0</v>
      </c>
      <c r="DQ191">
        <f t="shared" si="4062"/>
        <v>0</v>
      </c>
      <c r="DR191">
        <f t="shared" si="4062"/>
        <v>0</v>
      </c>
      <c r="DS191">
        <f t="shared" si="4062"/>
        <v>0</v>
      </c>
      <c r="DT191">
        <f t="shared" si="4062"/>
        <v>3.5000000000000005E-3</v>
      </c>
      <c r="DU191">
        <f t="shared" si="4062"/>
        <v>0.35</v>
      </c>
      <c r="DV191">
        <f t="shared" si="4062"/>
        <v>3.5000000000000005E-3</v>
      </c>
      <c r="DW191">
        <f t="shared" si="4062"/>
        <v>3.5000000000000003E-2</v>
      </c>
      <c r="DX191">
        <f t="shared" si="4062"/>
        <v>0</v>
      </c>
      <c r="DY191">
        <f t="shared" si="4062"/>
        <v>25.2</v>
      </c>
      <c r="DZ191">
        <f t="shared" si="4062"/>
        <v>0</v>
      </c>
      <c r="EA191">
        <f t="shared" si="4062"/>
        <v>151.19999999999999</v>
      </c>
      <c r="EB191">
        <f t="shared" si="4062"/>
        <v>14.994000000000002</v>
      </c>
      <c r="EC191">
        <f t="shared" si="4062"/>
        <v>0</v>
      </c>
      <c r="ED191">
        <f t="shared" si="4062"/>
        <v>40.25</v>
      </c>
      <c r="EE191">
        <f t="shared" si="4062"/>
        <v>10.122</v>
      </c>
      <c r="EF191">
        <f t="shared" si="4062"/>
        <v>0</v>
      </c>
      <c r="EG191">
        <f t="shared" si="4062"/>
        <v>0</v>
      </c>
      <c r="EH191">
        <f t="shared" si="4062"/>
        <v>0</v>
      </c>
      <c r="EI191">
        <f t="shared" si="4062"/>
        <v>7.4480000000000004</v>
      </c>
      <c r="EJ191">
        <f t="shared" si="4062"/>
        <v>2.1420000000000003</v>
      </c>
      <c r="EK191">
        <f t="shared" si="4062"/>
        <v>0.53200000000000003</v>
      </c>
      <c r="EL191">
        <f t="shared" si="4062"/>
        <v>0</v>
      </c>
      <c r="EM191">
        <f t="shared" si="4062"/>
        <v>51.064999999999998</v>
      </c>
      <c r="EN191">
        <f t="shared" si="4062"/>
        <v>0</v>
      </c>
      <c r="EO191">
        <f t="shared" si="4062"/>
        <v>0.55300000000000005</v>
      </c>
      <c r="EP191">
        <f t="shared" si="4062"/>
        <v>50.309000000000005</v>
      </c>
      <c r="EQ191">
        <f t="shared" si="4062"/>
        <v>0.20299999999999996</v>
      </c>
      <c r="ER191">
        <f t="shared" si="4062"/>
        <v>0</v>
      </c>
      <c r="ES191">
        <f t="shared" si="4062"/>
        <v>5.2639999999999993</v>
      </c>
      <c r="ET191">
        <f t="shared" si="4062"/>
        <v>4.7530000000000001</v>
      </c>
      <c r="EU191">
        <f t="shared" si="4062"/>
        <v>0.51100000000000001</v>
      </c>
      <c r="EV191">
        <f t="shared" si="4062"/>
        <v>0</v>
      </c>
      <c r="EW191">
        <f t="shared" si="4062"/>
        <v>0</v>
      </c>
      <c r="EX191">
        <f t="shared" si="4062"/>
        <v>0</v>
      </c>
      <c r="EY191">
        <f t="shared" si="4062"/>
        <v>0</v>
      </c>
      <c r="EZ191">
        <f t="shared" si="4062"/>
        <v>0.15</v>
      </c>
      <c r="FA191">
        <f t="shared" ref="FA191:FW191" si="4063">SUM(FA189:FA190)</f>
        <v>0.15</v>
      </c>
      <c r="FB191">
        <f t="shared" si="4063"/>
        <v>0.15</v>
      </c>
      <c r="FC191">
        <f t="shared" si="4063"/>
        <v>0.15</v>
      </c>
      <c r="FD191">
        <f t="shared" si="4063"/>
        <v>0.15</v>
      </c>
      <c r="FE191">
        <f t="shared" si="4063"/>
        <v>0.15</v>
      </c>
      <c r="FF191">
        <f t="shared" si="4063"/>
        <v>0.15</v>
      </c>
      <c r="FG191">
        <f t="shared" si="4063"/>
        <v>0.15</v>
      </c>
      <c r="FH191">
        <f t="shared" si="4063"/>
        <v>0.15</v>
      </c>
      <c r="FI191">
        <f t="shared" si="4063"/>
        <v>0.15</v>
      </c>
      <c r="FJ191">
        <f t="shared" si="4063"/>
        <v>0.15</v>
      </c>
      <c r="FK191">
        <f t="shared" si="4063"/>
        <v>0.15</v>
      </c>
      <c r="FL191">
        <f t="shared" si="4063"/>
        <v>0.15</v>
      </c>
      <c r="FM191">
        <f t="shared" si="4063"/>
        <v>0.15</v>
      </c>
      <c r="FN191">
        <f t="shared" si="4063"/>
        <v>0.15</v>
      </c>
      <c r="FO191">
        <f t="shared" si="4063"/>
        <v>0.15</v>
      </c>
      <c r="FP191">
        <f t="shared" si="4063"/>
        <v>0.15</v>
      </c>
      <c r="FQ191">
        <f t="shared" si="4063"/>
        <v>0.15</v>
      </c>
      <c r="FR191">
        <f t="shared" si="4063"/>
        <v>0.09</v>
      </c>
      <c r="FS191">
        <f t="shared" si="4063"/>
        <v>0.09</v>
      </c>
      <c r="FT191">
        <f t="shared" si="4063"/>
        <v>0</v>
      </c>
      <c r="FU191">
        <f t="shared" si="4063"/>
        <v>0</v>
      </c>
      <c r="FV191">
        <f t="shared" si="4063"/>
        <v>0</v>
      </c>
      <c r="FW191">
        <f t="shared" si="4063"/>
        <v>0</v>
      </c>
    </row>
    <row r="193" spans="1:179" x14ac:dyDescent="0.35">
      <c r="A193" s="80" t="s">
        <v>448</v>
      </c>
      <c r="B193" s="71" t="s">
        <v>238</v>
      </c>
      <c r="C193">
        <v>20</v>
      </c>
      <c r="D193" s="6">
        <v>758</v>
      </c>
      <c r="E193" s="6">
        <v>3117</v>
      </c>
      <c r="F193" s="6">
        <v>0.8</v>
      </c>
      <c r="G193" s="6">
        <v>0.8</v>
      </c>
      <c r="H193" s="6">
        <v>0</v>
      </c>
      <c r="I193" s="6">
        <v>83.4</v>
      </c>
      <c r="J193" s="6">
        <v>83.4</v>
      </c>
      <c r="K193" s="6">
        <v>0</v>
      </c>
      <c r="L193" s="6">
        <v>250</v>
      </c>
      <c r="M193" s="6">
        <v>1.1000000000000001</v>
      </c>
      <c r="N193" s="6">
        <v>0</v>
      </c>
      <c r="O193" s="6">
        <v>1.1000000000000001</v>
      </c>
      <c r="P193" s="6">
        <v>0</v>
      </c>
      <c r="Q193" s="6">
        <v>0</v>
      </c>
      <c r="R193" s="6">
        <v>14.1</v>
      </c>
      <c r="S193" s="6">
        <v>0</v>
      </c>
      <c r="T193" s="6">
        <v>25</v>
      </c>
      <c r="U193" s="6">
        <v>7</v>
      </c>
      <c r="V193" s="6">
        <v>15</v>
      </c>
      <c r="W193" s="6">
        <v>16</v>
      </c>
      <c r="X193" s="6">
        <v>0.6</v>
      </c>
      <c r="Y193" s="6">
        <v>2</v>
      </c>
      <c r="Z193" s="6">
        <v>0.05</v>
      </c>
      <c r="AA193" s="51">
        <v>0.05</v>
      </c>
      <c r="AB193" s="6">
        <v>17</v>
      </c>
      <c r="AC193" s="6">
        <v>38</v>
      </c>
      <c r="AD193" s="51">
        <v>5.0000000000000001E-3</v>
      </c>
      <c r="AE193" s="6">
        <v>8</v>
      </c>
      <c r="AF193" s="51">
        <v>5.0000000000000001E-3</v>
      </c>
      <c r="AG193" s="6">
        <v>0.02</v>
      </c>
      <c r="AH193" s="6">
        <v>0</v>
      </c>
      <c r="AI193" s="51">
        <v>5.0000000000000001E-3</v>
      </c>
      <c r="AJ193" s="51">
        <v>5.0000000000000001E-3</v>
      </c>
      <c r="AK193" s="51">
        <v>0.5</v>
      </c>
      <c r="AL193" s="6">
        <v>0.04</v>
      </c>
      <c r="AM193" s="51">
        <v>0.05</v>
      </c>
      <c r="AN193" s="51">
        <v>0.05</v>
      </c>
      <c r="AO193" s="6">
        <v>930</v>
      </c>
      <c r="AP193" s="6">
        <v>906</v>
      </c>
      <c r="AQ193" s="6">
        <v>146</v>
      </c>
      <c r="AR193" s="6">
        <v>2.4</v>
      </c>
      <c r="AS193" s="6">
        <v>0.8</v>
      </c>
      <c r="AT193" s="6">
        <v>7.4</v>
      </c>
      <c r="AU193" s="6">
        <v>48.78</v>
      </c>
      <c r="AV193" s="6">
        <v>7.82</v>
      </c>
      <c r="AW193" s="6">
        <v>2.39</v>
      </c>
      <c r="AX193" s="6">
        <v>8.31</v>
      </c>
      <c r="AY193" s="6">
        <v>20.86</v>
      </c>
      <c r="AZ193" s="6">
        <v>9.4</v>
      </c>
      <c r="BA193" s="6">
        <v>0</v>
      </c>
      <c r="BB193" s="6">
        <v>0</v>
      </c>
      <c r="BC193" s="6">
        <v>23.72</v>
      </c>
      <c r="BD193" s="6">
        <v>1.1399999999999999</v>
      </c>
      <c r="BE193" s="6">
        <v>1.9</v>
      </c>
      <c r="BF193" s="6">
        <v>20.68</v>
      </c>
      <c r="BG193" s="6">
        <v>0</v>
      </c>
      <c r="BH193" s="6">
        <v>0</v>
      </c>
      <c r="BI193" s="6">
        <v>2.75</v>
      </c>
      <c r="BJ193" s="6">
        <v>1.57</v>
      </c>
      <c r="BK193" s="6">
        <v>1.18</v>
      </c>
      <c r="BL193" s="6">
        <v>0</v>
      </c>
      <c r="BM193" s="6">
        <v>0</v>
      </c>
      <c r="BN193" s="6">
        <v>0</v>
      </c>
      <c r="BO193" s="6">
        <v>0</v>
      </c>
      <c r="BP193" s="7">
        <v>12</v>
      </c>
      <c r="BQ193" s="7">
        <v>40</v>
      </c>
      <c r="BR193" s="7">
        <v>47</v>
      </c>
      <c r="BS193" s="7">
        <v>86</v>
      </c>
      <c r="BT193" s="7">
        <v>66</v>
      </c>
      <c r="BU193" s="7">
        <v>20</v>
      </c>
      <c r="BV193" s="7">
        <v>9</v>
      </c>
      <c r="BW193" s="7">
        <v>43</v>
      </c>
      <c r="BX193" s="7">
        <v>34</v>
      </c>
      <c r="BY193" s="7">
        <v>56</v>
      </c>
      <c r="BZ193" s="7">
        <v>25</v>
      </c>
      <c r="CA193" s="7">
        <v>23</v>
      </c>
      <c r="CB193" s="7">
        <v>29</v>
      </c>
      <c r="CC193" s="7">
        <v>65</v>
      </c>
      <c r="CD193" s="7">
        <v>187</v>
      </c>
      <c r="CE193" s="7">
        <v>17</v>
      </c>
      <c r="CF193" s="7">
        <v>90</v>
      </c>
      <c r="CG193" s="7">
        <v>49</v>
      </c>
      <c r="CH193" s="6">
        <v>0</v>
      </c>
      <c r="CI193" s="6">
        <v>0</v>
      </c>
      <c r="CJ193" s="6">
        <v>0</v>
      </c>
      <c r="CK193" s="6">
        <v>0</v>
      </c>
      <c r="CL193" s="6">
        <v>0</v>
      </c>
      <c r="CM193" s="6">
        <v>1.1000000000000001</v>
      </c>
      <c r="CN193">
        <f t="shared" ref="CN193:CN198" si="4064">($C193*D193)/100</f>
        <v>151.6</v>
      </c>
      <c r="CO193">
        <f t="shared" ref="CO193:CO198" si="4065">($C193*E193)/100</f>
        <v>623.4</v>
      </c>
      <c r="CP193">
        <f t="shared" ref="CP193:CP198" si="4066">($C193*F193)/100</f>
        <v>0.16</v>
      </c>
      <c r="CQ193">
        <f t="shared" ref="CQ193:CQ198" si="4067">($C193*G193)/100</f>
        <v>0.16</v>
      </c>
      <c r="CR193">
        <f t="shared" ref="CR193:CR198" si="4068">($C193*H193)/100</f>
        <v>0</v>
      </c>
      <c r="CS193">
        <f t="shared" ref="CS193:CS198" si="4069">($C193*I193)/100</f>
        <v>16.68</v>
      </c>
      <c r="CT193">
        <f t="shared" ref="CT193:CT198" si="4070">($C193*J193)/100</f>
        <v>16.68</v>
      </c>
      <c r="CU193">
        <f t="shared" ref="CU193:CU198" si="4071">($C193*K193)/100</f>
        <v>0</v>
      </c>
      <c r="CV193">
        <f t="shared" ref="CV193:CV198" si="4072">($C193*L193)/100</f>
        <v>50</v>
      </c>
      <c r="CW193">
        <f t="shared" ref="CW193:CW198" si="4073">($C193*M193)/100</f>
        <v>0.22</v>
      </c>
      <c r="CX193">
        <f t="shared" ref="CX193:CX198" si="4074">($C193*N193)/100</f>
        <v>0</v>
      </c>
      <c r="CY193">
        <f t="shared" ref="CY193:CY198" si="4075">($C193*O193)/100</f>
        <v>0.22</v>
      </c>
      <c r="CZ193">
        <f t="shared" ref="CZ193:CZ198" si="4076">($C193*P193)/100</f>
        <v>0</v>
      </c>
      <c r="DA193">
        <f t="shared" ref="DA193:DA198" si="4077">($C193*Q193)/100</f>
        <v>0</v>
      </c>
      <c r="DB193">
        <f t="shared" ref="DB193:DB198" si="4078">($C193*R193)/100</f>
        <v>2.82</v>
      </c>
      <c r="DC193">
        <f t="shared" ref="DC193:DC198" si="4079">($C193*S193)/100</f>
        <v>0</v>
      </c>
      <c r="DD193">
        <f t="shared" ref="DD193:DD198" si="4080">($C193*T193)/100</f>
        <v>5</v>
      </c>
      <c r="DE193">
        <f t="shared" ref="DE193:DE198" si="4081">($C193*U193)/100</f>
        <v>1.4</v>
      </c>
      <c r="DF193">
        <f t="shared" ref="DF193:DF198" si="4082">($C193*V193)/100</f>
        <v>3</v>
      </c>
      <c r="DG193">
        <f t="shared" ref="DG193:DG198" si="4083">($C193*W193)/100</f>
        <v>3.2</v>
      </c>
      <c r="DH193">
        <f t="shared" ref="DH193:DH198" si="4084">($C193*X193)/100</f>
        <v>0.12</v>
      </c>
      <c r="DI193">
        <f t="shared" ref="DI193:DI198" si="4085">($C193*Y193)/100</f>
        <v>0.4</v>
      </c>
      <c r="DJ193">
        <f t="shared" ref="DJ193:DJ198" si="4086">($C193*Z193)/100</f>
        <v>0.01</v>
      </c>
      <c r="DK193">
        <f t="shared" ref="DK193:DK198" si="4087">($C193*AA193)/100</f>
        <v>0.01</v>
      </c>
      <c r="DL193">
        <f t="shared" ref="DL193:DL198" si="4088">($C193*AB193)/100</f>
        <v>3.4</v>
      </c>
      <c r="DM193">
        <f t="shared" ref="DM193:DM198" si="4089">($C193*AC193)/100</f>
        <v>7.6</v>
      </c>
      <c r="DN193">
        <f t="shared" ref="DN193:DN198" si="4090">($C193*AD193)/100</f>
        <v>1E-3</v>
      </c>
      <c r="DO193">
        <f t="shared" ref="DO193:DO198" si="4091">($C193*AE193)/100</f>
        <v>1.6</v>
      </c>
      <c r="DP193">
        <f t="shared" ref="DP193:DP198" si="4092">($C193*AF193)/100</f>
        <v>1E-3</v>
      </c>
      <c r="DQ193">
        <f t="shared" ref="DQ193:DQ198" si="4093">($C193*AG193)/100</f>
        <v>4.0000000000000001E-3</v>
      </c>
      <c r="DR193">
        <f t="shared" ref="DR193:DR198" si="4094">($C193*AH193)/100</f>
        <v>0</v>
      </c>
      <c r="DS193">
        <f t="shared" ref="DS193:DS198" si="4095">($C193*AI193)/100</f>
        <v>1E-3</v>
      </c>
      <c r="DT193">
        <f t="shared" ref="DT193:DT198" si="4096">($C193*AJ193)/100</f>
        <v>1E-3</v>
      </c>
      <c r="DU193">
        <f t="shared" ref="DU193:DU198" si="4097">($C193*AK193)/100</f>
        <v>0.1</v>
      </c>
      <c r="DV193">
        <f t="shared" ref="DV193:DV198" si="4098">($C193*AL193)/100</f>
        <v>8.0000000000000002E-3</v>
      </c>
      <c r="DW193">
        <f t="shared" ref="DW193:DW198" si="4099">($C193*AM193)/100</f>
        <v>0.01</v>
      </c>
      <c r="DX193">
        <f t="shared" ref="DX193:DX198" si="4100">($C193*AN193)/100</f>
        <v>0.01</v>
      </c>
      <c r="DY193">
        <f t="shared" ref="DY193:DY198" si="4101">($C193*AO193)/100</f>
        <v>186</v>
      </c>
      <c r="DZ193">
        <f t="shared" ref="DZ193:DZ198" si="4102">($C193*AP193)/100</f>
        <v>181.2</v>
      </c>
      <c r="EA193">
        <f t="shared" ref="EA193:EA198" si="4103">($C193*AQ193)/100</f>
        <v>29.2</v>
      </c>
      <c r="EB193">
        <f t="shared" ref="EB193:EB198" si="4104">($C193*AR193)/100</f>
        <v>0.48</v>
      </c>
      <c r="EC193">
        <f t="shared" ref="EC193:EC198" si="4105">($C193*AS193)/100</f>
        <v>0.16</v>
      </c>
      <c r="ED193">
        <f t="shared" ref="ED193:ED198" si="4106">($C193*AT193)/100</f>
        <v>1.48</v>
      </c>
      <c r="EE193">
        <f t="shared" ref="EE193:EE198" si="4107">($C193*AU193)/100</f>
        <v>9.7560000000000002</v>
      </c>
      <c r="EF193">
        <f t="shared" ref="EF193:EF198" si="4108">($C193*AV193)/100</f>
        <v>1.5640000000000001</v>
      </c>
      <c r="EG193">
        <f t="shared" ref="EG193:EG198" si="4109">($C193*AW193)/100</f>
        <v>0.47800000000000004</v>
      </c>
      <c r="EH193">
        <f t="shared" ref="EH193:EH198" si="4110">($C193*AX193)/100</f>
        <v>1.6620000000000001</v>
      </c>
      <c r="EI193">
        <f t="shared" ref="EI193:EI198" si="4111">($C193*AY193)/100</f>
        <v>4.1719999999999997</v>
      </c>
      <c r="EJ193">
        <f t="shared" ref="EJ193:EJ198" si="4112">($C193*AZ193)/100</f>
        <v>1.88</v>
      </c>
      <c r="EK193">
        <f t="shared" ref="EK193:EK198" si="4113">($C193*BA193)/100</f>
        <v>0</v>
      </c>
      <c r="EL193">
        <f t="shared" ref="EL193:EL198" si="4114">($C193*BB193)/100</f>
        <v>0</v>
      </c>
      <c r="EM193">
        <f t="shared" ref="EM193:EM198" si="4115">($C193*BC193)/100</f>
        <v>4.7439999999999998</v>
      </c>
      <c r="EN193">
        <f t="shared" ref="EN193:EN198" si="4116">($C193*BD193)/100</f>
        <v>0.22799999999999998</v>
      </c>
      <c r="EO193">
        <f t="shared" ref="EO193:EO198" si="4117">($C193*BE193)/100</f>
        <v>0.38</v>
      </c>
      <c r="EP193">
        <f t="shared" ref="EP193:EP198" si="4118">($C193*BF193)/100</f>
        <v>4.1360000000000001</v>
      </c>
      <c r="EQ193">
        <f t="shared" ref="EQ193:EQ198" si="4119">($C193*BG193)/100</f>
        <v>0</v>
      </c>
      <c r="ER193">
        <f t="shared" ref="ER193:ER198" si="4120">($C193*BH193)/100</f>
        <v>0</v>
      </c>
      <c r="ES193">
        <f t="shared" ref="ES193:ES198" si="4121">($C193*BI193)/100</f>
        <v>0.55000000000000004</v>
      </c>
      <c r="ET193">
        <f t="shared" ref="ET193:ET198" si="4122">($C193*BJ193)/100</f>
        <v>0.314</v>
      </c>
      <c r="EU193">
        <f t="shared" ref="EU193:EU198" si="4123">($C193*BK193)/100</f>
        <v>0.23599999999999999</v>
      </c>
      <c r="EV193">
        <f t="shared" ref="EV193:EV198" si="4124">($C193*BL193)/100</f>
        <v>0</v>
      </c>
      <c r="EW193">
        <f t="shared" ref="EW193:EW198" si="4125">($C193*BM193)/100</f>
        <v>0</v>
      </c>
      <c r="EX193">
        <f t="shared" ref="EX193:EX198" si="4126">($C193*BN193)/100</f>
        <v>0</v>
      </c>
      <c r="EY193">
        <f t="shared" ref="EY193:EY198" si="4127">($C193*BO193)/100</f>
        <v>0</v>
      </c>
      <c r="EZ193">
        <f t="shared" ref="EZ193:EZ198" si="4128">($C193*BP193)/100</f>
        <v>2.4</v>
      </c>
      <c r="FA193">
        <f t="shared" ref="FA193:FA198" si="4129">($C193*BQ193)/100</f>
        <v>8</v>
      </c>
      <c r="FB193">
        <f t="shared" ref="FB193:FB198" si="4130">($C193*BR193)/100</f>
        <v>9.4</v>
      </c>
      <c r="FC193">
        <f t="shared" ref="FC193:FC198" si="4131">($C193*BS193)/100</f>
        <v>17.2</v>
      </c>
      <c r="FD193">
        <f t="shared" ref="FD193:FD198" si="4132">($C193*BT193)/100</f>
        <v>13.2</v>
      </c>
      <c r="FE193">
        <f t="shared" ref="FE193:FE198" si="4133">($C193*BU193)/100</f>
        <v>4</v>
      </c>
      <c r="FF193">
        <f t="shared" ref="FF193:FF198" si="4134">($C193*BV193)/100</f>
        <v>1.8</v>
      </c>
      <c r="FG193">
        <f t="shared" ref="FG193:FG198" si="4135">($C193*BW193)/100</f>
        <v>8.6</v>
      </c>
      <c r="FH193">
        <f t="shared" ref="FH193:FH198" si="4136">($C193*BX193)/100</f>
        <v>6.8</v>
      </c>
      <c r="FI193">
        <f t="shared" ref="FI193:FI198" si="4137">($C193*BY193)/100</f>
        <v>11.2</v>
      </c>
      <c r="FJ193">
        <f t="shared" ref="FJ193:FJ198" si="4138">($C193*BZ193)/100</f>
        <v>5</v>
      </c>
      <c r="FK193">
        <f t="shared" ref="FK193:FK198" si="4139">($C193*CA193)/100</f>
        <v>4.5999999999999996</v>
      </c>
      <c r="FL193">
        <f t="shared" ref="FL193:FL198" si="4140">($C193*CB193)/100</f>
        <v>5.8</v>
      </c>
      <c r="FM193">
        <f t="shared" ref="FM193:FM198" si="4141">($C193*CC193)/100</f>
        <v>13</v>
      </c>
      <c r="FN193">
        <f t="shared" ref="FN193:FN198" si="4142">($C193*CD193)/100</f>
        <v>37.4</v>
      </c>
      <c r="FO193">
        <f t="shared" ref="FO193:FO198" si="4143">($C193*CE193)/100</f>
        <v>3.4</v>
      </c>
      <c r="FP193">
        <f t="shared" ref="FP193:FP198" si="4144">($C193*CF193)/100</f>
        <v>18</v>
      </c>
      <c r="FQ193">
        <f t="shared" ref="FQ193:FQ198" si="4145">($C193*CG193)/100</f>
        <v>9.8000000000000007</v>
      </c>
      <c r="FR193">
        <f t="shared" ref="FR193:FR198" si="4146">($C193*CH193)/100</f>
        <v>0</v>
      </c>
      <c r="FS193">
        <f t="shared" ref="FS193:FS198" si="4147">($C193*CI193)/100</f>
        <v>0</v>
      </c>
      <c r="FT193">
        <f t="shared" ref="FT193:FT198" si="4148">($C193*CJ193)/100</f>
        <v>0</v>
      </c>
      <c r="FU193">
        <f t="shared" ref="FU193:FU198" si="4149">($C193*CK193)/100</f>
        <v>0</v>
      </c>
      <c r="FV193">
        <f t="shared" ref="FV193:FV198" si="4150">($C193*CL193)/100</f>
        <v>0</v>
      </c>
      <c r="FW193">
        <f t="shared" ref="FW193:FW198" si="4151">($C193*CM193)/100</f>
        <v>0.22</v>
      </c>
    </row>
    <row r="194" spans="1:179" x14ac:dyDescent="0.35">
      <c r="B194" s="72" t="s">
        <v>446</v>
      </c>
      <c r="C194">
        <v>15</v>
      </c>
      <c r="D194" s="6">
        <v>392</v>
      </c>
      <c r="E194" s="6">
        <v>1672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104.5</v>
      </c>
      <c r="N194" s="6">
        <v>0</v>
      </c>
      <c r="O194" s="6">
        <v>104.5</v>
      </c>
      <c r="P194" s="6">
        <v>0</v>
      </c>
      <c r="Q194" s="6">
        <v>0</v>
      </c>
      <c r="R194" s="6">
        <v>0.5</v>
      </c>
      <c r="S194" s="6">
        <v>0.3</v>
      </c>
      <c r="T194" s="6">
        <v>1</v>
      </c>
      <c r="U194" s="6">
        <v>1</v>
      </c>
      <c r="V194" s="6">
        <v>2</v>
      </c>
      <c r="W194" s="6">
        <v>1</v>
      </c>
      <c r="X194" s="6">
        <v>0.1</v>
      </c>
      <c r="Y194" s="6">
        <v>2</v>
      </c>
      <c r="Z194" s="6">
        <v>0.12</v>
      </c>
      <c r="AA194" s="51">
        <v>0.05</v>
      </c>
      <c r="AB194" s="51">
        <v>0.5</v>
      </c>
      <c r="AC194" s="51">
        <v>0.5</v>
      </c>
      <c r="AD194" s="51">
        <v>5.0000000000000001E-3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7">
        <v>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s="7">
        <v>0</v>
      </c>
      <c r="BW194" s="7">
        <v>0</v>
      </c>
      <c r="BX194" s="7">
        <v>0</v>
      </c>
      <c r="BY194" s="7">
        <v>0</v>
      </c>
      <c r="BZ194" s="7">
        <v>0</v>
      </c>
      <c r="CA194" s="7">
        <v>0</v>
      </c>
      <c r="CB194" s="7">
        <v>0</v>
      </c>
      <c r="CC194" s="7">
        <v>0</v>
      </c>
      <c r="CD194" s="7">
        <v>0</v>
      </c>
      <c r="CE194" s="7">
        <v>0</v>
      </c>
      <c r="CF194" s="7">
        <v>0</v>
      </c>
      <c r="CG194" s="7">
        <v>0</v>
      </c>
      <c r="CH194" s="6">
        <v>0</v>
      </c>
      <c r="CI194" s="6">
        <v>0</v>
      </c>
      <c r="CJ194" s="6">
        <v>0</v>
      </c>
      <c r="CK194" s="6">
        <v>104.5</v>
      </c>
      <c r="CL194" s="6">
        <v>0</v>
      </c>
      <c r="CM194" s="6">
        <v>0</v>
      </c>
      <c r="CN194">
        <f t="shared" si="4064"/>
        <v>58.8</v>
      </c>
      <c r="CO194">
        <f t="shared" si="4065"/>
        <v>250.8</v>
      </c>
      <c r="CP194">
        <f t="shared" si="4066"/>
        <v>0</v>
      </c>
      <c r="CQ194">
        <f t="shared" si="4067"/>
        <v>0</v>
      </c>
      <c r="CR194">
        <f t="shared" si="4068"/>
        <v>0</v>
      </c>
      <c r="CS194">
        <f t="shared" si="4069"/>
        <v>0</v>
      </c>
      <c r="CT194">
        <f t="shared" si="4070"/>
        <v>0</v>
      </c>
      <c r="CU194">
        <f t="shared" si="4071"/>
        <v>0</v>
      </c>
      <c r="CV194">
        <f t="shared" si="4072"/>
        <v>0</v>
      </c>
      <c r="CW194">
        <f t="shared" si="4073"/>
        <v>15.675000000000001</v>
      </c>
      <c r="CX194">
        <f t="shared" si="4074"/>
        <v>0</v>
      </c>
      <c r="CY194">
        <f t="shared" si="4075"/>
        <v>15.675000000000001</v>
      </c>
      <c r="CZ194">
        <f t="shared" si="4076"/>
        <v>0</v>
      </c>
      <c r="DA194">
        <f t="shared" si="4077"/>
        <v>0</v>
      </c>
      <c r="DB194">
        <f t="shared" si="4078"/>
        <v>7.4999999999999997E-2</v>
      </c>
      <c r="DC194">
        <f t="shared" si="4079"/>
        <v>4.4999999999999998E-2</v>
      </c>
      <c r="DD194">
        <f t="shared" si="4080"/>
        <v>0.15</v>
      </c>
      <c r="DE194">
        <f t="shared" si="4081"/>
        <v>0.15</v>
      </c>
      <c r="DF194">
        <f t="shared" si="4082"/>
        <v>0.3</v>
      </c>
      <c r="DG194">
        <f t="shared" si="4083"/>
        <v>0.15</v>
      </c>
      <c r="DH194">
        <f t="shared" si="4084"/>
        <v>1.4999999999999999E-2</v>
      </c>
      <c r="DI194">
        <f t="shared" si="4085"/>
        <v>0.3</v>
      </c>
      <c r="DJ194">
        <f t="shared" si="4086"/>
        <v>1.7999999999999999E-2</v>
      </c>
      <c r="DK194">
        <f t="shared" si="4087"/>
        <v>7.4999999999999997E-3</v>
      </c>
      <c r="DL194">
        <f t="shared" si="4088"/>
        <v>7.4999999999999997E-2</v>
      </c>
      <c r="DM194">
        <f t="shared" si="4089"/>
        <v>7.4999999999999997E-2</v>
      </c>
      <c r="DN194">
        <f t="shared" si="4090"/>
        <v>7.5000000000000002E-4</v>
      </c>
      <c r="DO194">
        <f t="shared" si="4091"/>
        <v>0</v>
      </c>
      <c r="DP194">
        <f t="shared" si="4092"/>
        <v>0</v>
      </c>
      <c r="DQ194">
        <f t="shared" si="4093"/>
        <v>0</v>
      </c>
      <c r="DR194">
        <f t="shared" si="4094"/>
        <v>0</v>
      </c>
      <c r="DS194">
        <f t="shared" si="4095"/>
        <v>0</v>
      </c>
      <c r="DT194">
        <f t="shared" si="4096"/>
        <v>0</v>
      </c>
      <c r="DU194">
        <f t="shared" si="4097"/>
        <v>0</v>
      </c>
      <c r="DV194">
        <f t="shared" si="4098"/>
        <v>0</v>
      </c>
      <c r="DW194">
        <f t="shared" si="4099"/>
        <v>0</v>
      </c>
      <c r="DX194">
        <f t="shared" si="4100"/>
        <v>0</v>
      </c>
      <c r="DY194">
        <f t="shared" si="4101"/>
        <v>0</v>
      </c>
      <c r="DZ194">
        <f t="shared" si="4102"/>
        <v>0</v>
      </c>
      <c r="EA194">
        <f t="shared" si="4103"/>
        <v>0</v>
      </c>
      <c r="EB194">
        <f t="shared" si="4104"/>
        <v>0</v>
      </c>
      <c r="EC194">
        <f t="shared" si="4105"/>
        <v>0</v>
      </c>
      <c r="ED194">
        <f t="shared" si="4106"/>
        <v>0</v>
      </c>
      <c r="EE194">
        <f t="shared" si="4107"/>
        <v>0</v>
      </c>
      <c r="EF194">
        <f t="shared" si="4108"/>
        <v>0</v>
      </c>
      <c r="EG194">
        <f t="shared" si="4109"/>
        <v>0</v>
      </c>
      <c r="EH194">
        <f t="shared" si="4110"/>
        <v>0</v>
      </c>
      <c r="EI194">
        <f t="shared" si="4111"/>
        <v>0</v>
      </c>
      <c r="EJ194">
        <f t="shared" si="4112"/>
        <v>0</v>
      </c>
      <c r="EK194">
        <f t="shared" si="4113"/>
        <v>0</v>
      </c>
      <c r="EL194">
        <f t="shared" si="4114"/>
        <v>0</v>
      </c>
      <c r="EM194">
        <f t="shared" si="4115"/>
        <v>0</v>
      </c>
      <c r="EN194">
        <f t="shared" si="4116"/>
        <v>0</v>
      </c>
      <c r="EO194">
        <f t="shared" si="4117"/>
        <v>0</v>
      </c>
      <c r="EP194">
        <f t="shared" si="4118"/>
        <v>0</v>
      </c>
      <c r="EQ194">
        <f t="shared" si="4119"/>
        <v>0</v>
      </c>
      <c r="ER194">
        <f t="shared" si="4120"/>
        <v>0</v>
      </c>
      <c r="ES194">
        <f t="shared" si="4121"/>
        <v>0</v>
      </c>
      <c r="ET194">
        <f t="shared" si="4122"/>
        <v>0</v>
      </c>
      <c r="EU194">
        <f t="shared" si="4123"/>
        <v>0</v>
      </c>
      <c r="EV194">
        <f t="shared" si="4124"/>
        <v>0</v>
      </c>
      <c r="EW194">
        <f t="shared" si="4125"/>
        <v>0</v>
      </c>
      <c r="EX194">
        <f t="shared" si="4126"/>
        <v>0</v>
      </c>
      <c r="EY194">
        <f t="shared" si="4127"/>
        <v>0</v>
      </c>
      <c r="EZ194">
        <f t="shared" si="4128"/>
        <v>0</v>
      </c>
      <c r="FA194">
        <f t="shared" si="4129"/>
        <v>0</v>
      </c>
      <c r="FB194">
        <f t="shared" si="4130"/>
        <v>0</v>
      </c>
      <c r="FC194">
        <f t="shared" si="4131"/>
        <v>0</v>
      </c>
      <c r="FD194">
        <f t="shared" si="4132"/>
        <v>0</v>
      </c>
      <c r="FE194">
        <f t="shared" si="4133"/>
        <v>0</v>
      </c>
      <c r="FF194">
        <f t="shared" si="4134"/>
        <v>0</v>
      </c>
      <c r="FG194">
        <f t="shared" si="4135"/>
        <v>0</v>
      </c>
      <c r="FH194">
        <f t="shared" si="4136"/>
        <v>0</v>
      </c>
      <c r="FI194">
        <f t="shared" si="4137"/>
        <v>0</v>
      </c>
      <c r="FJ194">
        <f t="shared" si="4138"/>
        <v>0</v>
      </c>
      <c r="FK194">
        <f t="shared" si="4139"/>
        <v>0</v>
      </c>
      <c r="FL194">
        <f t="shared" si="4140"/>
        <v>0</v>
      </c>
      <c r="FM194">
        <f t="shared" si="4141"/>
        <v>0</v>
      </c>
      <c r="FN194">
        <f t="shared" si="4142"/>
        <v>0</v>
      </c>
      <c r="FO194">
        <f t="shared" si="4143"/>
        <v>0</v>
      </c>
      <c r="FP194">
        <f t="shared" si="4144"/>
        <v>0</v>
      </c>
      <c r="FQ194">
        <f t="shared" si="4145"/>
        <v>0</v>
      </c>
      <c r="FR194">
        <f t="shared" si="4146"/>
        <v>0</v>
      </c>
      <c r="FS194">
        <f t="shared" si="4147"/>
        <v>0</v>
      </c>
      <c r="FT194">
        <f t="shared" si="4148"/>
        <v>0</v>
      </c>
      <c r="FU194">
        <f t="shared" si="4149"/>
        <v>15.675000000000001</v>
      </c>
      <c r="FV194">
        <f t="shared" si="4150"/>
        <v>0</v>
      </c>
      <c r="FW194">
        <f t="shared" si="4151"/>
        <v>0</v>
      </c>
    </row>
    <row r="195" spans="1:179" x14ac:dyDescent="0.35">
      <c r="B195" s="71" t="s">
        <v>236</v>
      </c>
      <c r="C195">
        <v>30</v>
      </c>
      <c r="D195" s="6">
        <v>323</v>
      </c>
      <c r="E195" s="6">
        <v>1376</v>
      </c>
      <c r="F195" s="6">
        <v>11</v>
      </c>
      <c r="G195" s="6">
        <v>0</v>
      </c>
      <c r="H195" s="6">
        <v>11</v>
      </c>
      <c r="I195" s="6">
        <v>0.7</v>
      </c>
      <c r="J195" s="6">
        <v>0</v>
      </c>
      <c r="K195" s="6">
        <v>0.7</v>
      </c>
      <c r="L195" s="6">
        <v>0</v>
      </c>
      <c r="M195" s="6">
        <v>71.599999999999994</v>
      </c>
      <c r="N195" s="6">
        <v>69.900000000000006</v>
      </c>
      <c r="O195" s="6">
        <v>1.7</v>
      </c>
      <c r="P195" s="6">
        <v>2.2000000000000002</v>
      </c>
      <c r="Q195" s="6">
        <v>0</v>
      </c>
      <c r="R195" s="6">
        <v>14.2</v>
      </c>
      <c r="S195" s="6">
        <v>0.7</v>
      </c>
      <c r="T195" s="6">
        <v>17</v>
      </c>
      <c r="U195" s="6">
        <v>3</v>
      </c>
      <c r="V195" s="6">
        <v>126</v>
      </c>
      <c r="W195" s="6">
        <v>76</v>
      </c>
      <c r="X195" s="6">
        <v>7.0000000000000007E-2</v>
      </c>
      <c r="Y195" s="6">
        <v>120</v>
      </c>
      <c r="Z195" s="6">
        <v>0.06</v>
      </c>
      <c r="AA195" s="6">
        <v>2.2999999999999998</v>
      </c>
      <c r="AB195" s="6">
        <v>143</v>
      </c>
      <c r="AC195" s="51">
        <v>0.5</v>
      </c>
      <c r="AD195" s="6">
        <v>0.7</v>
      </c>
      <c r="AE195" s="6">
        <v>130</v>
      </c>
      <c r="AF195" s="6">
        <v>0.1</v>
      </c>
      <c r="AG195" s="6">
        <v>0.03</v>
      </c>
      <c r="AH195" s="6">
        <v>0</v>
      </c>
      <c r="AI195" s="6">
        <v>1</v>
      </c>
      <c r="AJ195" s="6">
        <v>0.18</v>
      </c>
      <c r="AK195" s="6">
        <v>32</v>
      </c>
      <c r="AL195" s="6">
        <v>0.4</v>
      </c>
      <c r="AM195" s="6">
        <v>2</v>
      </c>
      <c r="AN195" s="6">
        <v>0</v>
      </c>
      <c r="AO195" s="6">
        <v>0</v>
      </c>
      <c r="AP195" s="6">
        <v>0</v>
      </c>
      <c r="AQ195" s="6">
        <v>0</v>
      </c>
      <c r="AR195" s="6">
        <v>0.59</v>
      </c>
      <c r="AS195" s="6">
        <v>0</v>
      </c>
      <c r="AT195" s="6">
        <v>0.8</v>
      </c>
      <c r="AU195" s="6">
        <v>0.08</v>
      </c>
      <c r="AV195" s="6">
        <v>0</v>
      </c>
      <c r="AW195" s="6">
        <v>0</v>
      </c>
      <c r="AX195" s="6">
        <v>0</v>
      </c>
      <c r="AY195" s="6">
        <v>0.08</v>
      </c>
      <c r="AZ195" s="51">
        <v>5.0000000000000001E-3</v>
      </c>
      <c r="BA195" s="51">
        <v>5.0000000000000001E-3</v>
      </c>
      <c r="BB195" s="6">
        <v>0</v>
      </c>
      <c r="BC195" s="6">
        <v>0.06</v>
      </c>
      <c r="BD195" s="6">
        <v>0</v>
      </c>
      <c r="BE195" s="51">
        <v>5.0000000000000001E-3</v>
      </c>
      <c r="BF195" s="6">
        <v>0.06</v>
      </c>
      <c r="BG195" s="51">
        <v>5.0000000000000001E-3</v>
      </c>
      <c r="BH195" s="6">
        <v>0</v>
      </c>
      <c r="BI195" s="6">
        <v>0.27</v>
      </c>
      <c r="BJ195" s="6">
        <v>0.25</v>
      </c>
      <c r="BK195" s="6">
        <v>0.01</v>
      </c>
      <c r="BL195" s="51">
        <v>5.0000000000000001E-3</v>
      </c>
      <c r="BM195" s="6">
        <v>0</v>
      </c>
      <c r="BN195" s="6">
        <v>0</v>
      </c>
      <c r="BO195" s="6">
        <v>0</v>
      </c>
      <c r="BP195" s="7">
        <v>116</v>
      </c>
      <c r="BQ195" s="7">
        <v>310</v>
      </c>
      <c r="BR195" s="7">
        <v>403</v>
      </c>
      <c r="BS195" s="7">
        <v>741</v>
      </c>
      <c r="BT195" s="7">
        <v>239</v>
      </c>
      <c r="BU195" s="7">
        <v>167</v>
      </c>
      <c r="BV195" s="7">
        <v>287</v>
      </c>
      <c r="BW195" s="7">
        <v>510</v>
      </c>
      <c r="BX195" s="7">
        <v>345</v>
      </c>
      <c r="BY195" s="7">
        <v>452</v>
      </c>
      <c r="BZ195" s="7">
        <v>391</v>
      </c>
      <c r="CA195" s="7">
        <v>228</v>
      </c>
      <c r="CB195" s="7">
        <v>318</v>
      </c>
      <c r="CC195" s="7">
        <v>431</v>
      </c>
      <c r="CD195" s="7">
        <v>4037</v>
      </c>
      <c r="CE195" s="7">
        <v>368</v>
      </c>
      <c r="CF195" s="7">
        <v>1309</v>
      </c>
      <c r="CG195" s="7">
        <v>543</v>
      </c>
      <c r="CH195" s="51">
        <v>0.05</v>
      </c>
      <c r="CI195" s="51">
        <v>0.05</v>
      </c>
      <c r="CJ195" s="6">
        <v>0</v>
      </c>
      <c r="CK195" s="6">
        <v>1.4</v>
      </c>
      <c r="CL195" s="6">
        <v>0.3</v>
      </c>
      <c r="CM195" s="6">
        <v>0</v>
      </c>
      <c r="CN195">
        <f t="shared" si="4064"/>
        <v>96.9</v>
      </c>
      <c r="CO195">
        <f t="shared" si="4065"/>
        <v>412.8</v>
      </c>
      <c r="CP195">
        <f t="shared" si="4066"/>
        <v>3.3</v>
      </c>
      <c r="CQ195">
        <f t="shared" si="4067"/>
        <v>0</v>
      </c>
      <c r="CR195">
        <f t="shared" si="4068"/>
        <v>3.3</v>
      </c>
      <c r="CS195">
        <f t="shared" si="4069"/>
        <v>0.21</v>
      </c>
      <c r="CT195">
        <f t="shared" si="4070"/>
        <v>0</v>
      </c>
      <c r="CU195">
        <f t="shared" si="4071"/>
        <v>0.21</v>
      </c>
      <c r="CV195">
        <f t="shared" si="4072"/>
        <v>0</v>
      </c>
      <c r="CW195">
        <f t="shared" si="4073"/>
        <v>21.48</v>
      </c>
      <c r="CX195">
        <f t="shared" si="4074"/>
        <v>20.97</v>
      </c>
      <c r="CY195">
        <f t="shared" si="4075"/>
        <v>0.51</v>
      </c>
      <c r="CZ195">
        <f t="shared" si="4076"/>
        <v>0.66</v>
      </c>
      <c r="DA195">
        <f t="shared" si="4077"/>
        <v>0</v>
      </c>
      <c r="DB195">
        <f t="shared" si="4078"/>
        <v>4.26</v>
      </c>
      <c r="DC195">
        <f t="shared" si="4079"/>
        <v>0.21</v>
      </c>
      <c r="DD195">
        <f t="shared" si="4080"/>
        <v>5.0999999999999996</v>
      </c>
      <c r="DE195">
        <f t="shared" si="4081"/>
        <v>0.9</v>
      </c>
      <c r="DF195">
        <f t="shared" si="4082"/>
        <v>37.799999999999997</v>
      </c>
      <c r="DG195">
        <f t="shared" si="4083"/>
        <v>22.8</v>
      </c>
      <c r="DH195">
        <f t="shared" si="4084"/>
        <v>2.1000000000000001E-2</v>
      </c>
      <c r="DI195">
        <f t="shared" si="4085"/>
        <v>36</v>
      </c>
      <c r="DJ195">
        <f t="shared" si="4086"/>
        <v>1.7999999999999999E-2</v>
      </c>
      <c r="DK195">
        <f t="shared" si="4087"/>
        <v>0.69</v>
      </c>
      <c r="DL195">
        <f t="shared" si="4088"/>
        <v>42.9</v>
      </c>
      <c r="DM195">
        <f t="shared" si="4089"/>
        <v>0.15</v>
      </c>
      <c r="DN195">
        <f t="shared" si="4090"/>
        <v>0.21</v>
      </c>
      <c r="DO195">
        <f t="shared" si="4091"/>
        <v>39</v>
      </c>
      <c r="DP195">
        <f t="shared" si="4092"/>
        <v>0.03</v>
      </c>
      <c r="DQ195">
        <f t="shared" si="4093"/>
        <v>8.9999999999999993E-3</v>
      </c>
      <c r="DR195">
        <f t="shared" si="4094"/>
        <v>0</v>
      </c>
      <c r="DS195">
        <f t="shared" si="4095"/>
        <v>0.3</v>
      </c>
      <c r="DT195">
        <f t="shared" si="4096"/>
        <v>5.3999999999999992E-2</v>
      </c>
      <c r="DU195">
        <f t="shared" si="4097"/>
        <v>9.6</v>
      </c>
      <c r="DV195">
        <f t="shared" si="4098"/>
        <v>0.12</v>
      </c>
      <c r="DW195">
        <f t="shared" si="4099"/>
        <v>0.6</v>
      </c>
      <c r="DX195">
        <f t="shared" si="4100"/>
        <v>0</v>
      </c>
      <c r="DY195">
        <f t="shared" si="4101"/>
        <v>0</v>
      </c>
      <c r="DZ195">
        <f t="shared" si="4102"/>
        <v>0</v>
      </c>
      <c r="EA195">
        <f t="shared" si="4103"/>
        <v>0</v>
      </c>
      <c r="EB195">
        <f t="shared" si="4104"/>
        <v>0.17699999999999999</v>
      </c>
      <c r="EC195">
        <f t="shared" si="4105"/>
        <v>0</v>
      </c>
      <c r="ED195">
        <f t="shared" si="4106"/>
        <v>0.24</v>
      </c>
      <c r="EE195">
        <f t="shared" si="4107"/>
        <v>2.4E-2</v>
      </c>
      <c r="EF195">
        <f t="shared" si="4108"/>
        <v>0</v>
      </c>
      <c r="EG195">
        <f t="shared" si="4109"/>
        <v>0</v>
      </c>
      <c r="EH195">
        <f t="shared" si="4110"/>
        <v>0</v>
      </c>
      <c r="EI195">
        <f t="shared" si="4111"/>
        <v>2.4E-2</v>
      </c>
      <c r="EJ195">
        <f t="shared" si="4112"/>
        <v>1.5E-3</v>
      </c>
      <c r="EK195">
        <f t="shared" si="4113"/>
        <v>1.5E-3</v>
      </c>
      <c r="EL195">
        <f t="shared" si="4114"/>
        <v>0</v>
      </c>
      <c r="EM195">
        <f t="shared" si="4115"/>
        <v>1.7999999999999999E-2</v>
      </c>
      <c r="EN195">
        <f t="shared" si="4116"/>
        <v>0</v>
      </c>
      <c r="EO195">
        <f t="shared" si="4117"/>
        <v>1.5E-3</v>
      </c>
      <c r="EP195">
        <f t="shared" si="4118"/>
        <v>1.7999999999999999E-2</v>
      </c>
      <c r="EQ195">
        <f t="shared" si="4119"/>
        <v>1.5E-3</v>
      </c>
      <c r="ER195">
        <f t="shared" si="4120"/>
        <v>0</v>
      </c>
      <c r="ES195">
        <f t="shared" si="4121"/>
        <v>8.1000000000000016E-2</v>
      </c>
      <c r="ET195">
        <f t="shared" si="4122"/>
        <v>7.4999999999999997E-2</v>
      </c>
      <c r="EU195">
        <f t="shared" si="4123"/>
        <v>3.0000000000000001E-3</v>
      </c>
      <c r="EV195">
        <f t="shared" si="4124"/>
        <v>1.5E-3</v>
      </c>
      <c r="EW195">
        <f t="shared" si="4125"/>
        <v>0</v>
      </c>
      <c r="EX195">
        <f t="shared" si="4126"/>
        <v>0</v>
      </c>
      <c r="EY195">
        <f t="shared" si="4127"/>
        <v>0</v>
      </c>
      <c r="EZ195">
        <f t="shared" si="4128"/>
        <v>34.799999999999997</v>
      </c>
      <c r="FA195">
        <f t="shared" si="4129"/>
        <v>93</v>
      </c>
      <c r="FB195">
        <f t="shared" si="4130"/>
        <v>120.9</v>
      </c>
      <c r="FC195">
        <f t="shared" si="4131"/>
        <v>222.3</v>
      </c>
      <c r="FD195">
        <f t="shared" si="4132"/>
        <v>71.7</v>
      </c>
      <c r="FE195">
        <f t="shared" si="4133"/>
        <v>50.1</v>
      </c>
      <c r="FF195">
        <f t="shared" si="4134"/>
        <v>86.1</v>
      </c>
      <c r="FG195">
        <f t="shared" si="4135"/>
        <v>153</v>
      </c>
      <c r="FH195">
        <f t="shared" si="4136"/>
        <v>103.5</v>
      </c>
      <c r="FI195">
        <f t="shared" si="4137"/>
        <v>135.6</v>
      </c>
      <c r="FJ195">
        <f t="shared" si="4138"/>
        <v>117.3</v>
      </c>
      <c r="FK195">
        <f t="shared" si="4139"/>
        <v>68.400000000000006</v>
      </c>
      <c r="FL195">
        <f t="shared" si="4140"/>
        <v>95.4</v>
      </c>
      <c r="FM195">
        <f t="shared" si="4141"/>
        <v>129.30000000000001</v>
      </c>
      <c r="FN195">
        <f t="shared" si="4142"/>
        <v>1211.0999999999999</v>
      </c>
      <c r="FO195">
        <f t="shared" si="4143"/>
        <v>110.4</v>
      </c>
      <c r="FP195">
        <f t="shared" si="4144"/>
        <v>392.7</v>
      </c>
      <c r="FQ195">
        <f t="shared" si="4145"/>
        <v>162.9</v>
      </c>
      <c r="FR195">
        <f t="shared" si="4146"/>
        <v>1.4999999999999999E-2</v>
      </c>
      <c r="FS195">
        <f t="shared" si="4147"/>
        <v>1.4999999999999999E-2</v>
      </c>
      <c r="FT195">
        <f t="shared" si="4148"/>
        <v>0</v>
      </c>
      <c r="FU195">
        <f t="shared" si="4149"/>
        <v>0.42</v>
      </c>
      <c r="FV195">
        <f t="shared" si="4150"/>
        <v>0.09</v>
      </c>
      <c r="FW195">
        <f t="shared" si="4151"/>
        <v>0</v>
      </c>
    </row>
    <row r="196" spans="1:179" x14ac:dyDescent="0.35">
      <c r="B196" s="72" t="s">
        <v>222</v>
      </c>
      <c r="C196">
        <v>30</v>
      </c>
      <c r="D196" s="6">
        <v>128</v>
      </c>
      <c r="E196" s="6">
        <v>533</v>
      </c>
      <c r="F196" s="6">
        <v>12.4</v>
      </c>
      <c r="G196" s="6">
        <v>12.4</v>
      </c>
      <c r="H196" s="6">
        <v>0</v>
      </c>
      <c r="I196" s="6">
        <v>8.6999999999999993</v>
      </c>
      <c r="J196" s="6">
        <v>8.6999999999999993</v>
      </c>
      <c r="K196" s="6">
        <v>0</v>
      </c>
      <c r="L196" s="6">
        <v>371</v>
      </c>
      <c r="M196" s="51">
        <v>0.05</v>
      </c>
      <c r="N196" s="6">
        <v>0</v>
      </c>
      <c r="O196" s="51">
        <v>0.05</v>
      </c>
      <c r="P196" s="6">
        <v>0</v>
      </c>
      <c r="Q196" s="6">
        <v>0</v>
      </c>
      <c r="R196" s="6">
        <v>77.099999999999994</v>
      </c>
      <c r="S196" s="6">
        <v>1.5</v>
      </c>
      <c r="T196" s="6">
        <v>48</v>
      </c>
      <c r="U196" s="6">
        <v>137</v>
      </c>
      <c r="V196" s="6">
        <v>133</v>
      </c>
      <c r="W196" s="6">
        <v>210</v>
      </c>
      <c r="X196" s="6">
        <v>1.2</v>
      </c>
      <c r="Y196" s="6">
        <v>13</v>
      </c>
      <c r="Z196" s="6">
        <v>0.06</v>
      </c>
      <c r="AA196" s="6">
        <v>5.8</v>
      </c>
      <c r="AB196" s="6">
        <v>160</v>
      </c>
      <c r="AC196" s="6">
        <v>53</v>
      </c>
      <c r="AD196" s="51">
        <v>5.0000000000000001E-3</v>
      </c>
      <c r="AE196" s="6">
        <v>180</v>
      </c>
      <c r="AF196" s="6">
        <v>0.09</v>
      </c>
      <c r="AG196" s="6">
        <v>0.3</v>
      </c>
      <c r="AH196" s="6">
        <v>0</v>
      </c>
      <c r="AI196" s="6">
        <v>0.1</v>
      </c>
      <c r="AJ196" s="6">
        <v>0.12</v>
      </c>
      <c r="AK196" s="6">
        <v>50</v>
      </c>
      <c r="AL196" s="6">
        <v>1.77</v>
      </c>
      <c r="AM196" s="6">
        <v>20</v>
      </c>
      <c r="AN196" s="6">
        <v>2.5</v>
      </c>
      <c r="AO196" s="6">
        <v>225</v>
      </c>
      <c r="AP196" s="6">
        <v>211</v>
      </c>
      <c r="AQ196" s="6">
        <v>84</v>
      </c>
      <c r="AR196" s="6">
        <v>1.1100000000000001</v>
      </c>
      <c r="AS196" s="6">
        <v>1.75</v>
      </c>
      <c r="AT196" s="51">
        <v>5.0000000000000001E-3</v>
      </c>
      <c r="AU196" s="6">
        <v>3.17</v>
      </c>
      <c r="AV196" s="6">
        <v>0</v>
      </c>
      <c r="AW196" s="6">
        <v>0</v>
      </c>
      <c r="AX196" s="6">
        <v>0.03</v>
      </c>
      <c r="AY196" s="6">
        <v>1.9</v>
      </c>
      <c r="AZ196" s="6">
        <v>1.21</v>
      </c>
      <c r="BA196" s="6">
        <v>0</v>
      </c>
      <c r="BB196" s="6">
        <v>0</v>
      </c>
      <c r="BC196" s="6">
        <v>2.58</v>
      </c>
      <c r="BD196" s="6">
        <v>0</v>
      </c>
      <c r="BE196" s="6">
        <v>0.23</v>
      </c>
      <c r="BF196" s="6">
        <v>2.35</v>
      </c>
      <c r="BG196" s="6">
        <v>0</v>
      </c>
      <c r="BH196" s="6">
        <v>0</v>
      </c>
      <c r="BI196" s="6">
        <v>1.26</v>
      </c>
      <c r="BJ196" s="6">
        <v>1.06</v>
      </c>
      <c r="BK196" s="6">
        <v>0.04</v>
      </c>
      <c r="BL196" s="6">
        <v>0.16</v>
      </c>
      <c r="BM196" s="6">
        <v>0</v>
      </c>
      <c r="BN196" s="6">
        <v>0</v>
      </c>
      <c r="BO196" s="6">
        <v>0</v>
      </c>
      <c r="BP196" s="7">
        <v>197</v>
      </c>
      <c r="BQ196" s="7">
        <v>623</v>
      </c>
      <c r="BR196" s="7">
        <v>657</v>
      </c>
      <c r="BS196" s="7">
        <v>1041</v>
      </c>
      <c r="BT196" s="7">
        <v>880</v>
      </c>
      <c r="BU196" s="7">
        <v>437</v>
      </c>
      <c r="BV196" s="7">
        <v>323</v>
      </c>
      <c r="BW196" s="7">
        <v>662</v>
      </c>
      <c r="BX196" s="7">
        <v>503</v>
      </c>
      <c r="BY196" s="7">
        <v>823</v>
      </c>
      <c r="BZ196" s="7">
        <v>767</v>
      </c>
      <c r="CA196" s="7">
        <v>298</v>
      </c>
      <c r="CB196" s="7">
        <v>719</v>
      </c>
      <c r="CC196" s="7">
        <v>1209</v>
      </c>
      <c r="CD196" s="7">
        <v>1508</v>
      </c>
      <c r="CE196" s="7">
        <v>416</v>
      </c>
      <c r="CF196" s="7">
        <v>496</v>
      </c>
      <c r="CG196" s="7">
        <v>842</v>
      </c>
      <c r="CH196" s="51">
        <v>0.05</v>
      </c>
      <c r="CI196" s="6">
        <v>0</v>
      </c>
      <c r="CJ196" s="6">
        <v>0</v>
      </c>
      <c r="CK196" s="6">
        <v>0</v>
      </c>
      <c r="CL196" s="6">
        <v>0</v>
      </c>
      <c r="CM196" s="6">
        <v>0</v>
      </c>
      <c r="CN196">
        <f t="shared" si="4064"/>
        <v>38.4</v>
      </c>
      <c r="CO196">
        <f t="shared" si="4065"/>
        <v>159.9</v>
      </c>
      <c r="CP196">
        <f t="shared" si="4066"/>
        <v>3.72</v>
      </c>
      <c r="CQ196">
        <f t="shared" si="4067"/>
        <v>3.72</v>
      </c>
      <c r="CR196">
        <f t="shared" si="4068"/>
        <v>0</v>
      </c>
      <c r="CS196">
        <f t="shared" si="4069"/>
        <v>2.61</v>
      </c>
      <c r="CT196">
        <f t="shared" si="4070"/>
        <v>2.61</v>
      </c>
      <c r="CU196">
        <f t="shared" si="4071"/>
        <v>0</v>
      </c>
      <c r="CV196">
        <f t="shared" si="4072"/>
        <v>111.3</v>
      </c>
      <c r="CW196">
        <f t="shared" si="4073"/>
        <v>1.4999999999999999E-2</v>
      </c>
      <c r="CX196">
        <f t="shared" si="4074"/>
        <v>0</v>
      </c>
      <c r="CY196">
        <f t="shared" si="4075"/>
        <v>1.4999999999999999E-2</v>
      </c>
      <c r="CZ196">
        <f t="shared" si="4076"/>
        <v>0</v>
      </c>
      <c r="DA196">
        <f t="shared" si="4077"/>
        <v>0</v>
      </c>
      <c r="DB196">
        <f t="shared" si="4078"/>
        <v>23.13</v>
      </c>
      <c r="DC196">
        <f t="shared" si="4079"/>
        <v>0.45</v>
      </c>
      <c r="DD196">
        <f t="shared" si="4080"/>
        <v>14.4</v>
      </c>
      <c r="DE196">
        <f t="shared" si="4081"/>
        <v>41.1</v>
      </c>
      <c r="DF196">
        <f t="shared" si="4082"/>
        <v>39.9</v>
      </c>
      <c r="DG196">
        <f t="shared" si="4083"/>
        <v>63</v>
      </c>
      <c r="DH196">
        <f t="shared" si="4084"/>
        <v>0.36</v>
      </c>
      <c r="DI196">
        <f t="shared" si="4085"/>
        <v>3.9</v>
      </c>
      <c r="DJ196">
        <f t="shared" si="4086"/>
        <v>1.7999999999999999E-2</v>
      </c>
      <c r="DK196">
        <f t="shared" si="4087"/>
        <v>1.74</v>
      </c>
      <c r="DL196">
        <f t="shared" si="4088"/>
        <v>48</v>
      </c>
      <c r="DM196">
        <f t="shared" si="4089"/>
        <v>15.9</v>
      </c>
      <c r="DN196">
        <f t="shared" si="4090"/>
        <v>1.5E-3</v>
      </c>
      <c r="DO196">
        <f t="shared" si="4091"/>
        <v>54</v>
      </c>
      <c r="DP196">
        <f t="shared" si="4092"/>
        <v>2.6999999999999996E-2</v>
      </c>
      <c r="DQ196">
        <f t="shared" si="4093"/>
        <v>0.09</v>
      </c>
      <c r="DR196">
        <f t="shared" si="4094"/>
        <v>0</v>
      </c>
      <c r="DS196">
        <f t="shared" si="4095"/>
        <v>0.03</v>
      </c>
      <c r="DT196">
        <f t="shared" si="4096"/>
        <v>3.5999999999999997E-2</v>
      </c>
      <c r="DU196">
        <f t="shared" si="4097"/>
        <v>15</v>
      </c>
      <c r="DV196">
        <f t="shared" si="4098"/>
        <v>0.53100000000000003</v>
      </c>
      <c r="DW196">
        <f t="shared" si="4099"/>
        <v>6</v>
      </c>
      <c r="DX196">
        <f t="shared" si="4100"/>
        <v>0.75</v>
      </c>
      <c r="DY196">
        <f t="shared" si="4101"/>
        <v>67.5</v>
      </c>
      <c r="DZ196">
        <f t="shared" si="4102"/>
        <v>63.3</v>
      </c>
      <c r="EA196">
        <f t="shared" si="4103"/>
        <v>25.2</v>
      </c>
      <c r="EB196">
        <f t="shared" si="4104"/>
        <v>0.33300000000000002</v>
      </c>
      <c r="EC196">
        <f t="shared" si="4105"/>
        <v>0.52500000000000002</v>
      </c>
      <c r="ED196">
        <f t="shared" si="4106"/>
        <v>1.5E-3</v>
      </c>
      <c r="EE196">
        <f t="shared" si="4107"/>
        <v>0.95099999999999996</v>
      </c>
      <c r="EF196">
        <f t="shared" si="4108"/>
        <v>0</v>
      </c>
      <c r="EG196">
        <f t="shared" si="4109"/>
        <v>0</v>
      </c>
      <c r="EH196">
        <f t="shared" si="4110"/>
        <v>8.9999999999999993E-3</v>
      </c>
      <c r="EI196">
        <f t="shared" si="4111"/>
        <v>0.56999999999999995</v>
      </c>
      <c r="EJ196">
        <f t="shared" si="4112"/>
        <v>0.36299999999999999</v>
      </c>
      <c r="EK196">
        <f t="shared" si="4113"/>
        <v>0</v>
      </c>
      <c r="EL196">
        <f t="shared" si="4114"/>
        <v>0</v>
      </c>
      <c r="EM196">
        <f t="shared" si="4115"/>
        <v>0.77400000000000002</v>
      </c>
      <c r="EN196">
        <f t="shared" si="4116"/>
        <v>0</v>
      </c>
      <c r="EO196">
        <f t="shared" si="4117"/>
        <v>6.9000000000000006E-2</v>
      </c>
      <c r="EP196">
        <f t="shared" si="4118"/>
        <v>0.70499999999999996</v>
      </c>
      <c r="EQ196">
        <f t="shared" si="4119"/>
        <v>0</v>
      </c>
      <c r="ER196">
        <f t="shared" si="4120"/>
        <v>0</v>
      </c>
      <c r="ES196">
        <f t="shared" si="4121"/>
        <v>0.37799999999999995</v>
      </c>
      <c r="ET196">
        <f t="shared" si="4122"/>
        <v>0.318</v>
      </c>
      <c r="EU196">
        <f t="shared" si="4123"/>
        <v>1.2E-2</v>
      </c>
      <c r="EV196">
        <f t="shared" si="4124"/>
        <v>4.8000000000000001E-2</v>
      </c>
      <c r="EW196">
        <f t="shared" si="4125"/>
        <v>0</v>
      </c>
      <c r="EX196">
        <f t="shared" si="4126"/>
        <v>0</v>
      </c>
      <c r="EY196">
        <f t="shared" si="4127"/>
        <v>0</v>
      </c>
      <c r="EZ196">
        <f t="shared" si="4128"/>
        <v>59.1</v>
      </c>
      <c r="FA196">
        <f t="shared" si="4129"/>
        <v>186.9</v>
      </c>
      <c r="FB196">
        <f t="shared" si="4130"/>
        <v>197.1</v>
      </c>
      <c r="FC196">
        <f t="shared" si="4131"/>
        <v>312.3</v>
      </c>
      <c r="FD196">
        <f t="shared" si="4132"/>
        <v>264</v>
      </c>
      <c r="FE196">
        <f t="shared" si="4133"/>
        <v>131.1</v>
      </c>
      <c r="FF196">
        <f t="shared" si="4134"/>
        <v>96.9</v>
      </c>
      <c r="FG196">
        <f t="shared" si="4135"/>
        <v>198.6</v>
      </c>
      <c r="FH196">
        <f t="shared" si="4136"/>
        <v>150.9</v>
      </c>
      <c r="FI196">
        <f t="shared" si="4137"/>
        <v>246.9</v>
      </c>
      <c r="FJ196">
        <f t="shared" si="4138"/>
        <v>230.1</v>
      </c>
      <c r="FK196">
        <f t="shared" si="4139"/>
        <v>89.4</v>
      </c>
      <c r="FL196">
        <f t="shared" si="4140"/>
        <v>215.7</v>
      </c>
      <c r="FM196">
        <f t="shared" si="4141"/>
        <v>362.7</v>
      </c>
      <c r="FN196">
        <f t="shared" si="4142"/>
        <v>452.4</v>
      </c>
      <c r="FO196">
        <f t="shared" si="4143"/>
        <v>124.8</v>
      </c>
      <c r="FP196">
        <f t="shared" si="4144"/>
        <v>148.80000000000001</v>
      </c>
      <c r="FQ196">
        <f t="shared" si="4145"/>
        <v>252.6</v>
      </c>
      <c r="FR196">
        <f t="shared" si="4146"/>
        <v>1.4999999999999999E-2</v>
      </c>
      <c r="FS196">
        <f t="shared" si="4147"/>
        <v>0</v>
      </c>
      <c r="FT196">
        <f t="shared" si="4148"/>
        <v>0</v>
      </c>
      <c r="FU196">
        <f t="shared" si="4149"/>
        <v>0</v>
      </c>
      <c r="FV196">
        <f t="shared" si="4150"/>
        <v>0</v>
      </c>
      <c r="FW196">
        <f t="shared" si="4151"/>
        <v>0</v>
      </c>
    </row>
    <row r="197" spans="1:179" x14ac:dyDescent="0.35">
      <c r="B197" s="72" t="s">
        <v>241</v>
      </c>
      <c r="C197">
        <v>4</v>
      </c>
      <c r="D197" s="54">
        <v>290</v>
      </c>
      <c r="E197" s="54">
        <v>1206</v>
      </c>
      <c r="F197" s="54">
        <v>0.1</v>
      </c>
      <c r="G197" s="54">
        <v>0</v>
      </c>
      <c r="H197" s="54">
        <v>0.1</v>
      </c>
      <c r="I197" s="54">
        <v>0.1</v>
      </c>
      <c r="J197" s="54">
        <v>0</v>
      </c>
      <c r="K197" s="54">
        <v>0.1</v>
      </c>
      <c r="L197" s="54">
        <v>0</v>
      </c>
      <c r="M197" s="54">
        <v>12.7</v>
      </c>
      <c r="N197" s="51">
        <v>0.05</v>
      </c>
      <c r="O197" s="54">
        <v>12.7</v>
      </c>
      <c r="P197" s="54">
        <v>0</v>
      </c>
      <c r="Q197" s="54">
        <v>34.4</v>
      </c>
      <c r="R197" s="54">
        <v>52.6</v>
      </c>
      <c r="S197" s="54">
        <v>0.1</v>
      </c>
      <c r="T197" s="54">
        <v>11</v>
      </c>
      <c r="U197" s="54">
        <v>9</v>
      </c>
      <c r="V197" s="54">
        <v>148</v>
      </c>
      <c r="W197" s="54">
        <v>6</v>
      </c>
      <c r="X197" s="54">
        <v>0.1</v>
      </c>
      <c r="Y197" s="54">
        <v>12</v>
      </c>
      <c r="Z197" s="54">
        <v>7.0000000000000007E-2</v>
      </c>
      <c r="AA197" s="54">
        <v>0</v>
      </c>
      <c r="AB197" s="81">
        <v>0</v>
      </c>
      <c r="AC197" s="81">
        <v>0</v>
      </c>
      <c r="AD197" s="54">
        <v>0.23</v>
      </c>
      <c r="AE197" s="81">
        <v>0</v>
      </c>
      <c r="AF197" s="54">
        <v>0.01</v>
      </c>
      <c r="AG197" s="54">
        <v>0.1</v>
      </c>
      <c r="AH197" s="54">
        <v>0</v>
      </c>
      <c r="AI197" s="54">
        <v>0.43</v>
      </c>
      <c r="AJ197" s="54">
        <v>0.03</v>
      </c>
      <c r="AK197" s="54">
        <v>0</v>
      </c>
      <c r="AL197" s="54">
        <v>0.04</v>
      </c>
      <c r="AM197" s="81">
        <v>0</v>
      </c>
      <c r="AN197" s="54">
        <v>0</v>
      </c>
      <c r="AO197" s="54">
        <v>0</v>
      </c>
      <c r="AP197" s="54">
        <v>0</v>
      </c>
      <c r="AQ197" s="54">
        <v>0</v>
      </c>
      <c r="AR197" s="54">
        <v>0</v>
      </c>
      <c r="AS197" s="54">
        <v>0</v>
      </c>
      <c r="AT197" s="81">
        <v>0</v>
      </c>
      <c r="AU197" s="54">
        <v>0.01</v>
      </c>
      <c r="AV197" s="54">
        <v>0</v>
      </c>
      <c r="AW197" s="54">
        <v>0</v>
      </c>
      <c r="AX197" s="54">
        <v>0</v>
      </c>
      <c r="AY197" s="54">
        <v>0.01</v>
      </c>
      <c r="AZ197" s="51">
        <v>5.0000000000000001E-3</v>
      </c>
      <c r="BA197" s="82">
        <v>0</v>
      </c>
      <c r="BB197" s="82">
        <v>0</v>
      </c>
      <c r="BC197" s="54">
        <v>0.01</v>
      </c>
      <c r="BD197" s="82">
        <v>0</v>
      </c>
      <c r="BE197" s="54">
        <v>0</v>
      </c>
      <c r="BF197" s="54">
        <v>0.01</v>
      </c>
      <c r="BG197" s="54">
        <v>0</v>
      </c>
      <c r="BH197" s="54">
        <v>0</v>
      </c>
      <c r="BI197" s="51">
        <v>5.0000000000000001E-3</v>
      </c>
      <c r="BJ197" s="51">
        <v>5.0000000000000001E-3</v>
      </c>
      <c r="BK197" s="51">
        <v>5.0000000000000001E-3</v>
      </c>
      <c r="BL197" s="54">
        <v>0</v>
      </c>
      <c r="BM197" s="54">
        <v>0</v>
      </c>
      <c r="BN197" s="54">
        <v>0</v>
      </c>
      <c r="BO197" s="54">
        <v>0</v>
      </c>
      <c r="BP197" s="74">
        <v>0.5</v>
      </c>
      <c r="BQ197" s="74">
        <v>0.5</v>
      </c>
      <c r="BR197" s="74">
        <v>0.5</v>
      </c>
      <c r="BS197" s="74">
        <v>0.5</v>
      </c>
      <c r="BT197" s="74">
        <v>0.5</v>
      </c>
      <c r="BU197" s="74">
        <v>0.5</v>
      </c>
      <c r="BV197" s="74">
        <v>0.5</v>
      </c>
      <c r="BW197" s="74">
        <v>0.5</v>
      </c>
      <c r="BX197" s="74">
        <v>0.5</v>
      </c>
      <c r="BY197" s="74">
        <v>0.5</v>
      </c>
      <c r="BZ197" s="74">
        <v>0.5</v>
      </c>
      <c r="CA197" s="74">
        <v>0.5</v>
      </c>
      <c r="CB197" s="74">
        <v>0.5</v>
      </c>
      <c r="CC197" s="74">
        <v>0.5</v>
      </c>
      <c r="CD197" s="74">
        <v>0.5</v>
      </c>
      <c r="CE197" s="74">
        <v>0.5</v>
      </c>
      <c r="CF197" s="74">
        <v>0.5</v>
      </c>
      <c r="CG197" s="74">
        <v>0.5</v>
      </c>
      <c r="CH197" s="81">
        <v>0</v>
      </c>
      <c r="CI197" s="81">
        <v>0</v>
      </c>
      <c r="CJ197" s="83">
        <v>0</v>
      </c>
      <c r="CK197" s="81">
        <v>0</v>
      </c>
      <c r="CL197" s="81">
        <v>0</v>
      </c>
      <c r="CM197" s="83">
        <v>0</v>
      </c>
      <c r="CN197">
        <f t="shared" si="4064"/>
        <v>11.6</v>
      </c>
      <c r="CO197">
        <f t="shared" si="4065"/>
        <v>48.24</v>
      </c>
      <c r="CP197">
        <f t="shared" si="4066"/>
        <v>4.0000000000000001E-3</v>
      </c>
      <c r="CQ197">
        <f t="shared" si="4067"/>
        <v>0</v>
      </c>
      <c r="CR197">
        <f t="shared" si="4068"/>
        <v>4.0000000000000001E-3</v>
      </c>
      <c r="CS197">
        <f t="shared" si="4069"/>
        <v>4.0000000000000001E-3</v>
      </c>
      <c r="CT197">
        <f t="shared" si="4070"/>
        <v>0</v>
      </c>
      <c r="CU197">
        <f t="shared" si="4071"/>
        <v>4.0000000000000001E-3</v>
      </c>
      <c r="CV197">
        <f t="shared" si="4072"/>
        <v>0</v>
      </c>
      <c r="CW197">
        <f t="shared" si="4073"/>
        <v>0.50800000000000001</v>
      </c>
      <c r="CX197">
        <f t="shared" si="4074"/>
        <v>2E-3</v>
      </c>
      <c r="CY197">
        <f t="shared" si="4075"/>
        <v>0.50800000000000001</v>
      </c>
      <c r="CZ197">
        <f t="shared" si="4076"/>
        <v>0</v>
      </c>
      <c r="DA197">
        <f t="shared" si="4077"/>
        <v>1.3759999999999999</v>
      </c>
      <c r="DB197">
        <f t="shared" si="4078"/>
        <v>2.1040000000000001</v>
      </c>
      <c r="DC197">
        <f t="shared" si="4079"/>
        <v>4.0000000000000001E-3</v>
      </c>
      <c r="DD197">
        <f t="shared" si="4080"/>
        <v>0.44</v>
      </c>
      <c r="DE197">
        <f t="shared" si="4081"/>
        <v>0.36</v>
      </c>
      <c r="DF197">
        <f t="shared" si="4082"/>
        <v>5.92</v>
      </c>
      <c r="DG197">
        <f t="shared" si="4083"/>
        <v>0.24</v>
      </c>
      <c r="DH197">
        <f t="shared" si="4084"/>
        <v>4.0000000000000001E-3</v>
      </c>
      <c r="DI197">
        <f t="shared" si="4085"/>
        <v>0.48</v>
      </c>
      <c r="DJ197">
        <f t="shared" si="4086"/>
        <v>2.8000000000000004E-3</v>
      </c>
      <c r="DK197">
        <f t="shared" si="4087"/>
        <v>0</v>
      </c>
      <c r="DL197">
        <f t="shared" si="4088"/>
        <v>0</v>
      </c>
      <c r="DM197">
        <f t="shared" si="4089"/>
        <v>0</v>
      </c>
      <c r="DN197">
        <f t="shared" si="4090"/>
        <v>9.1999999999999998E-3</v>
      </c>
      <c r="DO197">
        <f t="shared" si="4091"/>
        <v>0</v>
      </c>
      <c r="DP197">
        <f t="shared" si="4092"/>
        <v>4.0000000000000002E-4</v>
      </c>
      <c r="DQ197">
        <f t="shared" si="4093"/>
        <v>4.0000000000000001E-3</v>
      </c>
      <c r="DR197">
        <f t="shared" si="4094"/>
        <v>0</v>
      </c>
      <c r="DS197">
        <f t="shared" si="4095"/>
        <v>1.72E-2</v>
      </c>
      <c r="DT197">
        <f t="shared" si="4096"/>
        <v>1.1999999999999999E-3</v>
      </c>
      <c r="DU197">
        <f t="shared" si="4097"/>
        <v>0</v>
      </c>
      <c r="DV197">
        <f t="shared" si="4098"/>
        <v>1.6000000000000001E-3</v>
      </c>
      <c r="DW197">
        <f t="shared" si="4099"/>
        <v>0</v>
      </c>
      <c r="DX197">
        <f t="shared" si="4100"/>
        <v>0</v>
      </c>
      <c r="DY197">
        <f t="shared" si="4101"/>
        <v>0</v>
      </c>
      <c r="DZ197">
        <f t="shared" si="4102"/>
        <v>0</v>
      </c>
      <c r="EA197">
        <f t="shared" si="4103"/>
        <v>0</v>
      </c>
      <c r="EB197">
        <f t="shared" si="4104"/>
        <v>0</v>
      </c>
      <c r="EC197">
        <f t="shared" si="4105"/>
        <v>0</v>
      </c>
      <c r="ED197">
        <f t="shared" si="4106"/>
        <v>0</v>
      </c>
      <c r="EE197">
        <f t="shared" si="4107"/>
        <v>4.0000000000000002E-4</v>
      </c>
      <c r="EF197">
        <f t="shared" si="4108"/>
        <v>0</v>
      </c>
      <c r="EG197">
        <f t="shared" si="4109"/>
        <v>0</v>
      </c>
      <c r="EH197">
        <f t="shared" si="4110"/>
        <v>0</v>
      </c>
      <c r="EI197">
        <f t="shared" si="4111"/>
        <v>4.0000000000000002E-4</v>
      </c>
      <c r="EJ197">
        <f t="shared" si="4112"/>
        <v>2.0000000000000001E-4</v>
      </c>
      <c r="EK197">
        <f t="shared" si="4113"/>
        <v>0</v>
      </c>
      <c r="EL197">
        <f t="shared" si="4114"/>
        <v>0</v>
      </c>
      <c r="EM197">
        <f t="shared" si="4115"/>
        <v>4.0000000000000002E-4</v>
      </c>
      <c r="EN197">
        <f t="shared" si="4116"/>
        <v>0</v>
      </c>
      <c r="EO197">
        <f t="shared" si="4117"/>
        <v>0</v>
      </c>
      <c r="EP197">
        <f t="shared" si="4118"/>
        <v>4.0000000000000002E-4</v>
      </c>
      <c r="EQ197">
        <f t="shared" si="4119"/>
        <v>0</v>
      </c>
      <c r="ER197">
        <f t="shared" si="4120"/>
        <v>0</v>
      </c>
      <c r="ES197">
        <f t="shared" si="4121"/>
        <v>2.0000000000000001E-4</v>
      </c>
      <c r="ET197">
        <f t="shared" si="4122"/>
        <v>2.0000000000000001E-4</v>
      </c>
      <c r="EU197">
        <f t="shared" si="4123"/>
        <v>2.0000000000000001E-4</v>
      </c>
      <c r="EV197">
        <f t="shared" si="4124"/>
        <v>0</v>
      </c>
      <c r="EW197">
        <f t="shared" si="4125"/>
        <v>0</v>
      </c>
      <c r="EX197">
        <f t="shared" si="4126"/>
        <v>0</v>
      </c>
      <c r="EY197">
        <f t="shared" si="4127"/>
        <v>0</v>
      </c>
      <c r="EZ197">
        <f t="shared" si="4128"/>
        <v>0.02</v>
      </c>
      <c r="FA197">
        <f t="shared" si="4129"/>
        <v>0.02</v>
      </c>
      <c r="FB197">
        <f t="shared" si="4130"/>
        <v>0.02</v>
      </c>
      <c r="FC197">
        <f t="shared" si="4131"/>
        <v>0.02</v>
      </c>
      <c r="FD197">
        <f t="shared" si="4132"/>
        <v>0.02</v>
      </c>
      <c r="FE197">
        <f t="shared" si="4133"/>
        <v>0.02</v>
      </c>
      <c r="FF197">
        <f t="shared" si="4134"/>
        <v>0.02</v>
      </c>
      <c r="FG197">
        <f t="shared" si="4135"/>
        <v>0.02</v>
      </c>
      <c r="FH197">
        <f t="shared" si="4136"/>
        <v>0.02</v>
      </c>
      <c r="FI197">
        <f t="shared" si="4137"/>
        <v>0.02</v>
      </c>
      <c r="FJ197">
        <f t="shared" si="4138"/>
        <v>0.02</v>
      </c>
      <c r="FK197">
        <f t="shared" si="4139"/>
        <v>0.02</v>
      </c>
      <c r="FL197">
        <f t="shared" si="4140"/>
        <v>0.02</v>
      </c>
      <c r="FM197">
        <f t="shared" si="4141"/>
        <v>0.02</v>
      </c>
      <c r="FN197">
        <f t="shared" si="4142"/>
        <v>0.02</v>
      </c>
      <c r="FO197">
        <f t="shared" si="4143"/>
        <v>0.02</v>
      </c>
      <c r="FP197">
        <f t="shared" si="4144"/>
        <v>0.02</v>
      </c>
      <c r="FQ197">
        <f t="shared" si="4145"/>
        <v>0.02</v>
      </c>
      <c r="FR197">
        <f t="shared" si="4146"/>
        <v>0</v>
      </c>
      <c r="FS197">
        <f t="shared" si="4147"/>
        <v>0</v>
      </c>
      <c r="FT197">
        <f t="shared" si="4148"/>
        <v>0</v>
      </c>
      <c r="FU197">
        <f t="shared" si="4149"/>
        <v>0</v>
      </c>
      <c r="FV197">
        <f t="shared" si="4150"/>
        <v>0</v>
      </c>
      <c r="FW197">
        <f t="shared" si="4151"/>
        <v>0</v>
      </c>
    </row>
    <row r="198" spans="1:179" x14ac:dyDescent="0.35">
      <c r="B198" s="72" t="s">
        <v>242</v>
      </c>
      <c r="C198">
        <v>1</v>
      </c>
      <c r="D198" s="6">
        <v>163</v>
      </c>
      <c r="E198" s="6">
        <v>693</v>
      </c>
      <c r="F198" s="6">
        <v>5.2</v>
      </c>
      <c r="G198" s="6">
        <v>0</v>
      </c>
      <c r="H198" s="6">
        <v>5.2</v>
      </c>
      <c r="I198" s="6">
        <v>0</v>
      </c>
      <c r="J198" s="6">
        <v>0</v>
      </c>
      <c r="K198" s="6">
        <v>0</v>
      </c>
      <c r="L198" s="6">
        <v>0</v>
      </c>
      <c r="M198" s="6">
        <v>37.799999999999997</v>
      </c>
      <c r="N198" s="6">
        <v>37.799999999999997</v>
      </c>
      <c r="O198" s="6">
        <v>0</v>
      </c>
      <c r="P198" s="6">
        <v>0</v>
      </c>
      <c r="Q198" s="6">
        <v>0</v>
      </c>
      <c r="R198" s="6">
        <v>6.3</v>
      </c>
      <c r="S198" s="51">
        <v>0.05</v>
      </c>
      <c r="T198" s="6">
        <v>1130</v>
      </c>
      <c r="U198" s="6">
        <v>11800</v>
      </c>
      <c r="V198" s="6">
        <v>49</v>
      </c>
      <c r="W198" s="6">
        <v>8430</v>
      </c>
      <c r="X198" s="6">
        <v>2.8</v>
      </c>
      <c r="Y198" s="6">
        <v>9</v>
      </c>
      <c r="Z198" s="51">
        <v>5.0000000000000001E-3</v>
      </c>
      <c r="AA198" s="51">
        <v>0.05</v>
      </c>
      <c r="AB198" s="6">
        <v>29</v>
      </c>
      <c r="AC198" s="51">
        <v>0.5</v>
      </c>
      <c r="AD198" s="51">
        <v>5.0000000000000001E-3</v>
      </c>
      <c r="AE198" s="6">
        <v>1</v>
      </c>
      <c r="AF198" s="51">
        <v>5.0000000000000001E-3</v>
      </c>
      <c r="AG198" s="51">
        <v>5.0000000000000001E-3</v>
      </c>
      <c r="AH198" s="6">
        <v>0</v>
      </c>
      <c r="AI198" s="51">
        <v>5.0000000000000001E-3</v>
      </c>
      <c r="AJ198" s="51">
        <v>5.0000000000000001E-3</v>
      </c>
      <c r="AK198" s="51">
        <v>0.5</v>
      </c>
      <c r="AL198" s="51">
        <v>5.0000000000000001E-3</v>
      </c>
      <c r="AM198" s="51">
        <v>0.05</v>
      </c>
      <c r="AN198" s="6">
        <v>0</v>
      </c>
      <c r="AO198" s="6">
        <v>0</v>
      </c>
      <c r="AP198" s="6">
        <v>0</v>
      </c>
      <c r="AQ198" s="6">
        <v>0</v>
      </c>
      <c r="AR198" s="51">
        <v>5.0000000000000001E-3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7">
        <v>55</v>
      </c>
      <c r="BQ198" s="7">
        <v>146</v>
      </c>
      <c r="BR198" s="7">
        <v>201</v>
      </c>
      <c r="BS198" s="7">
        <v>365</v>
      </c>
      <c r="BT198" s="7">
        <v>100</v>
      </c>
      <c r="BU198" s="7">
        <v>82</v>
      </c>
      <c r="BV198" s="7">
        <v>137</v>
      </c>
      <c r="BW198" s="7">
        <v>246</v>
      </c>
      <c r="BX198" s="7">
        <v>137</v>
      </c>
      <c r="BY198" s="7">
        <v>228</v>
      </c>
      <c r="BZ198" s="7">
        <v>182</v>
      </c>
      <c r="CA198" s="7">
        <v>109</v>
      </c>
      <c r="CB198" s="7">
        <v>155</v>
      </c>
      <c r="CC198" s="7">
        <v>228</v>
      </c>
      <c r="CD198" s="7">
        <v>1715</v>
      </c>
      <c r="CE198" s="7">
        <v>164</v>
      </c>
      <c r="CF198" s="7">
        <v>657</v>
      </c>
      <c r="CG198" s="7">
        <v>292</v>
      </c>
      <c r="CH198" s="6">
        <v>0</v>
      </c>
      <c r="CI198" s="6">
        <v>0</v>
      </c>
      <c r="CJ198" s="6">
        <v>0</v>
      </c>
      <c r="CK198" s="6">
        <v>0</v>
      </c>
      <c r="CL198" s="6">
        <v>0</v>
      </c>
      <c r="CM198" s="6">
        <v>0</v>
      </c>
      <c r="CN198">
        <f t="shared" si="4064"/>
        <v>1.63</v>
      </c>
      <c r="CO198">
        <f t="shared" si="4065"/>
        <v>6.93</v>
      </c>
      <c r="CP198">
        <f t="shared" si="4066"/>
        <v>5.2000000000000005E-2</v>
      </c>
      <c r="CQ198">
        <f t="shared" si="4067"/>
        <v>0</v>
      </c>
      <c r="CR198">
        <f t="shared" si="4068"/>
        <v>5.2000000000000005E-2</v>
      </c>
      <c r="CS198">
        <f t="shared" si="4069"/>
        <v>0</v>
      </c>
      <c r="CT198">
        <f t="shared" si="4070"/>
        <v>0</v>
      </c>
      <c r="CU198">
        <f t="shared" si="4071"/>
        <v>0</v>
      </c>
      <c r="CV198">
        <f t="shared" si="4072"/>
        <v>0</v>
      </c>
      <c r="CW198">
        <f t="shared" si="4073"/>
        <v>0.37799999999999995</v>
      </c>
      <c r="CX198">
        <f t="shared" si="4074"/>
        <v>0.37799999999999995</v>
      </c>
      <c r="CY198">
        <f t="shared" si="4075"/>
        <v>0</v>
      </c>
      <c r="CZ198">
        <f t="shared" si="4076"/>
        <v>0</v>
      </c>
      <c r="DA198">
        <f t="shared" si="4077"/>
        <v>0</v>
      </c>
      <c r="DB198">
        <f t="shared" si="4078"/>
        <v>6.3E-2</v>
      </c>
      <c r="DC198">
        <f t="shared" si="4079"/>
        <v>5.0000000000000001E-4</v>
      </c>
      <c r="DD198">
        <f t="shared" si="4080"/>
        <v>11.3</v>
      </c>
      <c r="DE198">
        <f t="shared" si="4081"/>
        <v>118</v>
      </c>
      <c r="DF198">
        <f t="shared" si="4082"/>
        <v>0.49</v>
      </c>
      <c r="DG198">
        <f t="shared" si="4083"/>
        <v>84.3</v>
      </c>
      <c r="DH198">
        <f t="shared" si="4084"/>
        <v>2.7999999999999997E-2</v>
      </c>
      <c r="DI198">
        <f t="shared" si="4085"/>
        <v>0.09</v>
      </c>
      <c r="DJ198">
        <f t="shared" si="4086"/>
        <v>5.0000000000000002E-5</v>
      </c>
      <c r="DK198">
        <f t="shared" si="4087"/>
        <v>5.0000000000000001E-4</v>
      </c>
      <c r="DL198">
        <f t="shared" si="4088"/>
        <v>0.28999999999999998</v>
      </c>
      <c r="DM198">
        <f t="shared" si="4089"/>
        <v>5.0000000000000001E-3</v>
      </c>
      <c r="DN198">
        <f t="shared" si="4090"/>
        <v>5.0000000000000002E-5</v>
      </c>
      <c r="DO198">
        <f t="shared" si="4091"/>
        <v>0.01</v>
      </c>
      <c r="DP198">
        <f t="shared" si="4092"/>
        <v>5.0000000000000002E-5</v>
      </c>
      <c r="DQ198">
        <f t="shared" si="4093"/>
        <v>5.0000000000000002E-5</v>
      </c>
      <c r="DR198">
        <f t="shared" si="4094"/>
        <v>0</v>
      </c>
      <c r="DS198">
        <f t="shared" si="4095"/>
        <v>5.0000000000000002E-5</v>
      </c>
      <c r="DT198">
        <f t="shared" si="4096"/>
        <v>5.0000000000000002E-5</v>
      </c>
      <c r="DU198">
        <f t="shared" si="4097"/>
        <v>5.0000000000000001E-3</v>
      </c>
      <c r="DV198">
        <f t="shared" si="4098"/>
        <v>5.0000000000000002E-5</v>
      </c>
      <c r="DW198">
        <f t="shared" si="4099"/>
        <v>5.0000000000000001E-4</v>
      </c>
      <c r="DX198">
        <f t="shared" si="4100"/>
        <v>0</v>
      </c>
      <c r="DY198">
        <f t="shared" si="4101"/>
        <v>0</v>
      </c>
      <c r="DZ198">
        <f t="shared" si="4102"/>
        <v>0</v>
      </c>
      <c r="EA198">
        <f t="shared" si="4103"/>
        <v>0</v>
      </c>
      <c r="EB198">
        <f t="shared" si="4104"/>
        <v>5.0000000000000002E-5</v>
      </c>
      <c r="EC198">
        <f t="shared" si="4105"/>
        <v>0</v>
      </c>
      <c r="ED198">
        <f t="shared" si="4106"/>
        <v>0</v>
      </c>
      <c r="EE198">
        <f t="shared" si="4107"/>
        <v>0</v>
      </c>
      <c r="EF198">
        <f t="shared" si="4108"/>
        <v>0</v>
      </c>
      <c r="EG198">
        <f t="shared" si="4109"/>
        <v>0</v>
      </c>
      <c r="EH198">
        <f t="shared" si="4110"/>
        <v>0</v>
      </c>
      <c r="EI198">
        <f t="shared" si="4111"/>
        <v>0</v>
      </c>
      <c r="EJ198">
        <f t="shared" si="4112"/>
        <v>0</v>
      </c>
      <c r="EK198">
        <f t="shared" si="4113"/>
        <v>0</v>
      </c>
      <c r="EL198">
        <f t="shared" si="4114"/>
        <v>0</v>
      </c>
      <c r="EM198">
        <f t="shared" si="4115"/>
        <v>0</v>
      </c>
      <c r="EN198">
        <f t="shared" si="4116"/>
        <v>0</v>
      </c>
      <c r="EO198">
        <f t="shared" si="4117"/>
        <v>0</v>
      </c>
      <c r="EP198">
        <f t="shared" si="4118"/>
        <v>0</v>
      </c>
      <c r="EQ198">
        <f t="shared" si="4119"/>
        <v>0</v>
      </c>
      <c r="ER198">
        <f t="shared" si="4120"/>
        <v>0</v>
      </c>
      <c r="ES198">
        <f t="shared" si="4121"/>
        <v>0</v>
      </c>
      <c r="ET198">
        <f t="shared" si="4122"/>
        <v>0</v>
      </c>
      <c r="EU198">
        <f t="shared" si="4123"/>
        <v>0</v>
      </c>
      <c r="EV198">
        <f t="shared" si="4124"/>
        <v>0</v>
      </c>
      <c r="EW198">
        <f t="shared" si="4125"/>
        <v>0</v>
      </c>
      <c r="EX198">
        <f t="shared" si="4126"/>
        <v>0</v>
      </c>
      <c r="EY198">
        <f t="shared" si="4127"/>
        <v>0</v>
      </c>
      <c r="EZ198">
        <f t="shared" si="4128"/>
        <v>0.55000000000000004</v>
      </c>
      <c r="FA198">
        <f t="shared" si="4129"/>
        <v>1.46</v>
      </c>
      <c r="FB198">
        <f t="shared" si="4130"/>
        <v>2.0099999999999998</v>
      </c>
      <c r="FC198">
        <f t="shared" si="4131"/>
        <v>3.65</v>
      </c>
      <c r="FD198">
        <f t="shared" si="4132"/>
        <v>1</v>
      </c>
      <c r="FE198">
        <f t="shared" si="4133"/>
        <v>0.82</v>
      </c>
      <c r="FF198">
        <f t="shared" si="4134"/>
        <v>1.37</v>
      </c>
      <c r="FG198">
        <f t="shared" si="4135"/>
        <v>2.46</v>
      </c>
      <c r="FH198">
        <f t="shared" si="4136"/>
        <v>1.37</v>
      </c>
      <c r="FI198">
        <f t="shared" si="4137"/>
        <v>2.2799999999999998</v>
      </c>
      <c r="FJ198">
        <f t="shared" si="4138"/>
        <v>1.82</v>
      </c>
      <c r="FK198">
        <f t="shared" si="4139"/>
        <v>1.0900000000000001</v>
      </c>
      <c r="FL198">
        <f t="shared" si="4140"/>
        <v>1.55</v>
      </c>
      <c r="FM198">
        <f t="shared" si="4141"/>
        <v>2.2799999999999998</v>
      </c>
      <c r="FN198">
        <f t="shared" si="4142"/>
        <v>17.149999999999999</v>
      </c>
      <c r="FO198">
        <f t="shared" si="4143"/>
        <v>1.64</v>
      </c>
      <c r="FP198">
        <f t="shared" si="4144"/>
        <v>6.57</v>
      </c>
      <c r="FQ198">
        <f t="shared" si="4145"/>
        <v>2.92</v>
      </c>
      <c r="FR198">
        <f t="shared" si="4146"/>
        <v>0</v>
      </c>
      <c r="FS198">
        <f t="shared" si="4147"/>
        <v>0</v>
      </c>
      <c r="FT198">
        <f t="shared" si="4148"/>
        <v>0</v>
      </c>
      <c r="FU198">
        <f t="shared" si="4149"/>
        <v>0</v>
      </c>
      <c r="FV198">
        <f t="shared" si="4150"/>
        <v>0</v>
      </c>
      <c r="FW198">
        <f t="shared" si="4151"/>
        <v>0</v>
      </c>
    </row>
    <row r="199" spans="1:179" x14ac:dyDescent="0.35">
      <c r="C199">
        <f>SUM(C193:C198)</f>
        <v>100</v>
      </c>
      <c r="CN199">
        <f t="shared" ref="CN199:DS199" si="4152">SUM(CN193:CN198)</f>
        <v>358.92999999999995</v>
      </c>
      <c r="CO199">
        <f t="shared" si="4152"/>
        <v>1502.0700000000002</v>
      </c>
      <c r="CP199">
        <f t="shared" si="4152"/>
        <v>7.2359999999999989</v>
      </c>
      <c r="CQ199">
        <f t="shared" si="4152"/>
        <v>3.8800000000000003</v>
      </c>
      <c r="CR199">
        <f t="shared" si="4152"/>
        <v>3.3559999999999999</v>
      </c>
      <c r="CS199">
        <f t="shared" si="4152"/>
        <v>19.504000000000001</v>
      </c>
      <c r="CT199">
        <f t="shared" si="4152"/>
        <v>19.29</v>
      </c>
      <c r="CU199">
        <f t="shared" si="4152"/>
        <v>0.214</v>
      </c>
      <c r="CV199">
        <f t="shared" si="4152"/>
        <v>161.30000000000001</v>
      </c>
      <c r="CW199">
        <f t="shared" si="4152"/>
        <v>38.276000000000003</v>
      </c>
      <c r="CX199">
        <f t="shared" si="4152"/>
        <v>21.349999999999998</v>
      </c>
      <c r="CY199">
        <f t="shared" si="4152"/>
        <v>16.928000000000001</v>
      </c>
      <c r="CZ199">
        <f t="shared" si="4152"/>
        <v>0.66</v>
      </c>
      <c r="DA199">
        <f t="shared" si="4152"/>
        <v>1.3759999999999999</v>
      </c>
      <c r="DB199">
        <f t="shared" si="4152"/>
        <v>32.451999999999998</v>
      </c>
      <c r="DC199">
        <f t="shared" si="4152"/>
        <v>0.70950000000000002</v>
      </c>
      <c r="DD199">
        <f t="shared" si="4152"/>
        <v>36.39</v>
      </c>
      <c r="DE199">
        <f t="shared" si="4152"/>
        <v>161.91</v>
      </c>
      <c r="DF199">
        <f t="shared" si="4152"/>
        <v>87.41</v>
      </c>
      <c r="DG199">
        <f t="shared" si="4152"/>
        <v>173.69</v>
      </c>
      <c r="DH199">
        <f t="shared" si="4152"/>
        <v>0.54800000000000004</v>
      </c>
      <c r="DI199">
        <f t="shared" si="4152"/>
        <v>41.17</v>
      </c>
      <c r="DJ199">
        <f t="shared" si="4152"/>
        <v>6.6849999999999993E-2</v>
      </c>
      <c r="DK199">
        <f t="shared" si="4152"/>
        <v>2.448</v>
      </c>
      <c r="DL199">
        <f t="shared" si="4152"/>
        <v>94.665000000000006</v>
      </c>
      <c r="DM199">
        <f t="shared" si="4152"/>
        <v>23.73</v>
      </c>
      <c r="DN199">
        <f t="shared" si="4152"/>
        <v>0.22249999999999998</v>
      </c>
      <c r="DO199">
        <f t="shared" si="4152"/>
        <v>94.61</v>
      </c>
      <c r="DP199">
        <f t="shared" si="4152"/>
        <v>5.8449999999999995E-2</v>
      </c>
      <c r="DQ199">
        <f t="shared" si="4152"/>
        <v>0.10704999999999999</v>
      </c>
      <c r="DR199">
        <f t="shared" si="4152"/>
        <v>0</v>
      </c>
      <c r="DS199">
        <f t="shared" si="4152"/>
        <v>0.34824999999999995</v>
      </c>
      <c r="DT199">
        <f t="shared" ref="DT199:EY199" si="4153">SUM(DT193:DT198)</f>
        <v>9.2249999999999999E-2</v>
      </c>
      <c r="DU199">
        <f t="shared" si="4153"/>
        <v>24.704999999999998</v>
      </c>
      <c r="DV199">
        <f t="shared" si="4153"/>
        <v>0.66065000000000007</v>
      </c>
      <c r="DW199">
        <f t="shared" si="4153"/>
        <v>6.6105</v>
      </c>
      <c r="DX199">
        <f t="shared" si="4153"/>
        <v>0.76</v>
      </c>
      <c r="DY199">
        <f t="shared" si="4153"/>
        <v>253.5</v>
      </c>
      <c r="DZ199">
        <f t="shared" si="4153"/>
        <v>244.5</v>
      </c>
      <c r="EA199">
        <f t="shared" si="4153"/>
        <v>54.4</v>
      </c>
      <c r="EB199">
        <f t="shared" si="4153"/>
        <v>0.99004999999999999</v>
      </c>
      <c r="EC199">
        <f t="shared" si="4153"/>
        <v>0.68500000000000005</v>
      </c>
      <c r="ED199">
        <f t="shared" si="4153"/>
        <v>1.7215</v>
      </c>
      <c r="EE199">
        <f t="shared" si="4153"/>
        <v>10.731400000000001</v>
      </c>
      <c r="EF199">
        <f t="shared" si="4153"/>
        <v>1.5640000000000001</v>
      </c>
      <c r="EG199">
        <f t="shared" si="4153"/>
        <v>0.47800000000000004</v>
      </c>
      <c r="EH199">
        <f t="shared" si="4153"/>
        <v>1.671</v>
      </c>
      <c r="EI199">
        <f t="shared" si="4153"/>
        <v>4.7664</v>
      </c>
      <c r="EJ199">
        <f t="shared" si="4153"/>
        <v>2.2446999999999999</v>
      </c>
      <c r="EK199">
        <f t="shared" si="4153"/>
        <v>1.5E-3</v>
      </c>
      <c r="EL199">
        <f t="shared" si="4153"/>
        <v>0</v>
      </c>
      <c r="EM199">
        <f t="shared" si="4153"/>
        <v>5.5363999999999995</v>
      </c>
      <c r="EN199">
        <f t="shared" si="4153"/>
        <v>0.22799999999999998</v>
      </c>
      <c r="EO199">
        <f t="shared" si="4153"/>
        <v>0.45050000000000001</v>
      </c>
      <c r="EP199">
        <f t="shared" si="4153"/>
        <v>4.8593999999999999</v>
      </c>
      <c r="EQ199">
        <f t="shared" si="4153"/>
        <v>1.5E-3</v>
      </c>
      <c r="ER199">
        <f t="shared" si="4153"/>
        <v>0</v>
      </c>
      <c r="ES199">
        <f t="shared" si="4153"/>
        <v>1.0091999999999999</v>
      </c>
      <c r="ET199">
        <f t="shared" si="4153"/>
        <v>0.70720000000000005</v>
      </c>
      <c r="EU199">
        <f t="shared" si="4153"/>
        <v>0.25119999999999998</v>
      </c>
      <c r="EV199">
        <f t="shared" si="4153"/>
        <v>4.9500000000000002E-2</v>
      </c>
      <c r="EW199">
        <f t="shared" si="4153"/>
        <v>0</v>
      </c>
      <c r="EX199">
        <f t="shared" si="4153"/>
        <v>0</v>
      </c>
      <c r="EY199">
        <f t="shared" si="4153"/>
        <v>0</v>
      </c>
      <c r="EZ199">
        <f t="shared" ref="EZ199:FW199" si="4154">SUM(EZ193:EZ198)</f>
        <v>96.86999999999999</v>
      </c>
      <c r="FA199">
        <f t="shared" si="4154"/>
        <v>289.37999999999994</v>
      </c>
      <c r="FB199">
        <f t="shared" si="4154"/>
        <v>329.42999999999995</v>
      </c>
      <c r="FC199">
        <f t="shared" si="4154"/>
        <v>555.46999999999991</v>
      </c>
      <c r="FD199">
        <f t="shared" si="4154"/>
        <v>349.91999999999996</v>
      </c>
      <c r="FE199">
        <f t="shared" si="4154"/>
        <v>186.04</v>
      </c>
      <c r="FF199">
        <f t="shared" si="4154"/>
        <v>186.19000000000003</v>
      </c>
      <c r="FG199">
        <f t="shared" si="4154"/>
        <v>362.67999999999995</v>
      </c>
      <c r="FH199">
        <f t="shared" si="4154"/>
        <v>262.58999999999997</v>
      </c>
      <c r="FI199">
        <f t="shared" si="4154"/>
        <v>395.99999999999994</v>
      </c>
      <c r="FJ199">
        <f t="shared" si="4154"/>
        <v>354.23999999999995</v>
      </c>
      <c r="FK199">
        <f t="shared" si="4154"/>
        <v>163.51000000000002</v>
      </c>
      <c r="FL199">
        <f t="shared" si="4154"/>
        <v>318.46999999999997</v>
      </c>
      <c r="FM199">
        <f t="shared" si="4154"/>
        <v>507.29999999999995</v>
      </c>
      <c r="FN199">
        <f t="shared" si="4154"/>
        <v>1718.0700000000002</v>
      </c>
      <c r="FO199">
        <f t="shared" si="4154"/>
        <v>240.26000000000002</v>
      </c>
      <c r="FP199">
        <f t="shared" si="4154"/>
        <v>566.09</v>
      </c>
      <c r="FQ199">
        <f t="shared" si="4154"/>
        <v>428.24</v>
      </c>
      <c r="FR199">
        <f t="shared" si="4154"/>
        <v>0.03</v>
      </c>
      <c r="FS199">
        <f t="shared" si="4154"/>
        <v>1.4999999999999999E-2</v>
      </c>
      <c r="FT199">
        <f t="shared" si="4154"/>
        <v>0</v>
      </c>
      <c r="FU199">
        <f t="shared" si="4154"/>
        <v>16.095000000000002</v>
      </c>
      <c r="FV199">
        <f t="shared" si="4154"/>
        <v>0.09</v>
      </c>
      <c r="FW199">
        <f t="shared" si="4154"/>
        <v>0.22</v>
      </c>
    </row>
    <row r="202" spans="1:179" x14ac:dyDescent="0.35">
      <c r="A202" s="80" t="s">
        <v>455</v>
      </c>
      <c r="B202" s="72" t="s">
        <v>236</v>
      </c>
      <c r="C202">
        <v>20</v>
      </c>
      <c r="D202" s="6">
        <v>323</v>
      </c>
      <c r="E202" s="6">
        <v>1376</v>
      </c>
      <c r="F202" s="6">
        <v>11</v>
      </c>
      <c r="G202" s="6">
        <v>0</v>
      </c>
      <c r="H202" s="6">
        <v>11</v>
      </c>
      <c r="I202" s="6">
        <v>0.7</v>
      </c>
      <c r="J202" s="6">
        <v>0</v>
      </c>
      <c r="K202" s="6">
        <v>0.7</v>
      </c>
      <c r="L202" s="6">
        <v>0</v>
      </c>
      <c r="M202" s="6">
        <v>71.599999999999994</v>
      </c>
      <c r="N202" s="6">
        <v>69.900000000000006</v>
      </c>
      <c r="O202" s="6">
        <v>1.7</v>
      </c>
      <c r="P202" s="6">
        <v>2.2000000000000002</v>
      </c>
      <c r="Q202" s="6">
        <v>0</v>
      </c>
      <c r="R202" s="6">
        <v>14.2</v>
      </c>
      <c r="S202" s="6">
        <v>0.7</v>
      </c>
      <c r="T202" s="6">
        <v>17</v>
      </c>
      <c r="U202" s="6">
        <v>3</v>
      </c>
      <c r="V202" s="6">
        <v>126</v>
      </c>
      <c r="W202" s="6">
        <v>76</v>
      </c>
      <c r="X202" s="6">
        <v>7.0000000000000007E-2</v>
      </c>
      <c r="Y202" s="6">
        <v>120</v>
      </c>
      <c r="Z202" s="6">
        <v>0.06</v>
      </c>
      <c r="AA202" s="6">
        <v>2.2999999999999998</v>
      </c>
      <c r="AB202" s="6">
        <v>143</v>
      </c>
      <c r="AC202" s="51">
        <v>0.5</v>
      </c>
      <c r="AD202" s="6">
        <v>0.7</v>
      </c>
      <c r="AE202" s="6">
        <v>130</v>
      </c>
      <c r="AF202" s="6">
        <v>0.1</v>
      </c>
      <c r="AG202" s="6">
        <v>0.03</v>
      </c>
      <c r="AH202" s="6">
        <v>0</v>
      </c>
      <c r="AI202" s="6">
        <v>1</v>
      </c>
      <c r="AJ202" s="6">
        <v>0.18</v>
      </c>
      <c r="AK202" s="6">
        <v>32</v>
      </c>
      <c r="AL202" s="6">
        <v>0.4</v>
      </c>
      <c r="AM202" s="6">
        <v>2</v>
      </c>
      <c r="AN202" s="6">
        <v>0</v>
      </c>
      <c r="AO202" s="6">
        <v>0</v>
      </c>
      <c r="AP202" s="6">
        <v>0</v>
      </c>
      <c r="AQ202" s="6">
        <v>0</v>
      </c>
      <c r="AR202" s="6">
        <v>0.59</v>
      </c>
      <c r="AS202" s="6">
        <v>0</v>
      </c>
      <c r="AT202" s="6">
        <v>0.8</v>
      </c>
      <c r="AU202" s="6">
        <v>0.08</v>
      </c>
      <c r="AV202" s="6">
        <v>0</v>
      </c>
      <c r="AW202" s="6">
        <v>0</v>
      </c>
      <c r="AX202" s="6">
        <v>0</v>
      </c>
      <c r="AY202" s="6">
        <v>0.08</v>
      </c>
      <c r="AZ202" s="51">
        <v>5.0000000000000001E-3</v>
      </c>
      <c r="BA202" s="51">
        <v>5.0000000000000001E-3</v>
      </c>
      <c r="BB202" s="6">
        <v>0</v>
      </c>
      <c r="BC202" s="6">
        <v>0.06</v>
      </c>
      <c r="BD202" s="6">
        <v>0</v>
      </c>
      <c r="BE202" s="51">
        <v>5.0000000000000001E-3</v>
      </c>
      <c r="BF202" s="6">
        <v>0.06</v>
      </c>
      <c r="BG202" s="51">
        <v>5.0000000000000001E-3</v>
      </c>
      <c r="BH202" s="6">
        <v>0</v>
      </c>
      <c r="BI202" s="6">
        <v>0.27</v>
      </c>
      <c r="BJ202" s="6">
        <v>0.25</v>
      </c>
      <c r="BK202" s="6">
        <v>0.01</v>
      </c>
      <c r="BL202" s="51">
        <v>5.0000000000000001E-3</v>
      </c>
      <c r="BM202" s="6">
        <v>0</v>
      </c>
      <c r="BN202" s="6">
        <v>0</v>
      </c>
      <c r="BO202" s="6">
        <v>0</v>
      </c>
      <c r="BP202" s="7">
        <v>116</v>
      </c>
      <c r="BQ202" s="7">
        <v>310</v>
      </c>
      <c r="BR202" s="7">
        <v>403</v>
      </c>
      <c r="BS202" s="7">
        <v>741</v>
      </c>
      <c r="BT202" s="7">
        <v>239</v>
      </c>
      <c r="BU202" s="7">
        <v>167</v>
      </c>
      <c r="BV202" s="7">
        <v>287</v>
      </c>
      <c r="BW202" s="7">
        <v>510</v>
      </c>
      <c r="BX202" s="7">
        <v>345</v>
      </c>
      <c r="BY202" s="7">
        <v>452</v>
      </c>
      <c r="BZ202" s="7">
        <v>391</v>
      </c>
      <c r="CA202" s="7">
        <v>228</v>
      </c>
      <c r="CB202" s="7">
        <v>318</v>
      </c>
      <c r="CC202" s="7">
        <v>431</v>
      </c>
      <c r="CD202" s="7">
        <v>4037</v>
      </c>
      <c r="CE202" s="7">
        <v>368</v>
      </c>
      <c r="CF202" s="7">
        <v>1309</v>
      </c>
      <c r="CG202" s="7">
        <v>543</v>
      </c>
      <c r="CH202" s="51">
        <v>0.05</v>
      </c>
      <c r="CI202" s="51">
        <v>0.05</v>
      </c>
      <c r="CJ202" s="6">
        <v>0</v>
      </c>
      <c r="CK202" s="6">
        <v>1.4</v>
      </c>
      <c r="CL202" s="6">
        <v>0.3</v>
      </c>
      <c r="CM202" s="6">
        <v>0</v>
      </c>
      <c r="CN202">
        <f t="shared" ref="CN202:CN207" si="4155">($C202*D202)/100</f>
        <v>64.599999999999994</v>
      </c>
      <c r="CO202">
        <f t="shared" ref="CO202:CO207" si="4156">($C202*E202)/100</f>
        <v>275.2</v>
      </c>
      <c r="CP202">
        <f t="shared" ref="CP202:CP207" si="4157">($C202*F202)/100</f>
        <v>2.2000000000000002</v>
      </c>
      <c r="CQ202">
        <f t="shared" ref="CQ202:CQ207" si="4158">($C202*G202)/100</f>
        <v>0</v>
      </c>
      <c r="CR202">
        <f t="shared" ref="CR202:CR207" si="4159">($C202*H202)/100</f>
        <v>2.2000000000000002</v>
      </c>
      <c r="CS202">
        <f t="shared" ref="CS202:CS207" si="4160">($C202*I202)/100</f>
        <v>0.14000000000000001</v>
      </c>
      <c r="CT202">
        <f t="shared" ref="CT202:CT207" si="4161">($C202*J202)/100</f>
        <v>0</v>
      </c>
      <c r="CU202">
        <f t="shared" ref="CU202:CU207" si="4162">($C202*K202)/100</f>
        <v>0.14000000000000001</v>
      </c>
      <c r="CV202">
        <f t="shared" ref="CV202:CV207" si="4163">($C202*L202)/100</f>
        <v>0</v>
      </c>
      <c r="CW202">
        <f t="shared" ref="CW202:CW207" si="4164">($C202*M202)/100</f>
        <v>14.32</v>
      </c>
      <c r="CX202">
        <f t="shared" ref="CX202:CX207" si="4165">($C202*N202)/100</f>
        <v>13.98</v>
      </c>
      <c r="CY202">
        <f t="shared" ref="CY202:CY207" si="4166">($C202*O202)/100</f>
        <v>0.34</v>
      </c>
      <c r="CZ202">
        <f t="shared" ref="CZ202:CZ207" si="4167">($C202*P202)/100</f>
        <v>0.44</v>
      </c>
      <c r="DA202">
        <f t="shared" ref="DA202:DA207" si="4168">($C202*Q202)/100</f>
        <v>0</v>
      </c>
      <c r="DB202">
        <f t="shared" ref="DB202:DB207" si="4169">($C202*R202)/100</f>
        <v>2.84</v>
      </c>
      <c r="DC202">
        <f t="shared" ref="DC202:DC207" si="4170">($C202*S202)/100</f>
        <v>0.14000000000000001</v>
      </c>
      <c r="DD202">
        <f t="shared" ref="DD202:DD207" si="4171">($C202*T202)/100</f>
        <v>3.4</v>
      </c>
      <c r="DE202">
        <f t="shared" ref="DE202:DE207" si="4172">($C202*U202)/100</f>
        <v>0.6</v>
      </c>
      <c r="DF202">
        <f t="shared" ref="DF202:DF207" si="4173">($C202*V202)/100</f>
        <v>25.2</v>
      </c>
      <c r="DG202">
        <f t="shared" ref="DG202:DG207" si="4174">($C202*W202)/100</f>
        <v>15.2</v>
      </c>
      <c r="DH202">
        <f t="shared" ref="DH202:DH207" si="4175">($C202*X202)/100</f>
        <v>1.4000000000000002E-2</v>
      </c>
      <c r="DI202">
        <f t="shared" ref="DI202:DI207" si="4176">($C202*Y202)/100</f>
        <v>24</v>
      </c>
      <c r="DJ202">
        <f t="shared" ref="DJ202:DJ207" si="4177">($C202*Z202)/100</f>
        <v>1.2E-2</v>
      </c>
      <c r="DK202">
        <f t="shared" ref="DK202:DK207" si="4178">($C202*AA202)/100</f>
        <v>0.46</v>
      </c>
      <c r="DL202">
        <f t="shared" ref="DL202:DL207" si="4179">($C202*AB202)/100</f>
        <v>28.6</v>
      </c>
      <c r="DM202">
        <f t="shared" ref="DM202:DM207" si="4180">($C202*AC202)/100</f>
        <v>0.1</v>
      </c>
      <c r="DN202">
        <f t="shared" ref="DN202:DN207" si="4181">($C202*AD202)/100</f>
        <v>0.14000000000000001</v>
      </c>
      <c r="DO202">
        <f t="shared" ref="DO202:DO207" si="4182">($C202*AE202)/100</f>
        <v>26</v>
      </c>
      <c r="DP202">
        <f t="shared" ref="DP202:DP207" si="4183">($C202*AF202)/100</f>
        <v>0.02</v>
      </c>
      <c r="DQ202">
        <f t="shared" ref="DQ202:DQ207" si="4184">($C202*AG202)/100</f>
        <v>6.0000000000000001E-3</v>
      </c>
      <c r="DR202">
        <f t="shared" ref="DR202:DR207" si="4185">($C202*AH202)/100</f>
        <v>0</v>
      </c>
      <c r="DS202">
        <f t="shared" ref="DS202:DS207" si="4186">($C202*AI202)/100</f>
        <v>0.2</v>
      </c>
      <c r="DT202">
        <f t="shared" ref="DT202:DT207" si="4187">($C202*AJ202)/100</f>
        <v>3.5999999999999997E-2</v>
      </c>
      <c r="DU202">
        <f t="shared" ref="DU202:DU207" si="4188">($C202*AK202)/100</f>
        <v>6.4</v>
      </c>
      <c r="DV202">
        <f t="shared" ref="DV202:DV207" si="4189">($C202*AL202)/100</f>
        <v>0.08</v>
      </c>
      <c r="DW202">
        <f t="shared" ref="DW202:DW207" si="4190">($C202*AM202)/100</f>
        <v>0.4</v>
      </c>
      <c r="DX202">
        <f t="shared" ref="DX202:DX207" si="4191">($C202*AN202)/100</f>
        <v>0</v>
      </c>
      <c r="DY202">
        <f t="shared" ref="DY202:DY207" si="4192">($C202*AO202)/100</f>
        <v>0</v>
      </c>
      <c r="DZ202">
        <f t="shared" ref="DZ202:DZ207" si="4193">($C202*AP202)/100</f>
        <v>0</v>
      </c>
      <c r="EA202">
        <f t="shared" ref="EA202:EA207" si="4194">($C202*AQ202)/100</f>
        <v>0</v>
      </c>
      <c r="EB202">
        <f t="shared" ref="EB202:EB207" si="4195">($C202*AR202)/100</f>
        <v>0.11799999999999999</v>
      </c>
      <c r="EC202">
        <f t="shared" ref="EC202:EC207" si="4196">($C202*AS202)/100</f>
        <v>0</v>
      </c>
      <c r="ED202">
        <f t="shared" ref="ED202:ED207" si="4197">($C202*AT202)/100</f>
        <v>0.16</v>
      </c>
      <c r="EE202">
        <f t="shared" ref="EE202:EE207" si="4198">($C202*AU202)/100</f>
        <v>1.6E-2</v>
      </c>
      <c r="EF202">
        <f t="shared" ref="EF202:EF207" si="4199">($C202*AV202)/100</f>
        <v>0</v>
      </c>
      <c r="EG202">
        <f t="shared" ref="EG202:EG207" si="4200">($C202*AW202)/100</f>
        <v>0</v>
      </c>
      <c r="EH202">
        <f t="shared" ref="EH202:EH207" si="4201">($C202*AX202)/100</f>
        <v>0</v>
      </c>
      <c r="EI202">
        <f t="shared" ref="EI202:EI207" si="4202">($C202*AY202)/100</f>
        <v>1.6E-2</v>
      </c>
      <c r="EJ202">
        <f t="shared" ref="EJ202:EJ207" si="4203">($C202*AZ202)/100</f>
        <v>1E-3</v>
      </c>
      <c r="EK202">
        <f t="shared" ref="EK202:EK207" si="4204">($C202*BA202)/100</f>
        <v>1E-3</v>
      </c>
      <c r="EL202">
        <f t="shared" ref="EL202:EL207" si="4205">($C202*BB202)/100</f>
        <v>0</v>
      </c>
      <c r="EM202">
        <f t="shared" ref="EM202:EM207" si="4206">($C202*BC202)/100</f>
        <v>1.2E-2</v>
      </c>
      <c r="EN202">
        <f t="shared" ref="EN202:EN207" si="4207">($C202*BD202)/100</f>
        <v>0</v>
      </c>
      <c r="EO202">
        <f t="shared" ref="EO202:EO207" si="4208">($C202*BE202)/100</f>
        <v>1E-3</v>
      </c>
      <c r="EP202">
        <f t="shared" ref="EP202:EP207" si="4209">($C202*BF202)/100</f>
        <v>1.2E-2</v>
      </c>
      <c r="EQ202">
        <f t="shared" ref="EQ202:EQ207" si="4210">($C202*BG202)/100</f>
        <v>1E-3</v>
      </c>
      <c r="ER202">
        <f t="shared" ref="ER202:ER207" si="4211">($C202*BH202)/100</f>
        <v>0</v>
      </c>
      <c r="ES202">
        <f t="shared" ref="ES202:ES207" si="4212">($C202*BI202)/100</f>
        <v>5.4000000000000006E-2</v>
      </c>
      <c r="ET202">
        <f t="shared" ref="ET202:ET207" si="4213">($C202*BJ202)/100</f>
        <v>0.05</v>
      </c>
      <c r="EU202">
        <f t="shared" ref="EU202:EU207" si="4214">($C202*BK202)/100</f>
        <v>2E-3</v>
      </c>
      <c r="EV202">
        <f t="shared" ref="EV202:EV207" si="4215">($C202*BL202)/100</f>
        <v>1E-3</v>
      </c>
      <c r="EW202">
        <f t="shared" ref="EW202:EW207" si="4216">($C202*BM202)/100</f>
        <v>0</v>
      </c>
      <c r="EX202">
        <f t="shared" ref="EX202:EX207" si="4217">($C202*BN202)/100</f>
        <v>0</v>
      </c>
      <c r="EY202">
        <f t="shared" ref="EY202:EY207" si="4218">($C202*BO202)/100</f>
        <v>0</v>
      </c>
      <c r="EZ202">
        <f t="shared" ref="EZ202:EZ207" si="4219">($C202*BP202)/100</f>
        <v>23.2</v>
      </c>
      <c r="FA202">
        <f t="shared" ref="FA202:FA207" si="4220">($C202*BQ202)/100</f>
        <v>62</v>
      </c>
      <c r="FB202">
        <f t="shared" ref="FB202:FB207" si="4221">($C202*BR202)/100</f>
        <v>80.599999999999994</v>
      </c>
      <c r="FC202">
        <f t="shared" ref="FC202:FC207" si="4222">($C202*BS202)/100</f>
        <v>148.19999999999999</v>
      </c>
      <c r="FD202">
        <f t="shared" ref="FD202:FD207" si="4223">($C202*BT202)/100</f>
        <v>47.8</v>
      </c>
      <c r="FE202">
        <f t="shared" ref="FE202:FE207" si="4224">($C202*BU202)/100</f>
        <v>33.4</v>
      </c>
      <c r="FF202">
        <f t="shared" ref="FF202:FF207" si="4225">($C202*BV202)/100</f>
        <v>57.4</v>
      </c>
      <c r="FG202">
        <f t="shared" ref="FG202:FG207" si="4226">($C202*BW202)/100</f>
        <v>102</v>
      </c>
      <c r="FH202">
        <f t="shared" ref="FH202:FH207" si="4227">($C202*BX202)/100</f>
        <v>69</v>
      </c>
      <c r="FI202">
        <f t="shared" ref="FI202:FI207" si="4228">($C202*BY202)/100</f>
        <v>90.4</v>
      </c>
      <c r="FJ202">
        <f t="shared" ref="FJ202:FJ207" si="4229">($C202*BZ202)/100</f>
        <v>78.2</v>
      </c>
      <c r="FK202">
        <f t="shared" ref="FK202:FK207" si="4230">($C202*CA202)/100</f>
        <v>45.6</v>
      </c>
      <c r="FL202">
        <f t="shared" ref="FL202:FL207" si="4231">($C202*CB202)/100</f>
        <v>63.6</v>
      </c>
      <c r="FM202">
        <f t="shared" ref="FM202:FM207" si="4232">($C202*CC202)/100</f>
        <v>86.2</v>
      </c>
      <c r="FN202">
        <f t="shared" ref="FN202:FN207" si="4233">($C202*CD202)/100</f>
        <v>807.4</v>
      </c>
      <c r="FO202">
        <f t="shared" ref="FO202:FO207" si="4234">($C202*CE202)/100</f>
        <v>73.599999999999994</v>
      </c>
      <c r="FP202">
        <f t="shared" ref="FP202:FP207" si="4235">($C202*CF202)/100</f>
        <v>261.8</v>
      </c>
      <c r="FQ202">
        <f t="shared" ref="FQ202:FQ207" si="4236">($C202*CG202)/100</f>
        <v>108.6</v>
      </c>
      <c r="FR202">
        <f t="shared" ref="FR202:FR207" si="4237">($C202*CH202)/100</f>
        <v>0.01</v>
      </c>
      <c r="FS202">
        <f t="shared" ref="FS202:FS207" si="4238">($C202*CI202)/100</f>
        <v>0.01</v>
      </c>
      <c r="FT202">
        <f t="shared" ref="FT202:FT207" si="4239">($C202*CJ202)/100</f>
        <v>0</v>
      </c>
      <c r="FU202">
        <f t="shared" ref="FU202:FU207" si="4240">($C202*CK202)/100</f>
        <v>0.28000000000000003</v>
      </c>
      <c r="FV202">
        <f t="shared" ref="FV202:FV207" si="4241">($C202*CL202)/100</f>
        <v>0.06</v>
      </c>
      <c r="FW202">
        <f t="shared" ref="FW202:FW207" si="4242">($C202*CM202)/100</f>
        <v>0</v>
      </c>
    </row>
    <row r="203" spans="1:179" x14ac:dyDescent="0.35">
      <c r="B203" s="36" t="s">
        <v>247</v>
      </c>
      <c r="C203">
        <v>10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99.9</v>
      </c>
      <c r="S203" s="51">
        <v>0.05</v>
      </c>
      <c r="T203" s="6">
        <v>10</v>
      </c>
      <c r="U203" s="6">
        <v>2</v>
      </c>
      <c r="V203" s="51">
        <v>0.5</v>
      </c>
      <c r="W203" s="51">
        <v>0.5</v>
      </c>
      <c r="X203" s="51">
        <v>5.0000000000000001E-3</v>
      </c>
      <c r="Y203" s="6">
        <v>3</v>
      </c>
      <c r="Z203" s="51">
        <v>5.0000000000000001E-3</v>
      </c>
      <c r="AA203" s="6">
        <v>1</v>
      </c>
      <c r="AB203" s="51">
        <v>0.5</v>
      </c>
      <c r="AC203" s="51">
        <v>0.5</v>
      </c>
      <c r="AD203" s="51">
        <v>5.0000000000000001E-3</v>
      </c>
      <c r="AE203" s="51">
        <v>0.5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6">
        <v>0</v>
      </c>
      <c r="BH203" s="6">
        <v>0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7">
        <v>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7">
        <v>0</v>
      </c>
      <c r="CD203" s="7">
        <v>0</v>
      </c>
      <c r="CE203" s="7">
        <v>0</v>
      </c>
      <c r="CF203" s="7">
        <v>0</v>
      </c>
      <c r="CG203" s="7">
        <v>0</v>
      </c>
      <c r="CH203" s="6">
        <v>0</v>
      </c>
      <c r="CI203" s="6">
        <v>0</v>
      </c>
      <c r="CJ203" s="6">
        <v>0</v>
      </c>
      <c r="CK203" s="6">
        <v>0</v>
      </c>
      <c r="CL203" s="6">
        <v>0</v>
      </c>
      <c r="CM203" s="6">
        <v>0</v>
      </c>
      <c r="CN203">
        <f t="shared" si="4155"/>
        <v>0</v>
      </c>
      <c r="CO203">
        <f t="shared" si="4156"/>
        <v>0</v>
      </c>
      <c r="CP203">
        <f t="shared" si="4157"/>
        <v>0</v>
      </c>
      <c r="CQ203">
        <f t="shared" si="4158"/>
        <v>0</v>
      </c>
      <c r="CR203">
        <f t="shared" si="4159"/>
        <v>0</v>
      </c>
      <c r="CS203">
        <f t="shared" si="4160"/>
        <v>0</v>
      </c>
      <c r="CT203">
        <f t="shared" si="4161"/>
        <v>0</v>
      </c>
      <c r="CU203">
        <f t="shared" si="4162"/>
        <v>0</v>
      </c>
      <c r="CV203">
        <f t="shared" si="4163"/>
        <v>0</v>
      </c>
      <c r="CW203">
        <f t="shared" si="4164"/>
        <v>0</v>
      </c>
      <c r="CX203">
        <f t="shared" si="4165"/>
        <v>0</v>
      </c>
      <c r="CY203">
        <f t="shared" si="4166"/>
        <v>0</v>
      </c>
      <c r="CZ203">
        <f t="shared" si="4167"/>
        <v>0</v>
      </c>
      <c r="DA203">
        <f t="shared" si="4168"/>
        <v>0</v>
      </c>
      <c r="DB203">
        <f t="shared" si="4169"/>
        <v>9.99</v>
      </c>
      <c r="DC203">
        <f t="shared" si="4170"/>
        <v>5.0000000000000001E-3</v>
      </c>
      <c r="DD203">
        <f t="shared" si="4171"/>
        <v>1</v>
      </c>
      <c r="DE203">
        <f t="shared" si="4172"/>
        <v>0.2</v>
      </c>
      <c r="DF203">
        <f t="shared" si="4173"/>
        <v>0.05</v>
      </c>
      <c r="DG203">
        <f t="shared" si="4174"/>
        <v>0.05</v>
      </c>
      <c r="DH203">
        <f t="shared" si="4175"/>
        <v>5.0000000000000001E-4</v>
      </c>
      <c r="DI203">
        <f t="shared" si="4176"/>
        <v>0.3</v>
      </c>
      <c r="DJ203">
        <f t="shared" si="4177"/>
        <v>5.0000000000000001E-4</v>
      </c>
      <c r="DK203">
        <f t="shared" si="4178"/>
        <v>0.1</v>
      </c>
      <c r="DL203">
        <f t="shared" si="4179"/>
        <v>0.05</v>
      </c>
      <c r="DM203">
        <f t="shared" si="4180"/>
        <v>0.05</v>
      </c>
      <c r="DN203">
        <f t="shared" si="4181"/>
        <v>5.0000000000000001E-4</v>
      </c>
      <c r="DO203">
        <f t="shared" si="4182"/>
        <v>0.05</v>
      </c>
      <c r="DP203">
        <f t="shared" si="4183"/>
        <v>0</v>
      </c>
      <c r="DQ203">
        <f t="shared" si="4184"/>
        <v>0</v>
      </c>
      <c r="DR203">
        <f t="shared" si="4185"/>
        <v>0</v>
      </c>
      <c r="DS203">
        <f t="shared" si="4186"/>
        <v>0</v>
      </c>
      <c r="DT203">
        <f t="shared" si="4187"/>
        <v>0</v>
      </c>
      <c r="DU203">
        <f t="shared" si="4188"/>
        <v>0</v>
      </c>
      <c r="DV203">
        <f t="shared" si="4189"/>
        <v>0</v>
      </c>
      <c r="DW203">
        <f t="shared" si="4190"/>
        <v>0</v>
      </c>
      <c r="DX203">
        <f t="shared" si="4191"/>
        <v>0</v>
      </c>
      <c r="DY203">
        <f t="shared" si="4192"/>
        <v>0</v>
      </c>
      <c r="DZ203">
        <f t="shared" si="4193"/>
        <v>0</v>
      </c>
      <c r="EA203">
        <f t="shared" si="4194"/>
        <v>0</v>
      </c>
      <c r="EB203">
        <f t="shared" si="4195"/>
        <v>0</v>
      </c>
      <c r="EC203">
        <f t="shared" si="4196"/>
        <v>0</v>
      </c>
      <c r="ED203">
        <f t="shared" si="4197"/>
        <v>0</v>
      </c>
      <c r="EE203">
        <f t="shared" si="4198"/>
        <v>0</v>
      </c>
      <c r="EF203">
        <f t="shared" si="4199"/>
        <v>0</v>
      </c>
      <c r="EG203">
        <f t="shared" si="4200"/>
        <v>0</v>
      </c>
      <c r="EH203">
        <f t="shared" si="4201"/>
        <v>0</v>
      </c>
      <c r="EI203">
        <f t="shared" si="4202"/>
        <v>0</v>
      </c>
      <c r="EJ203">
        <f t="shared" si="4203"/>
        <v>0</v>
      </c>
      <c r="EK203">
        <f t="shared" si="4204"/>
        <v>0</v>
      </c>
      <c r="EL203">
        <f t="shared" si="4205"/>
        <v>0</v>
      </c>
      <c r="EM203">
        <f t="shared" si="4206"/>
        <v>0</v>
      </c>
      <c r="EN203">
        <f t="shared" si="4207"/>
        <v>0</v>
      </c>
      <c r="EO203">
        <f t="shared" si="4208"/>
        <v>0</v>
      </c>
      <c r="EP203">
        <f t="shared" si="4209"/>
        <v>0</v>
      </c>
      <c r="EQ203">
        <f t="shared" si="4210"/>
        <v>0</v>
      </c>
      <c r="ER203">
        <f t="shared" si="4211"/>
        <v>0</v>
      </c>
      <c r="ES203">
        <f t="shared" si="4212"/>
        <v>0</v>
      </c>
      <c r="ET203">
        <f t="shared" si="4213"/>
        <v>0</v>
      </c>
      <c r="EU203">
        <f t="shared" si="4214"/>
        <v>0</v>
      </c>
      <c r="EV203">
        <f t="shared" si="4215"/>
        <v>0</v>
      </c>
      <c r="EW203">
        <f t="shared" si="4216"/>
        <v>0</v>
      </c>
      <c r="EX203">
        <f t="shared" si="4217"/>
        <v>0</v>
      </c>
      <c r="EY203">
        <f t="shared" si="4218"/>
        <v>0</v>
      </c>
      <c r="EZ203">
        <f t="shared" si="4219"/>
        <v>0</v>
      </c>
      <c r="FA203">
        <f t="shared" si="4220"/>
        <v>0</v>
      </c>
      <c r="FB203">
        <f t="shared" si="4221"/>
        <v>0</v>
      </c>
      <c r="FC203">
        <f t="shared" si="4222"/>
        <v>0</v>
      </c>
      <c r="FD203">
        <f t="shared" si="4223"/>
        <v>0</v>
      </c>
      <c r="FE203">
        <f t="shared" si="4224"/>
        <v>0</v>
      </c>
      <c r="FF203">
        <f t="shared" si="4225"/>
        <v>0</v>
      </c>
      <c r="FG203">
        <f t="shared" si="4226"/>
        <v>0</v>
      </c>
      <c r="FH203">
        <f t="shared" si="4227"/>
        <v>0</v>
      </c>
      <c r="FI203">
        <f t="shared" si="4228"/>
        <v>0</v>
      </c>
      <c r="FJ203">
        <f t="shared" si="4229"/>
        <v>0</v>
      </c>
      <c r="FK203">
        <f t="shared" si="4230"/>
        <v>0</v>
      </c>
      <c r="FL203">
        <f t="shared" si="4231"/>
        <v>0</v>
      </c>
      <c r="FM203">
        <f t="shared" si="4232"/>
        <v>0</v>
      </c>
      <c r="FN203">
        <f t="shared" si="4233"/>
        <v>0</v>
      </c>
      <c r="FO203">
        <f t="shared" si="4234"/>
        <v>0</v>
      </c>
      <c r="FP203">
        <f t="shared" si="4235"/>
        <v>0</v>
      </c>
      <c r="FQ203">
        <f t="shared" si="4236"/>
        <v>0</v>
      </c>
      <c r="FR203">
        <f t="shared" si="4237"/>
        <v>0</v>
      </c>
      <c r="FS203">
        <f t="shared" si="4238"/>
        <v>0</v>
      </c>
      <c r="FT203">
        <f t="shared" si="4239"/>
        <v>0</v>
      </c>
      <c r="FU203">
        <f t="shared" si="4240"/>
        <v>0</v>
      </c>
      <c r="FV203">
        <f t="shared" si="4241"/>
        <v>0</v>
      </c>
      <c r="FW203">
        <f t="shared" si="4242"/>
        <v>0</v>
      </c>
    </row>
    <row r="204" spans="1:179" x14ac:dyDescent="0.35">
      <c r="B204" s="72" t="s">
        <v>456</v>
      </c>
      <c r="C204">
        <v>30</v>
      </c>
      <c r="D204" s="6">
        <v>304</v>
      </c>
      <c r="E204" s="6">
        <v>1259</v>
      </c>
      <c r="F204" s="6">
        <v>15.4</v>
      </c>
      <c r="G204" s="6">
        <v>15.4</v>
      </c>
      <c r="H204" s="6">
        <v>0</v>
      </c>
      <c r="I204" s="6">
        <v>26.7</v>
      </c>
      <c r="J204" s="6">
        <v>26.7</v>
      </c>
      <c r="K204" s="6">
        <v>0</v>
      </c>
      <c r="L204" s="6">
        <v>62</v>
      </c>
      <c r="M204" s="6">
        <v>0.6</v>
      </c>
      <c r="N204" s="6">
        <v>0</v>
      </c>
      <c r="O204" s="6">
        <v>0.6</v>
      </c>
      <c r="P204" s="6">
        <v>0</v>
      </c>
      <c r="Q204" s="6">
        <v>0</v>
      </c>
      <c r="R204" s="6">
        <v>53.6</v>
      </c>
      <c r="S204" s="6">
        <v>2.8</v>
      </c>
      <c r="T204" s="6">
        <v>20</v>
      </c>
      <c r="U204" s="6">
        <v>1100</v>
      </c>
      <c r="V204" s="6">
        <v>200</v>
      </c>
      <c r="W204" s="6">
        <v>173</v>
      </c>
      <c r="X204" s="6">
        <v>1.6</v>
      </c>
      <c r="Y204" s="6">
        <v>17</v>
      </c>
      <c r="Z204" s="6">
        <v>0.13</v>
      </c>
      <c r="AA204" s="6">
        <v>14</v>
      </c>
      <c r="AB204" s="6">
        <v>1340</v>
      </c>
      <c r="AC204" s="6">
        <v>7</v>
      </c>
      <c r="AD204" s="6">
        <v>0.15</v>
      </c>
      <c r="AE204" s="6">
        <v>120</v>
      </c>
      <c r="AF204" s="6">
        <v>0.34</v>
      </c>
      <c r="AG204" s="6">
        <v>0.03</v>
      </c>
      <c r="AH204" s="51">
        <v>0.5</v>
      </c>
      <c r="AI204" s="6">
        <v>4</v>
      </c>
      <c r="AJ204" s="6">
        <v>0.14000000000000001</v>
      </c>
      <c r="AK204" s="6">
        <v>8</v>
      </c>
      <c r="AL204" s="6">
        <v>0.81</v>
      </c>
      <c r="AM204" s="6">
        <v>5</v>
      </c>
      <c r="AN204" s="6">
        <v>1</v>
      </c>
      <c r="AO204" s="6">
        <v>0</v>
      </c>
      <c r="AP204" s="6">
        <v>0</v>
      </c>
      <c r="AQ204" s="6">
        <v>0</v>
      </c>
      <c r="AR204" s="6">
        <v>1.17</v>
      </c>
      <c r="AS204" s="6">
        <v>0.9</v>
      </c>
      <c r="AT204" s="84">
        <v>0.3</v>
      </c>
      <c r="AU204" s="6">
        <v>9.4390000000000001</v>
      </c>
      <c r="AV204" s="6">
        <v>0</v>
      </c>
      <c r="AW204" s="6">
        <v>5.3999999999999999E-2</v>
      </c>
      <c r="AX204" s="6">
        <v>0.35099999999999998</v>
      </c>
      <c r="AY204" s="6">
        <v>5.556</v>
      </c>
      <c r="AZ204" s="6">
        <v>3.1819999999999999</v>
      </c>
      <c r="BA204" s="6">
        <v>0</v>
      </c>
      <c r="BB204" s="6">
        <v>0</v>
      </c>
      <c r="BC204" s="6">
        <v>10.436999999999999</v>
      </c>
      <c r="BD204" s="6">
        <v>0</v>
      </c>
      <c r="BE204" s="6">
        <v>0.432</v>
      </c>
      <c r="BF204" s="6">
        <v>9.6280000000000001</v>
      </c>
      <c r="BG204" s="6">
        <v>0.13500000000000001</v>
      </c>
      <c r="BH204" s="6">
        <v>0</v>
      </c>
      <c r="BI204" s="6">
        <v>4.1529999999999996</v>
      </c>
      <c r="BJ204" s="6">
        <v>2.859</v>
      </c>
      <c r="BK204" s="6">
        <v>0.216</v>
      </c>
      <c r="BL204" s="6">
        <v>0.32400000000000001</v>
      </c>
      <c r="BM204" s="6">
        <v>2.7E-2</v>
      </c>
      <c r="BN204" s="6">
        <v>0</v>
      </c>
      <c r="BO204" s="6">
        <v>0.73</v>
      </c>
      <c r="BP204" s="7">
        <v>132</v>
      </c>
      <c r="BQ204" s="7">
        <v>653</v>
      </c>
      <c r="BR204" s="7">
        <v>737</v>
      </c>
      <c r="BS204" s="7">
        <v>1236</v>
      </c>
      <c r="BT204" s="7">
        <v>1265</v>
      </c>
      <c r="BU204" s="7">
        <v>393</v>
      </c>
      <c r="BV204" s="7">
        <v>191</v>
      </c>
      <c r="BW204" s="7">
        <v>614</v>
      </c>
      <c r="BX204" s="7">
        <v>520</v>
      </c>
      <c r="BY204" s="7">
        <v>812</v>
      </c>
      <c r="BZ204" s="7">
        <v>1028</v>
      </c>
      <c r="CA204" s="7">
        <v>565</v>
      </c>
      <c r="CB204" s="7">
        <v>994</v>
      </c>
      <c r="CC204" s="7">
        <v>1328</v>
      </c>
      <c r="CD204" s="7">
        <v>2355</v>
      </c>
      <c r="CE204" s="7">
        <v>949</v>
      </c>
      <c r="CF204" s="7">
        <v>876</v>
      </c>
      <c r="CG204" s="7">
        <v>642</v>
      </c>
      <c r="CH204" s="6">
        <v>0.6</v>
      </c>
      <c r="CI204" s="6">
        <v>0</v>
      </c>
      <c r="CJ204" s="6">
        <v>0</v>
      </c>
      <c r="CK204" s="6">
        <v>0</v>
      </c>
      <c r="CL204" s="6">
        <v>0</v>
      </c>
      <c r="CM204" s="6">
        <v>0</v>
      </c>
      <c r="CN204">
        <f t="shared" si="4155"/>
        <v>91.2</v>
      </c>
      <c r="CO204">
        <f t="shared" si="4156"/>
        <v>377.7</v>
      </c>
      <c r="CP204">
        <f t="shared" si="4157"/>
        <v>4.62</v>
      </c>
      <c r="CQ204">
        <f t="shared" si="4158"/>
        <v>4.62</v>
      </c>
      <c r="CR204">
        <f t="shared" si="4159"/>
        <v>0</v>
      </c>
      <c r="CS204">
        <f t="shared" si="4160"/>
        <v>8.01</v>
      </c>
      <c r="CT204">
        <f t="shared" si="4161"/>
        <v>8.01</v>
      </c>
      <c r="CU204">
        <f t="shared" si="4162"/>
        <v>0</v>
      </c>
      <c r="CV204">
        <f t="shared" si="4163"/>
        <v>18.600000000000001</v>
      </c>
      <c r="CW204">
        <f t="shared" si="4164"/>
        <v>0.18</v>
      </c>
      <c r="CX204">
        <f t="shared" si="4165"/>
        <v>0</v>
      </c>
      <c r="CY204">
        <f t="shared" si="4166"/>
        <v>0.18</v>
      </c>
      <c r="CZ204">
        <f t="shared" si="4167"/>
        <v>0</v>
      </c>
      <c r="DA204">
        <f t="shared" si="4168"/>
        <v>0</v>
      </c>
      <c r="DB204">
        <f t="shared" si="4169"/>
        <v>16.079999999999998</v>
      </c>
      <c r="DC204">
        <f t="shared" si="4170"/>
        <v>0.84</v>
      </c>
      <c r="DD204">
        <f t="shared" si="4171"/>
        <v>6</v>
      </c>
      <c r="DE204">
        <f t="shared" si="4172"/>
        <v>330</v>
      </c>
      <c r="DF204">
        <f t="shared" si="4173"/>
        <v>60</v>
      </c>
      <c r="DG204">
        <f t="shared" si="4174"/>
        <v>51.9</v>
      </c>
      <c r="DH204">
        <f t="shared" si="4175"/>
        <v>0.48</v>
      </c>
      <c r="DI204">
        <f t="shared" si="4176"/>
        <v>5.0999999999999996</v>
      </c>
      <c r="DJ204">
        <f t="shared" si="4177"/>
        <v>3.9000000000000007E-2</v>
      </c>
      <c r="DK204">
        <f t="shared" si="4178"/>
        <v>4.2</v>
      </c>
      <c r="DL204">
        <f t="shared" si="4179"/>
        <v>402</v>
      </c>
      <c r="DM204">
        <f t="shared" si="4180"/>
        <v>2.1</v>
      </c>
      <c r="DN204">
        <f t="shared" si="4181"/>
        <v>4.4999999999999998E-2</v>
      </c>
      <c r="DO204">
        <f t="shared" si="4182"/>
        <v>36</v>
      </c>
      <c r="DP204">
        <f t="shared" si="4183"/>
        <v>0.10200000000000001</v>
      </c>
      <c r="DQ204">
        <f t="shared" si="4184"/>
        <v>8.9999999999999993E-3</v>
      </c>
      <c r="DR204">
        <f t="shared" si="4185"/>
        <v>0.15</v>
      </c>
      <c r="DS204">
        <f t="shared" si="4186"/>
        <v>1.2</v>
      </c>
      <c r="DT204">
        <f t="shared" si="4187"/>
        <v>4.2000000000000003E-2</v>
      </c>
      <c r="DU204">
        <f t="shared" si="4188"/>
        <v>2.4</v>
      </c>
      <c r="DV204">
        <f t="shared" si="4189"/>
        <v>0.24299999999999999</v>
      </c>
      <c r="DW204">
        <f t="shared" si="4190"/>
        <v>1.5</v>
      </c>
      <c r="DX204">
        <f t="shared" si="4191"/>
        <v>0.3</v>
      </c>
      <c r="DY204">
        <f t="shared" si="4192"/>
        <v>0</v>
      </c>
      <c r="DZ204">
        <f t="shared" si="4193"/>
        <v>0</v>
      </c>
      <c r="EA204">
        <f t="shared" si="4194"/>
        <v>0</v>
      </c>
      <c r="EB204">
        <f t="shared" si="4195"/>
        <v>0.35099999999999992</v>
      </c>
      <c r="EC204">
        <f t="shared" si="4196"/>
        <v>0.27</v>
      </c>
      <c r="ED204">
        <f t="shared" si="4197"/>
        <v>0.09</v>
      </c>
      <c r="EE204">
        <f t="shared" si="4198"/>
        <v>2.8317000000000001</v>
      </c>
      <c r="EF204">
        <f t="shared" si="4199"/>
        <v>0</v>
      </c>
      <c r="EG204">
        <f t="shared" si="4200"/>
        <v>1.6199999999999999E-2</v>
      </c>
      <c r="EH204">
        <f t="shared" si="4201"/>
        <v>0.10529999999999999</v>
      </c>
      <c r="EI204">
        <f t="shared" si="4202"/>
        <v>1.6668000000000001</v>
      </c>
      <c r="EJ204">
        <f t="shared" si="4203"/>
        <v>0.95459999999999989</v>
      </c>
      <c r="EK204">
        <f t="shared" si="4204"/>
        <v>0</v>
      </c>
      <c r="EL204">
        <f t="shared" si="4205"/>
        <v>0</v>
      </c>
      <c r="EM204">
        <f t="shared" si="4206"/>
        <v>3.1310999999999996</v>
      </c>
      <c r="EN204">
        <f t="shared" si="4207"/>
        <v>0</v>
      </c>
      <c r="EO204">
        <f t="shared" si="4208"/>
        <v>0.12959999999999999</v>
      </c>
      <c r="EP204">
        <f t="shared" si="4209"/>
        <v>2.8884000000000003</v>
      </c>
      <c r="EQ204">
        <f t="shared" si="4210"/>
        <v>4.0500000000000008E-2</v>
      </c>
      <c r="ER204">
        <f t="shared" si="4211"/>
        <v>0</v>
      </c>
      <c r="ES204">
        <f t="shared" si="4212"/>
        <v>1.2458999999999998</v>
      </c>
      <c r="ET204">
        <f t="shared" si="4213"/>
        <v>0.85769999999999991</v>
      </c>
      <c r="EU204">
        <f t="shared" si="4214"/>
        <v>6.4799999999999996E-2</v>
      </c>
      <c r="EV204">
        <f t="shared" si="4215"/>
        <v>9.7200000000000009E-2</v>
      </c>
      <c r="EW204">
        <f t="shared" si="4216"/>
        <v>8.0999999999999996E-3</v>
      </c>
      <c r="EX204">
        <f t="shared" si="4217"/>
        <v>0</v>
      </c>
      <c r="EY204">
        <f t="shared" si="4218"/>
        <v>0.21899999999999997</v>
      </c>
      <c r="EZ204">
        <f t="shared" si="4219"/>
        <v>39.6</v>
      </c>
      <c r="FA204">
        <f t="shared" si="4220"/>
        <v>195.9</v>
      </c>
      <c r="FB204">
        <f t="shared" si="4221"/>
        <v>221.1</v>
      </c>
      <c r="FC204">
        <f t="shared" si="4222"/>
        <v>370.8</v>
      </c>
      <c r="FD204">
        <f t="shared" si="4223"/>
        <v>379.5</v>
      </c>
      <c r="FE204">
        <f t="shared" si="4224"/>
        <v>117.9</v>
      </c>
      <c r="FF204">
        <f t="shared" si="4225"/>
        <v>57.3</v>
      </c>
      <c r="FG204">
        <f t="shared" si="4226"/>
        <v>184.2</v>
      </c>
      <c r="FH204">
        <f t="shared" si="4227"/>
        <v>156</v>
      </c>
      <c r="FI204">
        <f t="shared" si="4228"/>
        <v>243.6</v>
      </c>
      <c r="FJ204">
        <f t="shared" si="4229"/>
        <v>308.39999999999998</v>
      </c>
      <c r="FK204">
        <f t="shared" si="4230"/>
        <v>169.5</v>
      </c>
      <c r="FL204">
        <f t="shared" si="4231"/>
        <v>298.2</v>
      </c>
      <c r="FM204">
        <f t="shared" si="4232"/>
        <v>398.4</v>
      </c>
      <c r="FN204">
        <f t="shared" si="4233"/>
        <v>706.5</v>
      </c>
      <c r="FO204">
        <f t="shared" si="4234"/>
        <v>284.7</v>
      </c>
      <c r="FP204">
        <f t="shared" si="4235"/>
        <v>262.8</v>
      </c>
      <c r="FQ204">
        <f t="shared" si="4236"/>
        <v>192.6</v>
      </c>
      <c r="FR204">
        <f t="shared" si="4237"/>
        <v>0.18</v>
      </c>
      <c r="FS204">
        <f t="shared" si="4238"/>
        <v>0</v>
      </c>
      <c r="FT204">
        <f t="shared" si="4239"/>
        <v>0</v>
      </c>
      <c r="FU204">
        <f t="shared" si="4240"/>
        <v>0</v>
      </c>
      <c r="FV204">
        <f t="shared" si="4241"/>
        <v>0</v>
      </c>
      <c r="FW204">
        <f t="shared" si="4242"/>
        <v>0</v>
      </c>
    </row>
    <row r="205" spans="1:179" x14ac:dyDescent="0.35">
      <c r="B205" s="36" t="s">
        <v>457</v>
      </c>
      <c r="C205">
        <v>30</v>
      </c>
      <c r="D205" s="54">
        <v>19</v>
      </c>
      <c r="E205" s="54">
        <v>80</v>
      </c>
      <c r="F205" s="54">
        <v>1.3</v>
      </c>
      <c r="G205" s="54">
        <v>0</v>
      </c>
      <c r="H205" s="54">
        <v>1.3</v>
      </c>
      <c r="I205" s="54">
        <v>0.1</v>
      </c>
      <c r="J205" s="54">
        <v>0</v>
      </c>
      <c r="K205" s="54">
        <v>0.1</v>
      </c>
      <c r="L205" s="54">
        <v>0</v>
      </c>
      <c r="M205" s="54">
        <v>2.8</v>
      </c>
      <c r="N205" s="54">
        <v>0</v>
      </c>
      <c r="O205" s="54">
        <v>2.8</v>
      </c>
      <c r="P205" s="54">
        <v>1.2</v>
      </c>
      <c r="Q205" s="54">
        <v>0</v>
      </c>
      <c r="R205" s="54">
        <v>94.5</v>
      </c>
      <c r="S205" s="54">
        <v>1</v>
      </c>
      <c r="T205" s="54">
        <v>67</v>
      </c>
      <c r="U205" s="54">
        <v>158</v>
      </c>
      <c r="V205" s="54">
        <v>286</v>
      </c>
      <c r="W205" s="54">
        <v>29</v>
      </c>
      <c r="X205" s="54">
        <v>0.4</v>
      </c>
      <c r="Y205" s="81">
        <v>0</v>
      </c>
      <c r="Z205" s="81">
        <v>0</v>
      </c>
      <c r="AA205" s="81">
        <v>0</v>
      </c>
      <c r="AB205" s="81">
        <v>0</v>
      </c>
      <c r="AC205" s="81">
        <v>0</v>
      </c>
      <c r="AD205" s="81">
        <v>0</v>
      </c>
      <c r="AE205" s="81">
        <v>0</v>
      </c>
      <c r="AF205" s="54">
        <v>0.03</v>
      </c>
      <c r="AG205" s="54">
        <v>0.19</v>
      </c>
      <c r="AH205" s="54">
        <v>24</v>
      </c>
      <c r="AI205" s="54">
        <v>1.8</v>
      </c>
      <c r="AJ205" s="54">
        <v>7.0000000000000007E-2</v>
      </c>
      <c r="AK205" s="54">
        <v>124</v>
      </c>
      <c r="AL205" s="81">
        <v>0</v>
      </c>
      <c r="AM205" s="81">
        <v>0</v>
      </c>
      <c r="AN205" s="81">
        <v>0</v>
      </c>
      <c r="AO205" s="54">
        <v>263</v>
      </c>
      <c r="AP205" s="54">
        <v>0</v>
      </c>
      <c r="AQ205" s="54">
        <v>1578</v>
      </c>
      <c r="AR205" s="54">
        <v>1.05</v>
      </c>
      <c r="AS205" s="54">
        <v>0</v>
      </c>
      <c r="AT205" s="81">
        <v>0</v>
      </c>
      <c r="AU205" s="54">
        <v>0.02</v>
      </c>
      <c r="AV205" s="81">
        <v>0</v>
      </c>
      <c r="AW205" s="81">
        <v>0</v>
      </c>
      <c r="AX205" s="81">
        <v>0</v>
      </c>
      <c r="AY205" s="81">
        <v>0</v>
      </c>
      <c r="AZ205" s="81">
        <v>0</v>
      </c>
      <c r="BA205" s="81">
        <v>0</v>
      </c>
      <c r="BB205" s="81">
        <v>0</v>
      </c>
      <c r="BC205" s="54">
        <v>0.02</v>
      </c>
      <c r="BD205" s="82">
        <v>0</v>
      </c>
      <c r="BE205" s="82">
        <v>0</v>
      </c>
      <c r="BF205" s="54">
        <v>0.02</v>
      </c>
      <c r="BG205" s="82">
        <v>0</v>
      </c>
      <c r="BH205" s="82">
        <v>0</v>
      </c>
      <c r="BI205" s="54">
        <v>0.04</v>
      </c>
      <c r="BJ205" s="54">
        <v>0.03</v>
      </c>
      <c r="BK205" s="51">
        <v>5.0000000000000001E-3</v>
      </c>
      <c r="BL205" s="82">
        <v>0</v>
      </c>
      <c r="BM205" s="82">
        <v>0</v>
      </c>
      <c r="BN205" s="82">
        <v>0</v>
      </c>
      <c r="BO205" s="54">
        <v>0.01</v>
      </c>
      <c r="BP205" s="56">
        <v>21</v>
      </c>
      <c r="BQ205" s="56">
        <v>62</v>
      </c>
      <c r="BR205" s="56">
        <v>40</v>
      </c>
      <c r="BS205" s="56">
        <v>93</v>
      </c>
      <c r="BT205" s="56">
        <v>60</v>
      </c>
      <c r="BU205" s="56">
        <v>17</v>
      </c>
      <c r="BV205" s="56">
        <v>20</v>
      </c>
      <c r="BW205" s="56">
        <v>54</v>
      </c>
      <c r="BX205" s="56">
        <v>50</v>
      </c>
      <c r="BY205" s="56">
        <v>60</v>
      </c>
      <c r="BZ205" s="56">
        <v>60</v>
      </c>
      <c r="CA205" s="56">
        <v>33</v>
      </c>
      <c r="CB205" s="56">
        <v>78</v>
      </c>
      <c r="CC205" s="56">
        <v>125</v>
      </c>
      <c r="CD205" s="56">
        <v>258</v>
      </c>
      <c r="CE205" s="56">
        <v>78</v>
      </c>
      <c r="CF205" s="56">
        <v>50</v>
      </c>
      <c r="CG205" s="56">
        <v>68</v>
      </c>
      <c r="CH205" s="81">
        <v>0</v>
      </c>
      <c r="CI205" s="81">
        <v>0</v>
      </c>
      <c r="CJ205" s="83">
        <v>0</v>
      </c>
      <c r="CK205" s="81">
        <v>0</v>
      </c>
      <c r="CL205" s="81">
        <v>0</v>
      </c>
      <c r="CM205" s="83">
        <v>0</v>
      </c>
      <c r="CN205">
        <f t="shared" si="4155"/>
        <v>5.7</v>
      </c>
      <c r="CO205">
        <f t="shared" si="4156"/>
        <v>24</v>
      </c>
      <c r="CP205">
        <f t="shared" si="4157"/>
        <v>0.39</v>
      </c>
      <c r="CQ205">
        <f t="shared" si="4158"/>
        <v>0</v>
      </c>
      <c r="CR205">
        <f t="shared" si="4159"/>
        <v>0.39</v>
      </c>
      <c r="CS205">
        <f t="shared" si="4160"/>
        <v>0.03</v>
      </c>
      <c r="CT205">
        <f t="shared" si="4161"/>
        <v>0</v>
      </c>
      <c r="CU205">
        <f t="shared" si="4162"/>
        <v>0.03</v>
      </c>
      <c r="CV205">
        <f t="shared" si="4163"/>
        <v>0</v>
      </c>
      <c r="CW205">
        <f t="shared" si="4164"/>
        <v>0.84</v>
      </c>
      <c r="CX205">
        <f t="shared" si="4165"/>
        <v>0</v>
      </c>
      <c r="CY205">
        <f t="shared" si="4166"/>
        <v>0.84</v>
      </c>
      <c r="CZ205">
        <f t="shared" si="4167"/>
        <v>0.36</v>
      </c>
      <c r="DA205">
        <f t="shared" si="4168"/>
        <v>0</v>
      </c>
      <c r="DB205">
        <f t="shared" si="4169"/>
        <v>28.35</v>
      </c>
      <c r="DC205">
        <f t="shared" si="4170"/>
        <v>0.3</v>
      </c>
      <c r="DD205">
        <f t="shared" si="4171"/>
        <v>20.100000000000001</v>
      </c>
      <c r="DE205">
        <f t="shared" si="4172"/>
        <v>47.4</v>
      </c>
      <c r="DF205">
        <f t="shared" si="4173"/>
        <v>85.8</v>
      </c>
      <c r="DG205">
        <f t="shared" si="4174"/>
        <v>8.6999999999999993</v>
      </c>
      <c r="DH205">
        <f t="shared" si="4175"/>
        <v>0.12</v>
      </c>
      <c r="DI205">
        <f t="shared" si="4176"/>
        <v>0</v>
      </c>
      <c r="DJ205">
        <f t="shared" si="4177"/>
        <v>0</v>
      </c>
      <c r="DK205">
        <f t="shared" si="4178"/>
        <v>0</v>
      </c>
      <c r="DL205">
        <f t="shared" si="4179"/>
        <v>0</v>
      </c>
      <c r="DM205">
        <f t="shared" si="4180"/>
        <v>0</v>
      </c>
      <c r="DN205">
        <f t="shared" si="4181"/>
        <v>0</v>
      </c>
      <c r="DO205">
        <f t="shared" si="4182"/>
        <v>0</v>
      </c>
      <c r="DP205">
        <f t="shared" si="4183"/>
        <v>8.9999999999999993E-3</v>
      </c>
      <c r="DQ205">
        <f t="shared" si="4184"/>
        <v>5.7000000000000002E-2</v>
      </c>
      <c r="DR205">
        <f t="shared" si="4185"/>
        <v>7.2</v>
      </c>
      <c r="DS205">
        <f t="shared" si="4186"/>
        <v>0.54</v>
      </c>
      <c r="DT205">
        <f t="shared" si="4187"/>
        <v>2.1000000000000001E-2</v>
      </c>
      <c r="DU205">
        <f t="shared" si="4188"/>
        <v>37.200000000000003</v>
      </c>
      <c r="DV205">
        <f t="shared" si="4189"/>
        <v>0</v>
      </c>
      <c r="DW205">
        <f t="shared" si="4190"/>
        <v>0</v>
      </c>
      <c r="DX205">
        <f t="shared" si="4191"/>
        <v>0</v>
      </c>
      <c r="DY205">
        <f t="shared" si="4192"/>
        <v>78.900000000000006</v>
      </c>
      <c r="DZ205">
        <f t="shared" si="4193"/>
        <v>0</v>
      </c>
      <c r="EA205">
        <f t="shared" si="4194"/>
        <v>473.4</v>
      </c>
      <c r="EB205">
        <f t="shared" si="4195"/>
        <v>0.315</v>
      </c>
      <c r="EC205">
        <f t="shared" si="4196"/>
        <v>0</v>
      </c>
      <c r="ED205">
        <f t="shared" si="4197"/>
        <v>0</v>
      </c>
      <c r="EE205">
        <f t="shared" si="4198"/>
        <v>6.0000000000000001E-3</v>
      </c>
      <c r="EF205">
        <f t="shared" si="4199"/>
        <v>0</v>
      </c>
      <c r="EG205">
        <f t="shared" si="4200"/>
        <v>0</v>
      </c>
      <c r="EH205">
        <f t="shared" si="4201"/>
        <v>0</v>
      </c>
      <c r="EI205">
        <f t="shared" si="4202"/>
        <v>0</v>
      </c>
      <c r="EJ205">
        <f t="shared" si="4203"/>
        <v>0</v>
      </c>
      <c r="EK205">
        <f t="shared" si="4204"/>
        <v>0</v>
      </c>
      <c r="EL205">
        <f t="shared" si="4205"/>
        <v>0</v>
      </c>
      <c r="EM205">
        <f t="shared" si="4206"/>
        <v>6.0000000000000001E-3</v>
      </c>
      <c r="EN205">
        <f t="shared" si="4207"/>
        <v>0</v>
      </c>
      <c r="EO205">
        <f t="shared" si="4208"/>
        <v>0</v>
      </c>
      <c r="EP205">
        <f t="shared" si="4209"/>
        <v>6.0000000000000001E-3</v>
      </c>
      <c r="EQ205">
        <f t="shared" si="4210"/>
        <v>0</v>
      </c>
      <c r="ER205">
        <f t="shared" si="4211"/>
        <v>0</v>
      </c>
      <c r="ES205">
        <f t="shared" si="4212"/>
        <v>1.2E-2</v>
      </c>
      <c r="ET205">
        <f t="shared" si="4213"/>
        <v>8.9999999999999993E-3</v>
      </c>
      <c r="EU205">
        <f t="shared" si="4214"/>
        <v>1.5E-3</v>
      </c>
      <c r="EV205">
        <f t="shared" si="4215"/>
        <v>0</v>
      </c>
      <c r="EW205">
        <f t="shared" si="4216"/>
        <v>0</v>
      </c>
      <c r="EX205">
        <f t="shared" si="4217"/>
        <v>0</v>
      </c>
      <c r="EY205">
        <f t="shared" si="4218"/>
        <v>3.0000000000000001E-3</v>
      </c>
      <c r="EZ205">
        <f t="shared" si="4219"/>
        <v>6.3</v>
      </c>
      <c r="FA205">
        <f t="shared" si="4220"/>
        <v>18.600000000000001</v>
      </c>
      <c r="FB205">
        <f t="shared" si="4221"/>
        <v>12</v>
      </c>
      <c r="FC205">
        <f t="shared" si="4222"/>
        <v>27.9</v>
      </c>
      <c r="FD205">
        <f t="shared" si="4223"/>
        <v>18</v>
      </c>
      <c r="FE205">
        <f t="shared" si="4224"/>
        <v>5.0999999999999996</v>
      </c>
      <c r="FF205">
        <f t="shared" si="4225"/>
        <v>6</v>
      </c>
      <c r="FG205">
        <f t="shared" si="4226"/>
        <v>16.2</v>
      </c>
      <c r="FH205">
        <f t="shared" si="4227"/>
        <v>15</v>
      </c>
      <c r="FI205">
        <f t="shared" si="4228"/>
        <v>18</v>
      </c>
      <c r="FJ205">
        <f t="shared" si="4229"/>
        <v>18</v>
      </c>
      <c r="FK205">
        <f t="shared" si="4230"/>
        <v>9.9</v>
      </c>
      <c r="FL205">
        <f t="shared" si="4231"/>
        <v>23.4</v>
      </c>
      <c r="FM205">
        <f t="shared" si="4232"/>
        <v>37.5</v>
      </c>
      <c r="FN205">
        <f t="shared" si="4233"/>
        <v>77.400000000000006</v>
      </c>
      <c r="FO205">
        <f t="shared" si="4234"/>
        <v>23.4</v>
      </c>
      <c r="FP205">
        <f t="shared" si="4235"/>
        <v>15</v>
      </c>
      <c r="FQ205">
        <f t="shared" si="4236"/>
        <v>20.399999999999999</v>
      </c>
      <c r="FR205">
        <f t="shared" si="4237"/>
        <v>0</v>
      </c>
      <c r="FS205">
        <f t="shared" si="4238"/>
        <v>0</v>
      </c>
      <c r="FT205">
        <f t="shared" si="4239"/>
        <v>0</v>
      </c>
      <c r="FU205">
        <f t="shared" si="4240"/>
        <v>0</v>
      </c>
      <c r="FV205">
        <f t="shared" si="4241"/>
        <v>0</v>
      </c>
      <c r="FW205">
        <f t="shared" si="4242"/>
        <v>0</v>
      </c>
    </row>
    <row r="206" spans="1:179" x14ac:dyDescent="0.35">
      <c r="B206" s="72" t="s">
        <v>458</v>
      </c>
      <c r="C206">
        <v>5</v>
      </c>
      <c r="D206" s="6">
        <v>898</v>
      </c>
      <c r="E206" s="6">
        <v>3692</v>
      </c>
      <c r="F206" s="6">
        <v>0.2</v>
      </c>
      <c r="G206" s="6">
        <v>0</v>
      </c>
      <c r="H206" s="6">
        <v>0.2</v>
      </c>
      <c r="I206" s="6">
        <v>99.7</v>
      </c>
      <c r="J206" s="6">
        <v>0</v>
      </c>
      <c r="K206" s="6">
        <v>99.7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0.1</v>
      </c>
      <c r="S206" s="6">
        <v>0.1</v>
      </c>
      <c r="T206" s="6">
        <v>10</v>
      </c>
      <c r="U206" s="6">
        <v>2</v>
      </c>
      <c r="V206" s="6">
        <v>20</v>
      </c>
      <c r="W206" s="6">
        <v>0</v>
      </c>
      <c r="X206" s="51">
        <v>5.0000000000000001E-3</v>
      </c>
      <c r="Y206" s="51">
        <v>0.5</v>
      </c>
      <c r="Z206" s="51">
        <v>5.0000000000000001E-3</v>
      </c>
      <c r="AA206" s="51">
        <v>0.05</v>
      </c>
      <c r="AB206" s="51">
        <v>0.5</v>
      </c>
      <c r="AC206" s="51">
        <v>0.5</v>
      </c>
      <c r="AD206" s="51">
        <v>5.0000000000000001E-3</v>
      </c>
      <c r="AE206" s="51">
        <v>0.5</v>
      </c>
      <c r="AF206" s="6">
        <v>0.01</v>
      </c>
      <c r="AG206" s="6">
        <v>7.0000000000000007E-2</v>
      </c>
      <c r="AH206" s="6">
        <v>0</v>
      </c>
      <c r="AI206" s="6">
        <v>0.1</v>
      </c>
      <c r="AJ206" s="51">
        <v>5.0000000000000001E-3</v>
      </c>
      <c r="AK206" s="51">
        <v>0.5</v>
      </c>
      <c r="AL206" s="51">
        <v>5.0000000000000001E-3</v>
      </c>
      <c r="AM206" s="51">
        <v>0.05</v>
      </c>
      <c r="AN206" s="6">
        <v>0</v>
      </c>
      <c r="AO206" s="51">
        <v>0.5</v>
      </c>
      <c r="AP206" s="6">
        <v>0</v>
      </c>
      <c r="AQ206" s="51">
        <v>0.5</v>
      </c>
      <c r="AR206" s="6">
        <v>4.09</v>
      </c>
      <c r="AS206" s="6">
        <v>0</v>
      </c>
      <c r="AT206" s="55">
        <v>13.6</v>
      </c>
      <c r="AU206" s="6">
        <v>13.15</v>
      </c>
      <c r="AV206" s="6">
        <v>0</v>
      </c>
      <c r="AW206" s="6">
        <v>0</v>
      </c>
      <c r="AX206" s="6">
        <v>0</v>
      </c>
      <c r="AY206" s="6">
        <v>8.5</v>
      </c>
      <c r="AZ206" s="6">
        <v>4.1500000000000004</v>
      </c>
      <c r="BA206" s="6">
        <v>0.5</v>
      </c>
      <c r="BB206" s="6">
        <v>0</v>
      </c>
      <c r="BC206" s="6">
        <v>40.1</v>
      </c>
      <c r="BD206" s="6">
        <v>0</v>
      </c>
      <c r="BE206" s="6">
        <v>0.2</v>
      </c>
      <c r="BF206" s="6">
        <v>39.700000000000003</v>
      </c>
      <c r="BG206" s="6">
        <v>0.2</v>
      </c>
      <c r="BH206" s="6">
        <v>0</v>
      </c>
      <c r="BI206" s="6">
        <v>42.2</v>
      </c>
      <c r="BJ206" s="6">
        <v>41.9</v>
      </c>
      <c r="BK206" s="6">
        <v>0.3</v>
      </c>
      <c r="BL206" s="6">
        <v>0</v>
      </c>
      <c r="BM206" s="6">
        <v>0</v>
      </c>
      <c r="BN206" s="6">
        <v>0</v>
      </c>
      <c r="BO206" s="6">
        <v>0</v>
      </c>
      <c r="BP206" s="74">
        <v>0.5</v>
      </c>
      <c r="BQ206" s="74">
        <v>0.5</v>
      </c>
      <c r="BR206" s="74">
        <v>0.5</v>
      </c>
      <c r="BS206" s="74">
        <v>0.5</v>
      </c>
      <c r="BT206" s="74">
        <v>0.5</v>
      </c>
      <c r="BU206" s="74">
        <v>0.5</v>
      </c>
      <c r="BV206" s="74">
        <v>0.5</v>
      </c>
      <c r="BW206" s="74">
        <v>0.5</v>
      </c>
      <c r="BX206" s="74">
        <v>0.5</v>
      </c>
      <c r="BY206" s="74">
        <v>0.5</v>
      </c>
      <c r="BZ206" s="74">
        <v>0.5</v>
      </c>
      <c r="CA206" s="74">
        <v>0.5</v>
      </c>
      <c r="CB206" s="74">
        <v>0.5</v>
      </c>
      <c r="CC206" s="74">
        <v>0.5</v>
      </c>
      <c r="CD206" s="74">
        <v>0.5</v>
      </c>
      <c r="CE206" s="74">
        <v>0.5</v>
      </c>
      <c r="CF206" s="74">
        <v>0.5</v>
      </c>
      <c r="CG206" s="74">
        <v>0.5</v>
      </c>
      <c r="CH206" s="6">
        <v>0</v>
      </c>
      <c r="CI206" s="6">
        <v>0</v>
      </c>
      <c r="CJ206" s="6">
        <v>0</v>
      </c>
      <c r="CK206" s="6">
        <v>0</v>
      </c>
      <c r="CL206" s="6">
        <v>0</v>
      </c>
      <c r="CM206" s="6">
        <v>0</v>
      </c>
      <c r="CN206">
        <f t="shared" si="4155"/>
        <v>44.9</v>
      </c>
      <c r="CO206">
        <f t="shared" si="4156"/>
        <v>184.6</v>
      </c>
      <c r="CP206">
        <f t="shared" si="4157"/>
        <v>0.01</v>
      </c>
      <c r="CQ206">
        <f t="shared" si="4158"/>
        <v>0</v>
      </c>
      <c r="CR206">
        <f t="shared" si="4159"/>
        <v>0.01</v>
      </c>
      <c r="CS206">
        <f t="shared" si="4160"/>
        <v>4.9850000000000003</v>
      </c>
      <c r="CT206">
        <f t="shared" si="4161"/>
        <v>0</v>
      </c>
      <c r="CU206">
        <f t="shared" si="4162"/>
        <v>4.9850000000000003</v>
      </c>
      <c r="CV206">
        <f t="shared" si="4163"/>
        <v>0</v>
      </c>
      <c r="CW206">
        <f t="shared" si="4164"/>
        <v>0</v>
      </c>
      <c r="CX206">
        <f t="shared" si="4165"/>
        <v>0</v>
      </c>
      <c r="CY206">
        <f t="shared" si="4166"/>
        <v>0</v>
      </c>
      <c r="CZ206">
        <f t="shared" si="4167"/>
        <v>0</v>
      </c>
      <c r="DA206">
        <f t="shared" si="4168"/>
        <v>0</v>
      </c>
      <c r="DB206">
        <f t="shared" si="4169"/>
        <v>5.0000000000000001E-3</v>
      </c>
      <c r="DC206">
        <f t="shared" si="4170"/>
        <v>5.0000000000000001E-3</v>
      </c>
      <c r="DD206">
        <f t="shared" si="4171"/>
        <v>0.5</v>
      </c>
      <c r="DE206">
        <f t="shared" si="4172"/>
        <v>0.1</v>
      </c>
      <c r="DF206">
        <f t="shared" si="4173"/>
        <v>1</v>
      </c>
      <c r="DG206">
        <f t="shared" si="4174"/>
        <v>0</v>
      </c>
      <c r="DH206">
        <f t="shared" si="4175"/>
        <v>2.5000000000000001E-4</v>
      </c>
      <c r="DI206">
        <f t="shared" si="4176"/>
        <v>2.5000000000000001E-2</v>
      </c>
      <c r="DJ206">
        <f t="shared" si="4177"/>
        <v>2.5000000000000001E-4</v>
      </c>
      <c r="DK206">
        <f t="shared" si="4178"/>
        <v>2.5000000000000001E-3</v>
      </c>
      <c r="DL206">
        <f t="shared" si="4179"/>
        <v>2.5000000000000001E-2</v>
      </c>
      <c r="DM206">
        <f t="shared" si="4180"/>
        <v>2.5000000000000001E-2</v>
      </c>
      <c r="DN206">
        <f t="shared" si="4181"/>
        <v>2.5000000000000001E-4</v>
      </c>
      <c r="DO206">
        <f t="shared" si="4182"/>
        <v>2.5000000000000001E-2</v>
      </c>
      <c r="DP206">
        <f t="shared" si="4183"/>
        <v>5.0000000000000001E-4</v>
      </c>
      <c r="DQ206">
        <f t="shared" si="4184"/>
        <v>3.5000000000000005E-3</v>
      </c>
      <c r="DR206">
        <f t="shared" si="4185"/>
        <v>0</v>
      </c>
      <c r="DS206">
        <f t="shared" si="4186"/>
        <v>5.0000000000000001E-3</v>
      </c>
      <c r="DT206">
        <f t="shared" si="4187"/>
        <v>2.5000000000000001E-4</v>
      </c>
      <c r="DU206">
        <f t="shared" si="4188"/>
        <v>2.5000000000000001E-2</v>
      </c>
      <c r="DV206">
        <f t="shared" si="4189"/>
        <v>2.5000000000000001E-4</v>
      </c>
      <c r="DW206">
        <f t="shared" si="4190"/>
        <v>2.5000000000000001E-3</v>
      </c>
      <c r="DX206">
        <f t="shared" si="4191"/>
        <v>0</v>
      </c>
      <c r="DY206">
        <f t="shared" si="4192"/>
        <v>2.5000000000000001E-2</v>
      </c>
      <c r="DZ206">
        <f t="shared" si="4193"/>
        <v>0</v>
      </c>
      <c r="EA206">
        <f t="shared" si="4194"/>
        <v>2.5000000000000001E-2</v>
      </c>
      <c r="EB206">
        <f t="shared" si="4195"/>
        <v>0.20449999999999999</v>
      </c>
      <c r="EC206">
        <f t="shared" si="4196"/>
        <v>0</v>
      </c>
      <c r="ED206">
        <f t="shared" si="4197"/>
        <v>0.68</v>
      </c>
      <c r="EE206">
        <f t="shared" si="4198"/>
        <v>0.65749999999999997</v>
      </c>
      <c r="EF206">
        <f t="shared" si="4199"/>
        <v>0</v>
      </c>
      <c r="EG206">
        <f t="shared" si="4200"/>
        <v>0</v>
      </c>
      <c r="EH206">
        <f t="shared" si="4201"/>
        <v>0</v>
      </c>
      <c r="EI206">
        <f t="shared" si="4202"/>
        <v>0.42499999999999999</v>
      </c>
      <c r="EJ206">
        <f t="shared" si="4203"/>
        <v>0.20749999999999999</v>
      </c>
      <c r="EK206">
        <f t="shared" si="4204"/>
        <v>2.5000000000000001E-2</v>
      </c>
      <c r="EL206">
        <f t="shared" si="4205"/>
        <v>0</v>
      </c>
      <c r="EM206">
        <f t="shared" si="4206"/>
        <v>2.0049999999999999</v>
      </c>
      <c r="EN206">
        <f t="shared" si="4207"/>
        <v>0</v>
      </c>
      <c r="EO206">
        <f t="shared" si="4208"/>
        <v>0.01</v>
      </c>
      <c r="EP206">
        <f t="shared" si="4209"/>
        <v>1.9850000000000001</v>
      </c>
      <c r="EQ206">
        <f t="shared" si="4210"/>
        <v>0.01</v>
      </c>
      <c r="ER206">
        <f t="shared" si="4211"/>
        <v>0</v>
      </c>
      <c r="ES206">
        <f t="shared" si="4212"/>
        <v>2.11</v>
      </c>
      <c r="ET206">
        <f t="shared" si="4213"/>
        <v>2.0950000000000002</v>
      </c>
      <c r="EU206">
        <f t="shared" si="4214"/>
        <v>1.4999999999999999E-2</v>
      </c>
      <c r="EV206">
        <f t="shared" si="4215"/>
        <v>0</v>
      </c>
      <c r="EW206">
        <f t="shared" si="4216"/>
        <v>0</v>
      </c>
      <c r="EX206">
        <f t="shared" si="4217"/>
        <v>0</v>
      </c>
      <c r="EY206">
        <f t="shared" si="4218"/>
        <v>0</v>
      </c>
      <c r="EZ206">
        <f t="shared" si="4219"/>
        <v>2.5000000000000001E-2</v>
      </c>
      <c r="FA206">
        <f t="shared" si="4220"/>
        <v>2.5000000000000001E-2</v>
      </c>
      <c r="FB206">
        <f t="shared" si="4221"/>
        <v>2.5000000000000001E-2</v>
      </c>
      <c r="FC206">
        <f t="shared" si="4222"/>
        <v>2.5000000000000001E-2</v>
      </c>
      <c r="FD206">
        <f t="shared" si="4223"/>
        <v>2.5000000000000001E-2</v>
      </c>
      <c r="FE206">
        <f t="shared" si="4224"/>
        <v>2.5000000000000001E-2</v>
      </c>
      <c r="FF206">
        <f t="shared" si="4225"/>
        <v>2.5000000000000001E-2</v>
      </c>
      <c r="FG206">
        <f t="shared" si="4226"/>
        <v>2.5000000000000001E-2</v>
      </c>
      <c r="FH206">
        <f t="shared" si="4227"/>
        <v>2.5000000000000001E-2</v>
      </c>
      <c r="FI206">
        <f t="shared" si="4228"/>
        <v>2.5000000000000001E-2</v>
      </c>
      <c r="FJ206">
        <f t="shared" si="4229"/>
        <v>2.5000000000000001E-2</v>
      </c>
      <c r="FK206">
        <f t="shared" si="4230"/>
        <v>2.5000000000000001E-2</v>
      </c>
      <c r="FL206">
        <f t="shared" si="4231"/>
        <v>2.5000000000000001E-2</v>
      </c>
      <c r="FM206">
        <f t="shared" si="4232"/>
        <v>2.5000000000000001E-2</v>
      </c>
      <c r="FN206">
        <f t="shared" si="4233"/>
        <v>2.5000000000000001E-2</v>
      </c>
      <c r="FO206">
        <f t="shared" si="4234"/>
        <v>2.5000000000000001E-2</v>
      </c>
      <c r="FP206">
        <f t="shared" si="4235"/>
        <v>2.5000000000000001E-2</v>
      </c>
      <c r="FQ206">
        <f t="shared" si="4236"/>
        <v>2.5000000000000001E-2</v>
      </c>
      <c r="FR206">
        <f t="shared" si="4237"/>
        <v>0</v>
      </c>
      <c r="FS206">
        <f t="shared" si="4238"/>
        <v>0</v>
      </c>
      <c r="FT206">
        <f t="shared" si="4239"/>
        <v>0</v>
      </c>
      <c r="FU206">
        <f t="shared" si="4240"/>
        <v>0</v>
      </c>
      <c r="FV206">
        <f t="shared" si="4241"/>
        <v>0</v>
      </c>
      <c r="FW206">
        <f t="shared" si="4242"/>
        <v>0</v>
      </c>
    </row>
    <row r="207" spans="1:179" x14ac:dyDescent="0.35">
      <c r="B207" s="72" t="s">
        <v>459</v>
      </c>
      <c r="C207">
        <v>5</v>
      </c>
      <c r="D207" s="54">
        <v>62</v>
      </c>
      <c r="E207" s="54">
        <v>265</v>
      </c>
      <c r="F207" s="54">
        <v>10.5</v>
      </c>
      <c r="G207" s="54">
        <v>0</v>
      </c>
      <c r="H207" s="54">
        <v>10.5</v>
      </c>
      <c r="I207" s="54">
        <v>0.1</v>
      </c>
      <c r="J207" s="54">
        <v>0</v>
      </c>
      <c r="K207" s="54">
        <v>0.1</v>
      </c>
      <c r="L207" s="54">
        <v>0</v>
      </c>
      <c r="M207" s="54">
        <v>4.8</v>
      </c>
      <c r="N207" s="54">
        <v>0.5</v>
      </c>
      <c r="O207" s="54">
        <v>4.3</v>
      </c>
      <c r="P207" s="54">
        <v>0.8</v>
      </c>
      <c r="Q207" s="54">
        <v>0</v>
      </c>
      <c r="R207" s="54">
        <v>66</v>
      </c>
      <c r="S207" s="54">
        <v>2.4</v>
      </c>
      <c r="T207" s="54">
        <v>20</v>
      </c>
      <c r="U207" s="54">
        <v>5586</v>
      </c>
      <c r="V207" s="54">
        <v>212</v>
      </c>
      <c r="W207" s="54">
        <v>130</v>
      </c>
      <c r="X207" s="54">
        <v>0.4</v>
      </c>
      <c r="Y207" s="81">
        <v>0</v>
      </c>
      <c r="Z207" s="81">
        <v>0</v>
      </c>
      <c r="AA207" s="81">
        <v>0</v>
      </c>
      <c r="AB207" s="81">
        <v>0</v>
      </c>
      <c r="AC207" s="81">
        <v>0</v>
      </c>
      <c r="AD207" s="81">
        <v>0</v>
      </c>
      <c r="AE207" s="81">
        <v>0</v>
      </c>
      <c r="AF207" s="54">
        <v>0.06</v>
      </c>
      <c r="AG207" s="54">
        <v>0.15</v>
      </c>
      <c r="AH207" s="54">
        <v>0</v>
      </c>
      <c r="AI207" s="54">
        <v>4</v>
      </c>
      <c r="AJ207" s="54">
        <v>0.2</v>
      </c>
      <c r="AK207" s="54">
        <v>18</v>
      </c>
      <c r="AL207" s="81">
        <v>0</v>
      </c>
      <c r="AM207" s="81">
        <v>0</v>
      </c>
      <c r="AN207" s="81">
        <v>0</v>
      </c>
      <c r="AO207" s="54">
        <v>0</v>
      </c>
      <c r="AP207" s="54">
        <v>0</v>
      </c>
      <c r="AQ207" s="54">
        <v>0</v>
      </c>
      <c r="AR207" s="54">
        <v>0</v>
      </c>
      <c r="AS207" s="54">
        <v>0</v>
      </c>
      <c r="AT207" s="81">
        <v>0</v>
      </c>
      <c r="AU207" s="54">
        <v>0.01</v>
      </c>
      <c r="AV207" s="81">
        <v>0</v>
      </c>
      <c r="AW207" s="81">
        <v>0</v>
      </c>
      <c r="AX207" s="81">
        <v>0</v>
      </c>
      <c r="AY207" s="81">
        <v>0</v>
      </c>
      <c r="AZ207" s="81">
        <v>0</v>
      </c>
      <c r="BA207" s="81">
        <v>0</v>
      </c>
      <c r="BB207" s="81">
        <v>0</v>
      </c>
      <c r="BC207" s="54">
        <v>0.02</v>
      </c>
      <c r="BD207" s="82">
        <v>0</v>
      </c>
      <c r="BE207" s="82">
        <v>0</v>
      </c>
      <c r="BF207" s="54">
        <v>0.02</v>
      </c>
      <c r="BG207" s="82">
        <v>0</v>
      </c>
      <c r="BH207" s="82">
        <v>0</v>
      </c>
      <c r="BI207" s="54">
        <v>0.04</v>
      </c>
      <c r="BJ207" s="54">
        <v>0.04</v>
      </c>
      <c r="BK207" s="54">
        <v>0</v>
      </c>
      <c r="BL207" s="82">
        <v>0</v>
      </c>
      <c r="BM207" s="82">
        <v>0</v>
      </c>
      <c r="BN207" s="82">
        <v>0</v>
      </c>
      <c r="BO207" s="54">
        <v>0</v>
      </c>
      <c r="BP207" s="56">
        <v>181</v>
      </c>
      <c r="BQ207" s="56">
        <v>407</v>
      </c>
      <c r="BR207" s="56">
        <v>487</v>
      </c>
      <c r="BS207" s="56">
        <v>734</v>
      </c>
      <c r="BT207" s="56">
        <v>730</v>
      </c>
      <c r="BU207" s="56">
        <v>167</v>
      </c>
      <c r="BV207" s="56">
        <v>107</v>
      </c>
      <c r="BW207" s="56">
        <v>533</v>
      </c>
      <c r="BX207" s="56">
        <v>342</v>
      </c>
      <c r="BY207" s="56">
        <v>524</v>
      </c>
      <c r="BZ207" s="56">
        <v>405</v>
      </c>
      <c r="CA207" s="56">
        <v>215</v>
      </c>
      <c r="CB207" s="56">
        <v>535</v>
      </c>
      <c r="CC207" s="56">
        <v>881</v>
      </c>
      <c r="CD207" s="56">
        <v>2409</v>
      </c>
      <c r="CE207" s="56">
        <v>435</v>
      </c>
      <c r="CF207" s="56">
        <v>805</v>
      </c>
      <c r="CG207" s="56">
        <v>483</v>
      </c>
      <c r="CH207" s="81">
        <v>0</v>
      </c>
      <c r="CI207" s="81">
        <v>0</v>
      </c>
      <c r="CJ207" s="83">
        <v>0</v>
      </c>
      <c r="CK207" s="81">
        <v>0</v>
      </c>
      <c r="CL207" s="81">
        <v>0</v>
      </c>
      <c r="CM207" s="83">
        <v>0</v>
      </c>
      <c r="CN207">
        <f t="shared" si="4155"/>
        <v>3.1</v>
      </c>
      <c r="CO207">
        <f t="shared" si="4156"/>
        <v>13.25</v>
      </c>
      <c r="CP207">
        <f t="shared" si="4157"/>
        <v>0.52500000000000002</v>
      </c>
      <c r="CQ207">
        <f t="shared" si="4158"/>
        <v>0</v>
      </c>
      <c r="CR207">
        <f t="shared" si="4159"/>
        <v>0.52500000000000002</v>
      </c>
      <c r="CS207">
        <f t="shared" si="4160"/>
        <v>5.0000000000000001E-3</v>
      </c>
      <c r="CT207">
        <f t="shared" si="4161"/>
        <v>0</v>
      </c>
      <c r="CU207">
        <f t="shared" si="4162"/>
        <v>5.0000000000000001E-3</v>
      </c>
      <c r="CV207">
        <f t="shared" si="4163"/>
        <v>0</v>
      </c>
      <c r="CW207">
        <f t="shared" si="4164"/>
        <v>0.24</v>
      </c>
      <c r="CX207">
        <f t="shared" si="4165"/>
        <v>2.5000000000000001E-2</v>
      </c>
      <c r="CY207">
        <f t="shared" si="4166"/>
        <v>0.215</v>
      </c>
      <c r="CZ207">
        <f t="shared" si="4167"/>
        <v>0.04</v>
      </c>
      <c r="DA207">
        <f t="shared" si="4168"/>
        <v>0</v>
      </c>
      <c r="DB207">
        <f t="shared" si="4169"/>
        <v>3.3</v>
      </c>
      <c r="DC207">
        <f t="shared" si="4170"/>
        <v>0.12</v>
      </c>
      <c r="DD207">
        <f t="shared" si="4171"/>
        <v>1</v>
      </c>
      <c r="DE207">
        <f t="shared" si="4172"/>
        <v>279.3</v>
      </c>
      <c r="DF207">
        <f t="shared" si="4173"/>
        <v>10.6</v>
      </c>
      <c r="DG207">
        <f t="shared" si="4174"/>
        <v>6.5</v>
      </c>
      <c r="DH207">
        <f t="shared" si="4175"/>
        <v>0.02</v>
      </c>
      <c r="DI207">
        <f t="shared" si="4176"/>
        <v>0</v>
      </c>
      <c r="DJ207">
        <f t="shared" si="4177"/>
        <v>0</v>
      </c>
      <c r="DK207">
        <f t="shared" si="4178"/>
        <v>0</v>
      </c>
      <c r="DL207">
        <f t="shared" si="4179"/>
        <v>0</v>
      </c>
      <c r="DM207">
        <f t="shared" si="4180"/>
        <v>0</v>
      </c>
      <c r="DN207">
        <f t="shared" si="4181"/>
        <v>0</v>
      </c>
      <c r="DO207">
        <f t="shared" si="4182"/>
        <v>0</v>
      </c>
      <c r="DP207">
        <f t="shared" si="4183"/>
        <v>3.0000000000000001E-3</v>
      </c>
      <c r="DQ207">
        <f t="shared" si="4184"/>
        <v>7.4999999999999997E-3</v>
      </c>
      <c r="DR207">
        <f t="shared" si="4185"/>
        <v>0</v>
      </c>
      <c r="DS207">
        <f t="shared" si="4186"/>
        <v>0.2</v>
      </c>
      <c r="DT207">
        <f t="shared" si="4187"/>
        <v>0.01</v>
      </c>
      <c r="DU207">
        <f t="shared" si="4188"/>
        <v>0.9</v>
      </c>
      <c r="DV207">
        <f t="shared" si="4189"/>
        <v>0</v>
      </c>
      <c r="DW207">
        <f t="shared" si="4190"/>
        <v>0</v>
      </c>
      <c r="DX207">
        <f t="shared" si="4191"/>
        <v>0</v>
      </c>
      <c r="DY207">
        <f t="shared" si="4192"/>
        <v>0</v>
      </c>
      <c r="DZ207">
        <f t="shared" si="4193"/>
        <v>0</v>
      </c>
      <c r="EA207">
        <f t="shared" si="4194"/>
        <v>0</v>
      </c>
      <c r="EB207">
        <f t="shared" si="4195"/>
        <v>0</v>
      </c>
      <c r="EC207">
        <f t="shared" si="4196"/>
        <v>0</v>
      </c>
      <c r="ED207">
        <f t="shared" si="4197"/>
        <v>0</v>
      </c>
      <c r="EE207">
        <f t="shared" si="4198"/>
        <v>5.0000000000000001E-4</v>
      </c>
      <c r="EF207">
        <f t="shared" si="4199"/>
        <v>0</v>
      </c>
      <c r="EG207">
        <f t="shared" si="4200"/>
        <v>0</v>
      </c>
      <c r="EH207">
        <f t="shared" si="4201"/>
        <v>0</v>
      </c>
      <c r="EI207">
        <f t="shared" si="4202"/>
        <v>0</v>
      </c>
      <c r="EJ207">
        <f t="shared" si="4203"/>
        <v>0</v>
      </c>
      <c r="EK207">
        <f t="shared" si="4204"/>
        <v>0</v>
      </c>
      <c r="EL207">
        <f t="shared" si="4205"/>
        <v>0</v>
      </c>
      <c r="EM207">
        <f t="shared" si="4206"/>
        <v>1E-3</v>
      </c>
      <c r="EN207">
        <f t="shared" si="4207"/>
        <v>0</v>
      </c>
      <c r="EO207">
        <f t="shared" si="4208"/>
        <v>0</v>
      </c>
      <c r="EP207">
        <f t="shared" si="4209"/>
        <v>1E-3</v>
      </c>
      <c r="EQ207">
        <f t="shared" si="4210"/>
        <v>0</v>
      </c>
      <c r="ER207">
        <f t="shared" si="4211"/>
        <v>0</v>
      </c>
      <c r="ES207">
        <f t="shared" si="4212"/>
        <v>2E-3</v>
      </c>
      <c r="ET207">
        <f t="shared" si="4213"/>
        <v>2E-3</v>
      </c>
      <c r="EU207">
        <f t="shared" si="4214"/>
        <v>0</v>
      </c>
      <c r="EV207">
        <f t="shared" si="4215"/>
        <v>0</v>
      </c>
      <c r="EW207">
        <f t="shared" si="4216"/>
        <v>0</v>
      </c>
      <c r="EX207">
        <f t="shared" si="4217"/>
        <v>0</v>
      </c>
      <c r="EY207">
        <f t="shared" si="4218"/>
        <v>0</v>
      </c>
      <c r="EZ207">
        <f t="shared" si="4219"/>
        <v>9.0500000000000007</v>
      </c>
      <c r="FA207">
        <f t="shared" si="4220"/>
        <v>20.350000000000001</v>
      </c>
      <c r="FB207">
        <f t="shared" si="4221"/>
        <v>24.35</v>
      </c>
      <c r="FC207">
        <f t="shared" si="4222"/>
        <v>36.700000000000003</v>
      </c>
      <c r="FD207">
        <f t="shared" si="4223"/>
        <v>36.5</v>
      </c>
      <c r="FE207">
        <f t="shared" si="4224"/>
        <v>8.35</v>
      </c>
      <c r="FF207">
        <f t="shared" si="4225"/>
        <v>5.35</v>
      </c>
      <c r="FG207">
        <f t="shared" si="4226"/>
        <v>26.65</v>
      </c>
      <c r="FH207">
        <f t="shared" si="4227"/>
        <v>17.100000000000001</v>
      </c>
      <c r="FI207">
        <f t="shared" si="4228"/>
        <v>26.2</v>
      </c>
      <c r="FJ207">
        <f t="shared" si="4229"/>
        <v>20.25</v>
      </c>
      <c r="FK207">
        <f t="shared" si="4230"/>
        <v>10.75</v>
      </c>
      <c r="FL207">
        <f t="shared" si="4231"/>
        <v>26.75</v>
      </c>
      <c r="FM207">
        <f t="shared" si="4232"/>
        <v>44.05</v>
      </c>
      <c r="FN207">
        <f t="shared" si="4233"/>
        <v>120.45</v>
      </c>
      <c r="FO207">
        <f t="shared" si="4234"/>
        <v>21.75</v>
      </c>
      <c r="FP207">
        <f t="shared" si="4235"/>
        <v>40.25</v>
      </c>
      <c r="FQ207">
        <f t="shared" si="4236"/>
        <v>24.15</v>
      </c>
      <c r="FR207">
        <f t="shared" si="4237"/>
        <v>0</v>
      </c>
      <c r="FS207">
        <f t="shared" si="4238"/>
        <v>0</v>
      </c>
      <c r="FT207">
        <f t="shared" si="4239"/>
        <v>0</v>
      </c>
      <c r="FU207">
        <f t="shared" si="4240"/>
        <v>0</v>
      </c>
      <c r="FV207">
        <f t="shared" si="4241"/>
        <v>0</v>
      </c>
      <c r="FW207">
        <f t="shared" si="4242"/>
        <v>0</v>
      </c>
    </row>
    <row r="208" spans="1:179" x14ac:dyDescent="0.35">
      <c r="C208">
        <f>SUM(C202:C207)</f>
        <v>100</v>
      </c>
      <c r="CN208">
        <f>SUM(CN202:CN207)</f>
        <v>209.5</v>
      </c>
      <c r="CO208">
        <f t="shared" ref="CO208:EZ208" si="4243">SUM(CO202:CO207)</f>
        <v>874.75</v>
      </c>
      <c r="CP208">
        <f t="shared" si="4243"/>
        <v>7.7450000000000001</v>
      </c>
      <c r="CQ208">
        <f t="shared" si="4243"/>
        <v>4.62</v>
      </c>
      <c r="CR208">
        <f t="shared" si="4243"/>
        <v>3.125</v>
      </c>
      <c r="CS208">
        <f t="shared" si="4243"/>
        <v>13.17</v>
      </c>
      <c r="CT208">
        <f t="shared" si="4243"/>
        <v>8.01</v>
      </c>
      <c r="CU208">
        <f t="shared" si="4243"/>
        <v>5.16</v>
      </c>
      <c r="CV208">
        <f t="shared" si="4243"/>
        <v>18.600000000000001</v>
      </c>
      <c r="CW208">
        <f t="shared" si="4243"/>
        <v>15.58</v>
      </c>
      <c r="CX208">
        <f t="shared" si="4243"/>
        <v>14.005000000000001</v>
      </c>
      <c r="CY208">
        <f t="shared" si="4243"/>
        <v>1.575</v>
      </c>
      <c r="CZ208">
        <f t="shared" si="4243"/>
        <v>0.84000000000000008</v>
      </c>
      <c r="DA208">
        <f t="shared" si="4243"/>
        <v>0</v>
      </c>
      <c r="DB208">
        <f t="shared" si="4243"/>
        <v>60.564999999999998</v>
      </c>
      <c r="DC208">
        <f t="shared" si="4243"/>
        <v>1.4099999999999997</v>
      </c>
      <c r="DD208">
        <f t="shared" si="4243"/>
        <v>32</v>
      </c>
      <c r="DE208">
        <f t="shared" si="4243"/>
        <v>657.6</v>
      </c>
      <c r="DF208">
        <f t="shared" si="4243"/>
        <v>182.65</v>
      </c>
      <c r="DG208">
        <f t="shared" si="4243"/>
        <v>82.350000000000009</v>
      </c>
      <c r="DH208">
        <f t="shared" si="4243"/>
        <v>0.63475000000000004</v>
      </c>
      <c r="DI208">
        <f t="shared" si="4243"/>
        <v>29.424999999999997</v>
      </c>
      <c r="DJ208">
        <f t="shared" si="4243"/>
        <v>5.1750000000000004E-2</v>
      </c>
      <c r="DK208">
        <f t="shared" si="4243"/>
        <v>4.7625000000000002</v>
      </c>
      <c r="DL208">
        <f t="shared" si="4243"/>
        <v>430.67499999999995</v>
      </c>
      <c r="DM208">
        <f t="shared" si="4243"/>
        <v>2.2749999999999999</v>
      </c>
      <c r="DN208">
        <f t="shared" si="4243"/>
        <v>0.18575</v>
      </c>
      <c r="DO208">
        <f t="shared" si="4243"/>
        <v>62.074999999999996</v>
      </c>
      <c r="DP208">
        <f t="shared" si="4243"/>
        <v>0.13450000000000001</v>
      </c>
      <c r="DQ208">
        <f t="shared" si="4243"/>
        <v>8.3000000000000018E-2</v>
      </c>
      <c r="DR208">
        <f t="shared" si="4243"/>
        <v>7.3500000000000005</v>
      </c>
      <c r="DS208">
        <f t="shared" si="4243"/>
        <v>2.145</v>
      </c>
      <c r="DT208">
        <f t="shared" si="4243"/>
        <v>0.10925</v>
      </c>
      <c r="DU208">
        <f t="shared" si="4243"/>
        <v>46.924999999999997</v>
      </c>
      <c r="DV208">
        <f t="shared" si="4243"/>
        <v>0.32324999999999998</v>
      </c>
      <c r="DW208">
        <f t="shared" si="4243"/>
        <v>1.9024999999999999</v>
      </c>
      <c r="DX208">
        <f t="shared" si="4243"/>
        <v>0.3</v>
      </c>
      <c r="DY208">
        <f t="shared" si="4243"/>
        <v>78.925000000000011</v>
      </c>
      <c r="DZ208">
        <f t="shared" si="4243"/>
        <v>0</v>
      </c>
      <c r="EA208">
        <f t="shared" si="4243"/>
        <v>473.42499999999995</v>
      </c>
      <c r="EB208">
        <f t="shared" si="4243"/>
        <v>0.98849999999999993</v>
      </c>
      <c r="EC208">
        <f t="shared" si="4243"/>
        <v>0.27</v>
      </c>
      <c r="ED208">
        <f t="shared" si="4243"/>
        <v>0.93</v>
      </c>
      <c r="EE208">
        <f t="shared" si="4243"/>
        <v>3.5116999999999998</v>
      </c>
      <c r="EF208">
        <f t="shared" si="4243"/>
        <v>0</v>
      </c>
      <c r="EG208">
        <f t="shared" si="4243"/>
        <v>1.6199999999999999E-2</v>
      </c>
      <c r="EH208">
        <f t="shared" si="4243"/>
        <v>0.10529999999999999</v>
      </c>
      <c r="EI208">
        <f t="shared" si="4243"/>
        <v>2.1078000000000001</v>
      </c>
      <c r="EJ208">
        <f t="shared" si="4243"/>
        <v>1.1630999999999998</v>
      </c>
      <c r="EK208">
        <f t="shared" si="4243"/>
        <v>2.6000000000000002E-2</v>
      </c>
      <c r="EL208">
        <f t="shared" si="4243"/>
        <v>0</v>
      </c>
      <c r="EM208">
        <f t="shared" si="4243"/>
        <v>5.1551</v>
      </c>
      <c r="EN208">
        <f t="shared" si="4243"/>
        <v>0</v>
      </c>
      <c r="EO208">
        <f t="shared" si="4243"/>
        <v>0.1406</v>
      </c>
      <c r="EP208">
        <f t="shared" si="4243"/>
        <v>4.8924000000000003</v>
      </c>
      <c r="EQ208">
        <f t="shared" si="4243"/>
        <v>5.1500000000000011E-2</v>
      </c>
      <c r="ER208">
        <f t="shared" si="4243"/>
        <v>0</v>
      </c>
      <c r="ES208">
        <f t="shared" si="4243"/>
        <v>3.4238999999999997</v>
      </c>
      <c r="ET208">
        <f t="shared" si="4243"/>
        <v>3.0137</v>
      </c>
      <c r="EU208">
        <f t="shared" si="4243"/>
        <v>8.3299999999999999E-2</v>
      </c>
      <c r="EV208">
        <f t="shared" si="4243"/>
        <v>9.820000000000001E-2</v>
      </c>
      <c r="EW208">
        <f t="shared" si="4243"/>
        <v>8.0999999999999996E-3</v>
      </c>
      <c r="EX208">
        <f t="shared" si="4243"/>
        <v>0</v>
      </c>
      <c r="EY208">
        <f t="shared" si="4243"/>
        <v>0.22199999999999998</v>
      </c>
      <c r="EZ208">
        <f t="shared" si="4243"/>
        <v>78.174999999999997</v>
      </c>
      <c r="FA208">
        <f t="shared" ref="FA208:FW208" si="4244">SUM(FA202:FA207)</f>
        <v>296.875</v>
      </c>
      <c r="FB208">
        <f t="shared" si="4244"/>
        <v>338.07499999999999</v>
      </c>
      <c r="FC208">
        <f t="shared" si="4244"/>
        <v>583.625</v>
      </c>
      <c r="FD208">
        <f t="shared" si="4244"/>
        <v>481.82499999999999</v>
      </c>
      <c r="FE208">
        <f t="shared" si="4244"/>
        <v>164.77500000000001</v>
      </c>
      <c r="FF208">
        <f t="shared" si="4244"/>
        <v>126.07499999999999</v>
      </c>
      <c r="FG208">
        <f t="shared" si="4244"/>
        <v>329.07499999999993</v>
      </c>
      <c r="FH208">
        <f t="shared" si="4244"/>
        <v>257.125</v>
      </c>
      <c r="FI208">
        <f t="shared" si="4244"/>
        <v>378.22499999999997</v>
      </c>
      <c r="FJ208">
        <f t="shared" si="4244"/>
        <v>424.87499999999994</v>
      </c>
      <c r="FK208">
        <f t="shared" si="4244"/>
        <v>235.77500000000001</v>
      </c>
      <c r="FL208">
        <f t="shared" si="4244"/>
        <v>411.97499999999997</v>
      </c>
      <c r="FM208">
        <f t="shared" si="4244"/>
        <v>566.17499999999984</v>
      </c>
      <c r="FN208">
        <f t="shared" si="4244"/>
        <v>1711.7750000000003</v>
      </c>
      <c r="FO208">
        <f t="shared" si="4244"/>
        <v>403.47499999999991</v>
      </c>
      <c r="FP208">
        <f t="shared" si="4244"/>
        <v>579.875</v>
      </c>
      <c r="FQ208">
        <f t="shared" si="4244"/>
        <v>345.77499999999992</v>
      </c>
      <c r="FR208">
        <f t="shared" si="4244"/>
        <v>0.19</v>
      </c>
      <c r="FS208">
        <f t="shared" si="4244"/>
        <v>0.01</v>
      </c>
      <c r="FT208">
        <f t="shared" si="4244"/>
        <v>0</v>
      </c>
      <c r="FU208">
        <f t="shared" si="4244"/>
        <v>0.28000000000000003</v>
      </c>
      <c r="FV208">
        <f t="shared" si="4244"/>
        <v>0.06</v>
      </c>
      <c r="FW208">
        <f t="shared" si="4244"/>
        <v>0</v>
      </c>
    </row>
    <row r="210" spans="1:179" x14ac:dyDescent="0.35">
      <c r="A210" s="80" t="s">
        <v>460</v>
      </c>
      <c r="B210" s="71" t="s">
        <v>238</v>
      </c>
      <c r="C210">
        <v>5</v>
      </c>
      <c r="D210" s="6">
        <v>758</v>
      </c>
      <c r="E210" s="6">
        <v>3117</v>
      </c>
      <c r="F210" s="6">
        <v>0.8</v>
      </c>
      <c r="G210" s="6">
        <v>0.8</v>
      </c>
      <c r="H210" s="6">
        <v>0</v>
      </c>
      <c r="I210" s="6">
        <v>83.4</v>
      </c>
      <c r="J210" s="6">
        <v>83.4</v>
      </c>
      <c r="K210" s="6">
        <v>0</v>
      </c>
      <c r="L210" s="6">
        <v>250</v>
      </c>
      <c r="M210" s="6">
        <v>1.1000000000000001</v>
      </c>
      <c r="N210" s="6">
        <v>0</v>
      </c>
      <c r="O210" s="6">
        <v>1.1000000000000001</v>
      </c>
      <c r="P210" s="6">
        <v>0</v>
      </c>
      <c r="Q210" s="6">
        <v>0</v>
      </c>
      <c r="R210" s="6">
        <v>14.1</v>
      </c>
      <c r="S210" s="6">
        <v>0</v>
      </c>
      <c r="T210" s="6">
        <v>25</v>
      </c>
      <c r="U210" s="6">
        <v>7</v>
      </c>
      <c r="V210" s="6">
        <v>15</v>
      </c>
      <c r="W210" s="6">
        <v>16</v>
      </c>
      <c r="X210" s="6">
        <v>0.6</v>
      </c>
      <c r="Y210" s="6">
        <v>2</v>
      </c>
      <c r="Z210" s="6">
        <v>0.05</v>
      </c>
      <c r="AA210" s="51">
        <v>0.05</v>
      </c>
      <c r="AB210" s="6">
        <v>17</v>
      </c>
      <c r="AC210" s="6">
        <v>38</v>
      </c>
      <c r="AD210" s="51">
        <v>5.0000000000000001E-3</v>
      </c>
      <c r="AE210" s="6">
        <v>8</v>
      </c>
      <c r="AF210" s="51">
        <v>5.0000000000000001E-3</v>
      </c>
      <c r="AG210" s="6">
        <v>0.02</v>
      </c>
      <c r="AH210" s="6">
        <v>0</v>
      </c>
      <c r="AI210" s="51">
        <v>5.0000000000000001E-3</v>
      </c>
      <c r="AJ210" s="51">
        <v>5.0000000000000001E-3</v>
      </c>
      <c r="AK210" s="51">
        <v>0.5</v>
      </c>
      <c r="AL210" s="6">
        <v>0.04</v>
      </c>
      <c r="AM210" s="51">
        <v>0.05</v>
      </c>
      <c r="AN210" s="51">
        <v>0.05</v>
      </c>
      <c r="AO210" s="6">
        <v>930</v>
      </c>
      <c r="AP210" s="6">
        <v>906</v>
      </c>
      <c r="AQ210" s="6">
        <v>146</v>
      </c>
      <c r="AR210" s="6">
        <v>2.4</v>
      </c>
      <c r="AS210" s="6">
        <v>0.8</v>
      </c>
      <c r="AT210" s="6">
        <v>7.4</v>
      </c>
      <c r="AU210" s="6">
        <v>48.78</v>
      </c>
      <c r="AV210" s="6">
        <v>7.82</v>
      </c>
      <c r="AW210" s="6">
        <v>2.39</v>
      </c>
      <c r="AX210" s="6">
        <v>8.31</v>
      </c>
      <c r="AY210" s="6">
        <v>20.86</v>
      </c>
      <c r="AZ210" s="6">
        <v>9.4</v>
      </c>
      <c r="BA210" s="6">
        <v>0</v>
      </c>
      <c r="BB210" s="6">
        <v>0</v>
      </c>
      <c r="BC210" s="6">
        <v>23.72</v>
      </c>
      <c r="BD210" s="6">
        <v>1.1399999999999999</v>
      </c>
      <c r="BE210" s="6">
        <v>1.9</v>
      </c>
      <c r="BF210" s="6">
        <v>20.68</v>
      </c>
      <c r="BG210" s="6">
        <v>0</v>
      </c>
      <c r="BH210" s="6">
        <v>0</v>
      </c>
      <c r="BI210" s="6">
        <v>2.75</v>
      </c>
      <c r="BJ210" s="6">
        <v>1.57</v>
      </c>
      <c r="BK210" s="6">
        <v>1.18</v>
      </c>
      <c r="BL210" s="6">
        <v>0</v>
      </c>
      <c r="BM210" s="6">
        <v>0</v>
      </c>
      <c r="BN210" s="6">
        <v>0</v>
      </c>
      <c r="BO210" s="6">
        <v>0</v>
      </c>
      <c r="BP210" s="7">
        <v>12</v>
      </c>
      <c r="BQ210" s="7">
        <v>40</v>
      </c>
      <c r="BR210" s="7">
        <v>47</v>
      </c>
      <c r="BS210" s="7">
        <v>86</v>
      </c>
      <c r="BT210" s="7">
        <v>66</v>
      </c>
      <c r="BU210" s="7">
        <v>20</v>
      </c>
      <c r="BV210" s="7">
        <v>9</v>
      </c>
      <c r="BW210" s="7">
        <v>43</v>
      </c>
      <c r="BX210" s="7">
        <v>34</v>
      </c>
      <c r="BY210" s="7">
        <v>56</v>
      </c>
      <c r="BZ210" s="7">
        <v>25</v>
      </c>
      <c r="CA210" s="7">
        <v>23</v>
      </c>
      <c r="CB210" s="7">
        <v>29</v>
      </c>
      <c r="CC210" s="7">
        <v>65</v>
      </c>
      <c r="CD210" s="7">
        <v>187</v>
      </c>
      <c r="CE210" s="7">
        <v>17</v>
      </c>
      <c r="CF210" s="7">
        <v>90</v>
      </c>
      <c r="CG210" s="7">
        <v>49</v>
      </c>
      <c r="CH210" s="6">
        <v>0</v>
      </c>
      <c r="CI210" s="6">
        <v>0</v>
      </c>
      <c r="CJ210" s="6">
        <v>0</v>
      </c>
      <c r="CK210" s="6">
        <v>0</v>
      </c>
      <c r="CL210" s="6">
        <v>0</v>
      </c>
      <c r="CM210" s="6">
        <v>1.1000000000000001</v>
      </c>
      <c r="CN210">
        <f t="shared" ref="CN210:CN213" si="4245">($C210*D210)/100</f>
        <v>37.9</v>
      </c>
      <c r="CO210">
        <f t="shared" ref="CO210:CO213" si="4246">($C210*E210)/100</f>
        <v>155.85</v>
      </c>
      <c r="CP210">
        <f t="shared" ref="CP210:CP213" si="4247">($C210*F210)/100</f>
        <v>0.04</v>
      </c>
      <c r="CQ210">
        <f t="shared" ref="CQ210:CQ213" si="4248">($C210*G210)/100</f>
        <v>0.04</v>
      </c>
      <c r="CR210">
        <f t="shared" ref="CR210:CR213" si="4249">($C210*H210)/100</f>
        <v>0</v>
      </c>
      <c r="CS210">
        <f t="shared" ref="CS210:CS213" si="4250">($C210*I210)/100</f>
        <v>4.17</v>
      </c>
      <c r="CT210">
        <f t="shared" ref="CT210:CT213" si="4251">($C210*J210)/100</f>
        <v>4.17</v>
      </c>
      <c r="CU210">
        <f t="shared" ref="CU210:CU213" si="4252">($C210*K210)/100</f>
        <v>0</v>
      </c>
      <c r="CV210">
        <f t="shared" ref="CV210:CV213" si="4253">($C210*L210)/100</f>
        <v>12.5</v>
      </c>
      <c r="CW210">
        <f t="shared" ref="CW210:CW213" si="4254">($C210*M210)/100</f>
        <v>5.5E-2</v>
      </c>
      <c r="CX210">
        <f t="shared" ref="CX210:CX213" si="4255">($C210*N210)/100</f>
        <v>0</v>
      </c>
      <c r="CY210">
        <f t="shared" ref="CY210:CY213" si="4256">($C210*O210)/100</f>
        <v>5.5E-2</v>
      </c>
      <c r="CZ210">
        <f t="shared" ref="CZ210:CZ213" si="4257">($C210*P210)/100</f>
        <v>0</v>
      </c>
      <c r="DA210">
        <f t="shared" ref="DA210:DA213" si="4258">($C210*Q210)/100</f>
        <v>0</v>
      </c>
      <c r="DB210">
        <f t="shared" ref="DB210:DB213" si="4259">($C210*R210)/100</f>
        <v>0.70499999999999996</v>
      </c>
      <c r="DC210">
        <f t="shared" ref="DC210:DC213" si="4260">($C210*S210)/100</f>
        <v>0</v>
      </c>
      <c r="DD210">
        <f t="shared" ref="DD210:DD213" si="4261">($C210*T210)/100</f>
        <v>1.25</v>
      </c>
      <c r="DE210">
        <f t="shared" ref="DE210:DE213" si="4262">($C210*U210)/100</f>
        <v>0.35</v>
      </c>
      <c r="DF210">
        <f t="shared" ref="DF210:DF213" si="4263">($C210*V210)/100</f>
        <v>0.75</v>
      </c>
      <c r="DG210">
        <f t="shared" ref="DG210:DG213" si="4264">($C210*W210)/100</f>
        <v>0.8</v>
      </c>
      <c r="DH210">
        <f t="shared" ref="DH210:DH213" si="4265">($C210*X210)/100</f>
        <v>0.03</v>
      </c>
      <c r="DI210">
        <f t="shared" ref="DI210:DI213" si="4266">($C210*Y210)/100</f>
        <v>0.1</v>
      </c>
      <c r="DJ210">
        <f t="shared" ref="DJ210:DJ213" si="4267">($C210*Z210)/100</f>
        <v>2.5000000000000001E-3</v>
      </c>
      <c r="DK210">
        <f t="shared" ref="DK210:DK213" si="4268">($C210*AA210)/100</f>
        <v>2.5000000000000001E-3</v>
      </c>
      <c r="DL210">
        <f t="shared" ref="DL210:DL213" si="4269">($C210*AB210)/100</f>
        <v>0.85</v>
      </c>
      <c r="DM210">
        <f t="shared" ref="DM210:DM213" si="4270">($C210*AC210)/100</f>
        <v>1.9</v>
      </c>
      <c r="DN210">
        <f t="shared" ref="DN210:DN213" si="4271">($C210*AD210)/100</f>
        <v>2.5000000000000001E-4</v>
      </c>
      <c r="DO210">
        <f t="shared" ref="DO210:DO213" si="4272">($C210*AE210)/100</f>
        <v>0.4</v>
      </c>
      <c r="DP210">
        <f t="shared" ref="DP210:DP213" si="4273">($C210*AF210)/100</f>
        <v>2.5000000000000001E-4</v>
      </c>
      <c r="DQ210">
        <f t="shared" ref="DQ210:DQ213" si="4274">($C210*AG210)/100</f>
        <v>1E-3</v>
      </c>
      <c r="DR210">
        <f t="shared" ref="DR210:DR213" si="4275">($C210*AH210)/100</f>
        <v>0</v>
      </c>
      <c r="DS210">
        <f t="shared" ref="DS210:DS213" si="4276">($C210*AI210)/100</f>
        <v>2.5000000000000001E-4</v>
      </c>
      <c r="DT210">
        <f t="shared" ref="DT210:DT213" si="4277">($C210*AJ210)/100</f>
        <v>2.5000000000000001E-4</v>
      </c>
      <c r="DU210">
        <f t="shared" ref="DU210:DU213" si="4278">($C210*AK210)/100</f>
        <v>2.5000000000000001E-2</v>
      </c>
      <c r="DV210">
        <f t="shared" ref="DV210:DV213" si="4279">($C210*AL210)/100</f>
        <v>2E-3</v>
      </c>
      <c r="DW210">
        <f t="shared" ref="DW210:DW213" si="4280">($C210*AM210)/100</f>
        <v>2.5000000000000001E-3</v>
      </c>
      <c r="DX210">
        <f t="shared" ref="DX210:DX213" si="4281">($C210*AN210)/100</f>
        <v>2.5000000000000001E-3</v>
      </c>
      <c r="DY210">
        <f t="shared" ref="DY210:DY213" si="4282">($C210*AO210)/100</f>
        <v>46.5</v>
      </c>
      <c r="DZ210">
        <f t="shared" ref="DZ210:DZ213" si="4283">($C210*AP210)/100</f>
        <v>45.3</v>
      </c>
      <c r="EA210">
        <f t="shared" ref="EA210:EA213" si="4284">($C210*AQ210)/100</f>
        <v>7.3</v>
      </c>
      <c r="EB210">
        <f t="shared" ref="EB210:EB213" si="4285">($C210*AR210)/100</f>
        <v>0.12</v>
      </c>
      <c r="EC210">
        <f t="shared" ref="EC210:EC213" si="4286">($C210*AS210)/100</f>
        <v>0.04</v>
      </c>
      <c r="ED210">
        <f t="shared" ref="ED210:ED213" si="4287">($C210*AT210)/100</f>
        <v>0.37</v>
      </c>
      <c r="EE210">
        <f t="shared" ref="EE210:EE213" si="4288">($C210*AU210)/100</f>
        <v>2.4390000000000001</v>
      </c>
      <c r="EF210">
        <f t="shared" ref="EF210:EF213" si="4289">($C210*AV210)/100</f>
        <v>0.39100000000000001</v>
      </c>
      <c r="EG210">
        <f t="shared" ref="EG210:EG213" si="4290">($C210*AW210)/100</f>
        <v>0.11950000000000001</v>
      </c>
      <c r="EH210">
        <f t="shared" ref="EH210:EH213" si="4291">($C210*AX210)/100</f>
        <v>0.41550000000000004</v>
      </c>
      <c r="EI210">
        <f t="shared" ref="EI210:EI213" si="4292">($C210*AY210)/100</f>
        <v>1.0429999999999999</v>
      </c>
      <c r="EJ210">
        <f t="shared" ref="EJ210:EJ213" si="4293">($C210*AZ210)/100</f>
        <v>0.47</v>
      </c>
      <c r="EK210">
        <f t="shared" ref="EK210:EK213" si="4294">($C210*BA210)/100</f>
        <v>0</v>
      </c>
      <c r="EL210">
        <f t="shared" ref="EL210:EL213" si="4295">($C210*BB210)/100</f>
        <v>0</v>
      </c>
      <c r="EM210">
        <f t="shared" ref="EM210:EM213" si="4296">($C210*BC210)/100</f>
        <v>1.1859999999999999</v>
      </c>
      <c r="EN210">
        <f t="shared" ref="EN210:EN213" si="4297">($C210*BD210)/100</f>
        <v>5.6999999999999995E-2</v>
      </c>
      <c r="EO210">
        <f t="shared" ref="EO210:EO213" si="4298">($C210*BE210)/100</f>
        <v>9.5000000000000001E-2</v>
      </c>
      <c r="EP210">
        <f t="shared" ref="EP210:EP213" si="4299">($C210*BF210)/100</f>
        <v>1.034</v>
      </c>
      <c r="EQ210">
        <f t="shared" ref="EQ210:EQ213" si="4300">($C210*BG210)/100</f>
        <v>0</v>
      </c>
      <c r="ER210">
        <f t="shared" ref="ER210:ER213" si="4301">($C210*BH210)/100</f>
        <v>0</v>
      </c>
      <c r="ES210">
        <f t="shared" ref="ES210:ES213" si="4302">($C210*BI210)/100</f>
        <v>0.13750000000000001</v>
      </c>
      <c r="ET210">
        <f t="shared" ref="ET210:ET213" si="4303">($C210*BJ210)/100</f>
        <v>7.85E-2</v>
      </c>
      <c r="EU210">
        <f t="shared" ref="EU210:EU213" si="4304">($C210*BK210)/100</f>
        <v>5.8999999999999997E-2</v>
      </c>
      <c r="EV210">
        <f t="shared" ref="EV210:EV213" si="4305">($C210*BL210)/100</f>
        <v>0</v>
      </c>
      <c r="EW210">
        <f t="shared" ref="EW210:EW213" si="4306">($C210*BM210)/100</f>
        <v>0</v>
      </c>
      <c r="EX210">
        <f t="shared" ref="EX210:EX213" si="4307">($C210*BN210)/100</f>
        <v>0</v>
      </c>
      <c r="EY210">
        <f t="shared" ref="EY210:EY213" si="4308">($C210*BO210)/100</f>
        <v>0</v>
      </c>
      <c r="EZ210">
        <f t="shared" ref="EZ210:EZ213" si="4309">($C210*BP210)/100</f>
        <v>0.6</v>
      </c>
      <c r="FA210">
        <f t="shared" ref="FA210:FA213" si="4310">($C210*BQ210)/100</f>
        <v>2</v>
      </c>
      <c r="FB210">
        <f t="shared" ref="FB210:FB213" si="4311">($C210*BR210)/100</f>
        <v>2.35</v>
      </c>
      <c r="FC210">
        <f t="shared" ref="FC210:FC213" si="4312">($C210*BS210)/100</f>
        <v>4.3</v>
      </c>
      <c r="FD210">
        <f t="shared" ref="FD210:FD213" si="4313">($C210*BT210)/100</f>
        <v>3.3</v>
      </c>
      <c r="FE210">
        <f t="shared" ref="FE210:FE213" si="4314">($C210*BU210)/100</f>
        <v>1</v>
      </c>
      <c r="FF210">
        <f t="shared" ref="FF210:FF213" si="4315">($C210*BV210)/100</f>
        <v>0.45</v>
      </c>
      <c r="FG210">
        <f t="shared" ref="FG210:FG213" si="4316">($C210*BW210)/100</f>
        <v>2.15</v>
      </c>
      <c r="FH210">
        <f t="shared" ref="FH210:FH213" si="4317">($C210*BX210)/100</f>
        <v>1.7</v>
      </c>
      <c r="FI210">
        <f t="shared" ref="FI210:FI213" si="4318">($C210*BY210)/100</f>
        <v>2.8</v>
      </c>
      <c r="FJ210">
        <f t="shared" ref="FJ210:FJ213" si="4319">($C210*BZ210)/100</f>
        <v>1.25</v>
      </c>
      <c r="FK210">
        <f t="shared" ref="FK210:FK213" si="4320">($C210*CA210)/100</f>
        <v>1.1499999999999999</v>
      </c>
      <c r="FL210">
        <f t="shared" ref="FL210:FL213" si="4321">($C210*CB210)/100</f>
        <v>1.45</v>
      </c>
      <c r="FM210">
        <f t="shared" ref="FM210:FM213" si="4322">($C210*CC210)/100</f>
        <v>3.25</v>
      </c>
      <c r="FN210">
        <f t="shared" ref="FN210:FN213" si="4323">($C210*CD210)/100</f>
        <v>9.35</v>
      </c>
      <c r="FO210">
        <f t="shared" ref="FO210:FO213" si="4324">($C210*CE210)/100</f>
        <v>0.85</v>
      </c>
      <c r="FP210">
        <f t="shared" ref="FP210:FP213" si="4325">($C210*CF210)/100</f>
        <v>4.5</v>
      </c>
      <c r="FQ210">
        <f t="shared" ref="FQ210:FQ213" si="4326">($C210*CG210)/100</f>
        <v>2.4500000000000002</v>
      </c>
      <c r="FR210">
        <f t="shared" ref="FR210:FR213" si="4327">($C210*CH210)/100</f>
        <v>0</v>
      </c>
      <c r="FS210">
        <f t="shared" ref="FS210:FS213" si="4328">($C210*CI210)/100</f>
        <v>0</v>
      </c>
      <c r="FT210">
        <f t="shared" ref="FT210:FT213" si="4329">($C210*CJ210)/100</f>
        <v>0</v>
      </c>
      <c r="FU210">
        <f t="shared" ref="FU210:FU213" si="4330">($C210*CK210)/100</f>
        <v>0</v>
      </c>
      <c r="FV210">
        <f t="shared" ref="FV210:FV213" si="4331">($C210*CL210)/100</f>
        <v>0</v>
      </c>
      <c r="FW210">
        <f t="shared" ref="FW210:FW213" si="4332">($C210*CM210)/100</f>
        <v>5.5E-2</v>
      </c>
    </row>
    <row r="211" spans="1:179" x14ac:dyDescent="0.35">
      <c r="B211" s="71" t="s">
        <v>236</v>
      </c>
      <c r="C211">
        <v>25</v>
      </c>
      <c r="D211" s="6">
        <v>323</v>
      </c>
      <c r="E211" s="6">
        <v>1376</v>
      </c>
      <c r="F211" s="6">
        <v>11</v>
      </c>
      <c r="G211" s="6">
        <v>0</v>
      </c>
      <c r="H211" s="6">
        <v>11</v>
      </c>
      <c r="I211" s="6">
        <v>0.7</v>
      </c>
      <c r="J211" s="6">
        <v>0</v>
      </c>
      <c r="K211" s="6">
        <v>0.7</v>
      </c>
      <c r="L211" s="6">
        <v>0</v>
      </c>
      <c r="M211" s="6">
        <v>71.599999999999994</v>
      </c>
      <c r="N211" s="6">
        <v>69.900000000000006</v>
      </c>
      <c r="O211" s="6">
        <v>1.7</v>
      </c>
      <c r="P211" s="6">
        <v>2.2000000000000002</v>
      </c>
      <c r="Q211" s="6">
        <v>0</v>
      </c>
      <c r="R211" s="6">
        <v>14.2</v>
      </c>
      <c r="S211" s="6">
        <v>0.7</v>
      </c>
      <c r="T211" s="6">
        <v>17</v>
      </c>
      <c r="U211" s="6">
        <v>3</v>
      </c>
      <c r="V211" s="6">
        <v>126</v>
      </c>
      <c r="W211" s="6">
        <v>76</v>
      </c>
      <c r="X211" s="6">
        <v>7.0000000000000007E-2</v>
      </c>
      <c r="Y211" s="6">
        <v>120</v>
      </c>
      <c r="Z211" s="6">
        <v>0.06</v>
      </c>
      <c r="AA211" s="6">
        <v>2.2999999999999998</v>
      </c>
      <c r="AB211" s="6">
        <v>143</v>
      </c>
      <c r="AC211" s="51">
        <v>0.5</v>
      </c>
      <c r="AD211" s="6">
        <v>0.7</v>
      </c>
      <c r="AE211" s="6">
        <v>130</v>
      </c>
      <c r="AF211" s="6">
        <v>0.1</v>
      </c>
      <c r="AG211" s="6">
        <v>0.03</v>
      </c>
      <c r="AH211" s="6">
        <v>0</v>
      </c>
      <c r="AI211" s="6">
        <v>1</v>
      </c>
      <c r="AJ211" s="6">
        <v>0.18</v>
      </c>
      <c r="AK211" s="6">
        <v>32</v>
      </c>
      <c r="AL211" s="6">
        <v>0.4</v>
      </c>
      <c r="AM211" s="6">
        <v>2</v>
      </c>
      <c r="AN211" s="6">
        <v>0</v>
      </c>
      <c r="AO211" s="6">
        <v>0</v>
      </c>
      <c r="AP211" s="6">
        <v>0</v>
      </c>
      <c r="AQ211" s="6">
        <v>0</v>
      </c>
      <c r="AR211" s="6">
        <v>0.59</v>
      </c>
      <c r="AS211" s="6">
        <v>0</v>
      </c>
      <c r="AT211" s="6">
        <v>0.8</v>
      </c>
      <c r="AU211" s="6">
        <v>0.08</v>
      </c>
      <c r="AV211" s="6">
        <v>0</v>
      </c>
      <c r="AW211" s="6">
        <v>0</v>
      </c>
      <c r="AX211" s="6">
        <v>0</v>
      </c>
      <c r="AY211" s="6">
        <v>0.08</v>
      </c>
      <c r="AZ211" s="51">
        <v>5.0000000000000001E-3</v>
      </c>
      <c r="BA211" s="51">
        <v>5.0000000000000001E-3</v>
      </c>
      <c r="BB211" s="6">
        <v>0</v>
      </c>
      <c r="BC211" s="6">
        <v>0.06</v>
      </c>
      <c r="BD211" s="6">
        <v>0</v>
      </c>
      <c r="BE211" s="51">
        <v>5.0000000000000001E-3</v>
      </c>
      <c r="BF211" s="6">
        <v>0.06</v>
      </c>
      <c r="BG211" s="51">
        <v>5.0000000000000001E-3</v>
      </c>
      <c r="BH211" s="6">
        <v>0</v>
      </c>
      <c r="BI211" s="6">
        <v>0.27</v>
      </c>
      <c r="BJ211" s="6">
        <v>0.25</v>
      </c>
      <c r="BK211" s="6">
        <v>0.01</v>
      </c>
      <c r="BL211" s="51">
        <v>5.0000000000000001E-3</v>
      </c>
      <c r="BM211" s="6">
        <v>0</v>
      </c>
      <c r="BN211" s="6">
        <v>0</v>
      </c>
      <c r="BO211" s="6">
        <v>0</v>
      </c>
      <c r="BP211" s="7">
        <v>116</v>
      </c>
      <c r="BQ211" s="7">
        <v>310</v>
      </c>
      <c r="BR211" s="7">
        <v>403</v>
      </c>
      <c r="BS211" s="7">
        <v>741</v>
      </c>
      <c r="BT211" s="7">
        <v>239</v>
      </c>
      <c r="BU211" s="7">
        <v>167</v>
      </c>
      <c r="BV211" s="7">
        <v>287</v>
      </c>
      <c r="BW211" s="7">
        <v>510</v>
      </c>
      <c r="BX211" s="7">
        <v>345</v>
      </c>
      <c r="BY211" s="7">
        <v>452</v>
      </c>
      <c r="BZ211" s="7">
        <v>391</v>
      </c>
      <c r="CA211" s="7">
        <v>228</v>
      </c>
      <c r="CB211" s="7">
        <v>318</v>
      </c>
      <c r="CC211" s="7">
        <v>431</v>
      </c>
      <c r="CD211" s="7">
        <v>4037</v>
      </c>
      <c r="CE211" s="7">
        <v>368</v>
      </c>
      <c r="CF211" s="7">
        <v>1309</v>
      </c>
      <c r="CG211" s="7">
        <v>543</v>
      </c>
      <c r="CH211" s="51">
        <v>0.05</v>
      </c>
      <c r="CI211" s="51">
        <v>0.05</v>
      </c>
      <c r="CJ211" s="6">
        <v>0</v>
      </c>
      <c r="CK211" s="6">
        <v>1.4</v>
      </c>
      <c r="CL211" s="6">
        <v>0.3</v>
      </c>
      <c r="CM211" s="6">
        <v>0</v>
      </c>
      <c r="CN211">
        <f t="shared" si="4245"/>
        <v>80.75</v>
      </c>
      <c r="CO211">
        <f t="shared" si="4246"/>
        <v>344</v>
      </c>
      <c r="CP211">
        <f t="shared" si="4247"/>
        <v>2.75</v>
      </c>
      <c r="CQ211">
        <f t="shared" si="4248"/>
        <v>0</v>
      </c>
      <c r="CR211">
        <f t="shared" si="4249"/>
        <v>2.75</v>
      </c>
      <c r="CS211">
        <f t="shared" si="4250"/>
        <v>0.17499999999999999</v>
      </c>
      <c r="CT211">
        <f t="shared" si="4251"/>
        <v>0</v>
      </c>
      <c r="CU211">
        <f t="shared" si="4252"/>
        <v>0.17499999999999999</v>
      </c>
      <c r="CV211">
        <f t="shared" si="4253"/>
        <v>0</v>
      </c>
      <c r="CW211">
        <f t="shared" si="4254"/>
        <v>17.899999999999999</v>
      </c>
      <c r="CX211">
        <f t="shared" si="4255"/>
        <v>17.475000000000001</v>
      </c>
      <c r="CY211">
        <f t="shared" si="4256"/>
        <v>0.42499999999999999</v>
      </c>
      <c r="CZ211">
        <f t="shared" si="4257"/>
        <v>0.55000000000000004</v>
      </c>
      <c r="DA211">
        <f t="shared" si="4258"/>
        <v>0</v>
      </c>
      <c r="DB211">
        <f t="shared" si="4259"/>
        <v>3.55</v>
      </c>
      <c r="DC211">
        <f t="shared" si="4260"/>
        <v>0.17499999999999999</v>
      </c>
      <c r="DD211">
        <f t="shared" si="4261"/>
        <v>4.25</v>
      </c>
      <c r="DE211">
        <f t="shared" si="4262"/>
        <v>0.75</v>
      </c>
      <c r="DF211">
        <f t="shared" si="4263"/>
        <v>31.5</v>
      </c>
      <c r="DG211">
        <f t="shared" si="4264"/>
        <v>19</v>
      </c>
      <c r="DH211">
        <f t="shared" si="4265"/>
        <v>1.7500000000000002E-2</v>
      </c>
      <c r="DI211">
        <f t="shared" si="4266"/>
        <v>30</v>
      </c>
      <c r="DJ211">
        <f t="shared" si="4267"/>
        <v>1.4999999999999999E-2</v>
      </c>
      <c r="DK211">
        <f t="shared" si="4268"/>
        <v>0.57499999999999996</v>
      </c>
      <c r="DL211">
        <f t="shared" si="4269"/>
        <v>35.75</v>
      </c>
      <c r="DM211">
        <f t="shared" si="4270"/>
        <v>0.125</v>
      </c>
      <c r="DN211">
        <f t="shared" si="4271"/>
        <v>0.17499999999999999</v>
      </c>
      <c r="DO211">
        <f t="shared" si="4272"/>
        <v>32.5</v>
      </c>
      <c r="DP211">
        <f t="shared" si="4273"/>
        <v>2.5000000000000001E-2</v>
      </c>
      <c r="DQ211">
        <f t="shared" si="4274"/>
        <v>7.4999999999999997E-3</v>
      </c>
      <c r="DR211">
        <f t="shared" si="4275"/>
        <v>0</v>
      </c>
      <c r="DS211">
        <f t="shared" si="4276"/>
        <v>0.25</v>
      </c>
      <c r="DT211">
        <f t="shared" si="4277"/>
        <v>4.4999999999999998E-2</v>
      </c>
      <c r="DU211">
        <f t="shared" si="4278"/>
        <v>8</v>
      </c>
      <c r="DV211">
        <f t="shared" si="4279"/>
        <v>0.1</v>
      </c>
      <c r="DW211">
        <f t="shared" si="4280"/>
        <v>0.5</v>
      </c>
      <c r="DX211">
        <f t="shared" si="4281"/>
        <v>0</v>
      </c>
      <c r="DY211">
        <f t="shared" si="4282"/>
        <v>0</v>
      </c>
      <c r="DZ211">
        <f t="shared" si="4283"/>
        <v>0</v>
      </c>
      <c r="EA211">
        <f t="shared" si="4284"/>
        <v>0</v>
      </c>
      <c r="EB211">
        <f t="shared" si="4285"/>
        <v>0.14749999999999999</v>
      </c>
      <c r="EC211">
        <f t="shared" si="4286"/>
        <v>0</v>
      </c>
      <c r="ED211">
        <f t="shared" si="4287"/>
        <v>0.2</v>
      </c>
      <c r="EE211">
        <f t="shared" si="4288"/>
        <v>0.02</v>
      </c>
      <c r="EF211">
        <f t="shared" si="4289"/>
        <v>0</v>
      </c>
      <c r="EG211">
        <f t="shared" si="4290"/>
        <v>0</v>
      </c>
      <c r="EH211">
        <f t="shared" si="4291"/>
        <v>0</v>
      </c>
      <c r="EI211">
        <f t="shared" si="4292"/>
        <v>0.02</v>
      </c>
      <c r="EJ211">
        <f t="shared" si="4293"/>
        <v>1.25E-3</v>
      </c>
      <c r="EK211">
        <f t="shared" si="4294"/>
        <v>1.25E-3</v>
      </c>
      <c r="EL211">
        <f t="shared" si="4295"/>
        <v>0</v>
      </c>
      <c r="EM211">
        <f t="shared" si="4296"/>
        <v>1.4999999999999999E-2</v>
      </c>
      <c r="EN211">
        <f t="shared" si="4297"/>
        <v>0</v>
      </c>
      <c r="EO211">
        <f t="shared" si="4298"/>
        <v>1.25E-3</v>
      </c>
      <c r="EP211">
        <f t="shared" si="4299"/>
        <v>1.4999999999999999E-2</v>
      </c>
      <c r="EQ211">
        <f t="shared" si="4300"/>
        <v>1.25E-3</v>
      </c>
      <c r="ER211">
        <f t="shared" si="4301"/>
        <v>0</v>
      </c>
      <c r="ES211">
        <f t="shared" si="4302"/>
        <v>6.7500000000000004E-2</v>
      </c>
      <c r="ET211">
        <f t="shared" si="4303"/>
        <v>6.25E-2</v>
      </c>
      <c r="EU211">
        <f t="shared" si="4304"/>
        <v>2.5000000000000001E-3</v>
      </c>
      <c r="EV211">
        <f t="shared" si="4305"/>
        <v>1.25E-3</v>
      </c>
      <c r="EW211">
        <f t="shared" si="4306"/>
        <v>0</v>
      </c>
      <c r="EX211">
        <f t="shared" si="4307"/>
        <v>0</v>
      </c>
      <c r="EY211">
        <f t="shared" si="4308"/>
        <v>0</v>
      </c>
      <c r="EZ211">
        <f t="shared" si="4309"/>
        <v>29</v>
      </c>
      <c r="FA211">
        <f t="shared" si="4310"/>
        <v>77.5</v>
      </c>
      <c r="FB211">
        <f t="shared" si="4311"/>
        <v>100.75</v>
      </c>
      <c r="FC211">
        <f t="shared" si="4312"/>
        <v>185.25</v>
      </c>
      <c r="FD211">
        <f t="shared" si="4313"/>
        <v>59.75</v>
      </c>
      <c r="FE211">
        <f t="shared" si="4314"/>
        <v>41.75</v>
      </c>
      <c r="FF211">
        <f t="shared" si="4315"/>
        <v>71.75</v>
      </c>
      <c r="FG211">
        <f t="shared" si="4316"/>
        <v>127.5</v>
      </c>
      <c r="FH211">
        <f t="shared" si="4317"/>
        <v>86.25</v>
      </c>
      <c r="FI211">
        <f t="shared" si="4318"/>
        <v>113</v>
      </c>
      <c r="FJ211">
        <f t="shared" si="4319"/>
        <v>97.75</v>
      </c>
      <c r="FK211">
        <f t="shared" si="4320"/>
        <v>57</v>
      </c>
      <c r="FL211">
        <f t="shared" si="4321"/>
        <v>79.5</v>
      </c>
      <c r="FM211">
        <f t="shared" si="4322"/>
        <v>107.75</v>
      </c>
      <c r="FN211">
        <f t="shared" si="4323"/>
        <v>1009.25</v>
      </c>
      <c r="FO211">
        <f t="shared" si="4324"/>
        <v>92</v>
      </c>
      <c r="FP211">
        <f t="shared" si="4325"/>
        <v>327.25</v>
      </c>
      <c r="FQ211">
        <f t="shared" si="4326"/>
        <v>135.75</v>
      </c>
      <c r="FR211">
        <f t="shared" si="4327"/>
        <v>1.2500000000000001E-2</v>
      </c>
      <c r="FS211">
        <f t="shared" si="4328"/>
        <v>1.2500000000000001E-2</v>
      </c>
      <c r="FT211">
        <f t="shared" si="4329"/>
        <v>0</v>
      </c>
      <c r="FU211">
        <f t="shared" si="4330"/>
        <v>0.35</v>
      </c>
      <c r="FV211">
        <f t="shared" si="4331"/>
        <v>7.4999999999999997E-2</v>
      </c>
      <c r="FW211">
        <f t="shared" si="4332"/>
        <v>0</v>
      </c>
    </row>
    <row r="212" spans="1:179" x14ac:dyDescent="0.35">
      <c r="B212" s="72" t="s">
        <v>222</v>
      </c>
      <c r="C212">
        <v>20</v>
      </c>
      <c r="D212" s="6">
        <v>128</v>
      </c>
      <c r="E212" s="6">
        <v>533</v>
      </c>
      <c r="F212" s="6">
        <v>12.4</v>
      </c>
      <c r="G212" s="6">
        <v>12.4</v>
      </c>
      <c r="H212" s="6">
        <v>0</v>
      </c>
      <c r="I212" s="6">
        <v>8.6999999999999993</v>
      </c>
      <c r="J212" s="6">
        <v>8.6999999999999993</v>
      </c>
      <c r="K212" s="6">
        <v>0</v>
      </c>
      <c r="L212" s="6">
        <v>371</v>
      </c>
      <c r="M212" s="51">
        <v>0.05</v>
      </c>
      <c r="N212" s="6">
        <v>0</v>
      </c>
      <c r="O212" s="51">
        <v>0.05</v>
      </c>
      <c r="P212" s="6">
        <v>0</v>
      </c>
      <c r="Q212" s="6">
        <v>0</v>
      </c>
      <c r="R212" s="6">
        <v>77.099999999999994</v>
      </c>
      <c r="S212" s="6">
        <v>1.5</v>
      </c>
      <c r="T212" s="6">
        <v>48</v>
      </c>
      <c r="U212" s="6">
        <v>137</v>
      </c>
      <c r="V212" s="6">
        <v>133</v>
      </c>
      <c r="W212" s="6">
        <v>210</v>
      </c>
      <c r="X212" s="6">
        <v>1.2</v>
      </c>
      <c r="Y212" s="6">
        <v>13</v>
      </c>
      <c r="Z212" s="6">
        <v>0.06</v>
      </c>
      <c r="AA212" s="6">
        <v>5.8</v>
      </c>
      <c r="AB212" s="6">
        <v>160</v>
      </c>
      <c r="AC212" s="6">
        <v>53</v>
      </c>
      <c r="AD212" s="51">
        <v>5.0000000000000001E-3</v>
      </c>
      <c r="AE212" s="6">
        <v>180</v>
      </c>
      <c r="AF212" s="6">
        <v>0.09</v>
      </c>
      <c r="AG212" s="6">
        <v>0.3</v>
      </c>
      <c r="AH212" s="6">
        <v>0</v>
      </c>
      <c r="AI212" s="6">
        <v>0.1</v>
      </c>
      <c r="AJ212" s="6">
        <v>0.12</v>
      </c>
      <c r="AK212" s="6">
        <v>50</v>
      </c>
      <c r="AL212" s="6">
        <v>1.77</v>
      </c>
      <c r="AM212" s="6">
        <v>20</v>
      </c>
      <c r="AN212" s="6">
        <v>2.5</v>
      </c>
      <c r="AO212" s="6">
        <v>225</v>
      </c>
      <c r="AP212" s="6">
        <v>211</v>
      </c>
      <c r="AQ212" s="6">
        <v>84</v>
      </c>
      <c r="AR212" s="6">
        <v>1.1100000000000001</v>
      </c>
      <c r="AS212" s="6">
        <v>1.75</v>
      </c>
      <c r="AT212" s="51">
        <v>5.0000000000000001E-3</v>
      </c>
      <c r="AU212" s="6">
        <v>3.17</v>
      </c>
      <c r="AV212" s="6">
        <v>0</v>
      </c>
      <c r="AW212" s="6">
        <v>0</v>
      </c>
      <c r="AX212" s="6">
        <v>0.03</v>
      </c>
      <c r="AY212" s="6">
        <v>1.9</v>
      </c>
      <c r="AZ212" s="6">
        <v>1.21</v>
      </c>
      <c r="BA212" s="6">
        <v>0</v>
      </c>
      <c r="BB212" s="6">
        <v>0</v>
      </c>
      <c r="BC212" s="6">
        <v>2.58</v>
      </c>
      <c r="BD212" s="6">
        <v>0</v>
      </c>
      <c r="BE212" s="6">
        <v>0.23</v>
      </c>
      <c r="BF212" s="6">
        <v>2.35</v>
      </c>
      <c r="BG212" s="6">
        <v>0</v>
      </c>
      <c r="BH212" s="6">
        <v>0</v>
      </c>
      <c r="BI212" s="6">
        <v>1.26</v>
      </c>
      <c r="BJ212" s="6">
        <v>1.06</v>
      </c>
      <c r="BK212" s="6">
        <v>0.04</v>
      </c>
      <c r="BL212" s="6">
        <v>0.16</v>
      </c>
      <c r="BM212" s="6">
        <v>0</v>
      </c>
      <c r="BN212" s="6">
        <v>0</v>
      </c>
      <c r="BO212" s="6">
        <v>0</v>
      </c>
      <c r="BP212" s="7">
        <v>197</v>
      </c>
      <c r="BQ212" s="7">
        <v>623</v>
      </c>
      <c r="BR212" s="7">
        <v>657</v>
      </c>
      <c r="BS212" s="7">
        <v>1041</v>
      </c>
      <c r="BT212" s="7">
        <v>880</v>
      </c>
      <c r="BU212" s="7">
        <v>437</v>
      </c>
      <c r="BV212" s="7">
        <v>323</v>
      </c>
      <c r="BW212" s="7">
        <v>662</v>
      </c>
      <c r="BX212" s="7">
        <v>503</v>
      </c>
      <c r="BY212" s="7">
        <v>823</v>
      </c>
      <c r="BZ212" s="7">
        <v>767</v>
      </c>
      <c r="CA212" s="7">
        <v>298</v>
      </c>
      <c r="CB212" s="7">
        <v>719</v>
      </c>
      <c r="CC212" s="7">
        <v>1209</v>
      </c>
      <c r="CD212" s="7">
        <v>1508</v>
      </c>
      <c r="CE212" s="7">
        <v>416</v>
      </c>
      <c r="CF212" s="7">
        <v>496</v>
      </c>
      <c r="CG212" s="7">
        <v>842</v>
      </c>
      <c r="CH212" s="51">
        <v>0.05</v>
      </c>
      <c r="CI212" s="6">
        <v>0</v>
      </c>
      <c r="CJ212" s="6">
        <v>0</v>
      </c>
      <c r="CK212" s="6">
        <v>0</v>
      </c>
      <c r="CL212" s="6">
        <v>0</v>
      </c>
      <c r="CM212" s="6">
        <v>0</v>
      </c>
      <c r="CN212">
        <f t="shared" si="4245"/>
        <v>25.6</v>
      </c>
      <c r="CO212">
        <f t="shared" si="4246"/>
        <v>106.6</v>
      </c>
      <c r="CP212">
        <f t="shared" si="4247"/>
        <v>2.48</v>
      </c>
      <c r="CQ212">
        <f t="shared" si="4248"/>
        <v>2.48</v>
      </c>
      <c r="CR212">
        <f t="shared" si="4249"/>
        <v>0</v>
      </c>
      <c r="CS212">
        <f t="shared" si="4250"/>
        <v>1.74</v>
      </c>
      <c r="CT212">
        <f t="shared" si="4251"/>
        <v>1.74</v>
      </c>
      <c r="CU212">
        <f t="shared" si="4252"/>
        <v>0</v>
      </c>
      <c r="CV212">
        <f t="shared" si="4253"/>
        <v>74.2</v>
      </c>
      <c r="CW212">
        <f t="shared" si="4254"/>
        <v>0.01</v>
      </c>
      <c r="CX212">
        <f t="shared" si="4255"/>
        <v>0</v>
      </c>
      <c r="CY212">
        <f t="shared" si="4256"/>
        <v>0.01</v>
      </c>
      <c r="CZ212">
        <f t="shared" si="4257"/>
        <v>0</v>
      </c>
      <c r="DA212">
        <f t="shared" si="4258"/>
        <v>0</v>
      </c>
      <c r="DB212">
        <f t="shared" si="4259"/>
        <v>15.42</v>
      </c>
      <c r="DC212">
        <f t="shared" si="4260"/>
        <v>0.3</v>
      </c>
      <c r="DD212">
        <f t="shared" si="4261"/>
        <v>9.6</v>
      </c>
      <c r="DE212">
        <f t="shared" si="4262"/>
        <v>27.4</v>
      </c>
      <c r="DF212">
        <f t="shared" si="4263"/>
        <v>26.6</v>
      </c>
      <c r="DG212">
        <f t="shared" si="4264"/>
        <v>42</v>
      </c>
      <c r="DH212">
        <f t="shared" si="4265"/>
        <v>0.24</v>
      </c>
      <c r="DI212">
        <f t="shared" si="4266"/>
        <v>2.6</v>
      </c>
      <c r="DJ212">
        <f t="shared" si="4267"/>
        <v>1.2E-2</v>
      </c>
      <c r="DK212">
        <f t="shared" si="4268"/>
        <v>1.1599999999999999</v>
      </c>
      <c r="DL212">
        <f t="shared" si="4269"/>
        <v>32</v>
      </c>
      <c r="DM212">
        <f t="shared" si="4270"/>
        <v>10.6</v>
      </c>
      <c r="DN212">
        <f t="shared" si="4271"/>
        <v>1E-3</v>
      </c>
      <c r="DO212">
        <f t="shared" si="4272"/>
        <v>36</v>
      </c>
      <c r="DP212">
        <f t="shared" si="4273"/>
        <v>1.7999999999999999E-2</v>
      </c>
      <c r="DQ212">
        <f t="shared" si="4274"/>
        <v>0.06</v>
      </c>
      <c r="DR212">
        <f t="shared" si="4275"/>
        <v>0</v>
      </c>
      <c r="DS212">
        <f t="shared" si="4276"/>
        <v>0.02</v>
      </c>
      <c r="DT212">
        <f t="shared" si="4277"/>
        <v>2.4E-2</v>
      </c>
      <c r="DU212">
        <f t="shared" si="4278"/>
        <v>10</v>
      </c>
      <c r="DV212">
        <f t="shared" si="4279"/>
        <v>0.35399999999999998</v>
      </c>
      <c r="DW212">
        <f t="shared" si="4280"/>
        <v>4</v>
      </c>
      <c r="DX212">
        <f t="shared" si="4281"/>
        <v>0.5</v>
      </c>
      <c r="DY212">
        <f t="shared" si="4282"/>
        <v>45</v>
      </c>
      <c r="DZ212">
        <f t="shared" si="4283"/>
        <v>42.2</v>
      </c>
      <c r="EA212">
        <f t="shared" si="4284"/>
        <v>16.8</v>
      </c>
      <c r="EB212">
        <f t="shared" si="4285"/>
        <v>0.22200000000000003</v>
      </c>
      <c r="EC212">
        <f t="shared" si="4286"/>
        <v>0.35</v>
      </c>
      <c r="ED212">
        <f t="shared" si="4287"/>
        <v>1E-3</v>
      </c>
      <c r="EE212">
        <f t="shared" si="4288"/>
        <v>0.63400000000000001</v>
      </c>
      <c r="EF212">
        <f t="shared" si="4289"/>
        <v>0</v>
      </c>
      <c r="EG212">
        <f t="shared" si="4290"/>
        <v>0</v>
      </c>
      <c r="EH212">
        <f t="shared" si="4291"/>
        <v>6.0000000000000001E-3</v>
      </c>
      <c r="EI212">
        <f t="shared" si="4292"/>
        <v>0.38</v>
      </c>
      <c r="EJ212">
        <f t="shared" si="4293"/>
        <v>0.24199999999999999</v>
      </c>
      <c r="EK212">
        <f t="shared" si="4294"/>
        <v>0</v>
      </c>
      <c r="EL212">
        <f t="shared" si="4295"/>
        <v>0</v>
      </c>
      <c r="EM212">
        <f t="shared" si="4296"/>
        <v>0.51600000000000001</v>
      </c>
      <c r="EN212">
        <f t="shared" si="4297"/>
        <v>0</v>
      </c>
      <c r="EO212">
        <f t="shared" si="4298"/>
        <v>4.6000000000000006E-2</v>
      </c>
      <c r="EP212">
        <f t="shared" si="4299"/>
        <v>0.47</v>
      </c>
      <c r="EQ212">
        <f t="shared" si="4300"/>
        <v>0</v>
      </c>
      <c r="ER212">
        <f t="shared" si="4301"/>
        <v>0</v>
      </c>
      <c r="ES212">
        <f t="shared" si="4302"/>
        <v>0.252</v>
      </c>
      <c r="ET212">
        <f t="shared" si="4303"/>
        <v>0.21200000000000002</v>
      </c>
      <c r="EU212">
        <f t="shared" si="4304"/>
        <v>8.0000000000000002E-3</v>
      </c>
      <c r="EV212">
        <f t="shared" si="4305"/>
        <v>3.2000000000000001E-2</v>
      </c>
      <c r="EW212">
        <f t="shared" si="4306"/>
        <v>0</v>
      </c>
      <c r="EX212">
        <f t="shared" si="4307"/>
        <v>0</v>
      </c>
      <c r="EY212">
        <f t="shared" si="4308"/>
        <v>0</v>
      </c>
      <c r="EZ212">
        <f t="shared" si="4309"/>
        <v>39.4</v>
      </c>
      <c r="FA212">
        <f t="shared" si="4310"/>
        <v>124.6</v>
      </c>
      <c r="FB212">
        <f t="shared" si="4311"/>
        <v>131.4</v>
      </c>
      <c r="FC212">
        <f t="shared" si="4312"/>
        <v>208.2</v>
      </c>
      <c r="FD212">
        <f t="shared" si="4313"/>
        <v>176</v>
      </c>
      <c r="FE212">
        <f t="shared" si="4314"/>
        <v>87.4</v>
      </c>
      <c r="FF212">
        <f t="shared" si="4315"/>
        <v>64.599999999999994</v>
      </c>
      <c r="FG212">
        <f t="shared" si="4316"/>
        <v>132.4</v>
      </c>
      <c r="FH212">
        <f t="shared" si="4317"/>
        <v>100.6</v>
      </c>
      <c r="FI212">
        <f t="shared" si="4318"/>
        <v>164.6</v>
      </c>
      <c r="FJ212">
        <f t="shared" si="4319"/>
        <v>153.4</v>
      </c>
      <c r="FK212">
        <f t="shared" si="4320"/>
        <v>59.6</v>
      </c>
      <c r="FL212">
        <f t="shared" si="4321"/>
        <v>143.80000000000001</v>
      </c>
      <c r="FM212">
        <f t="shared" si="4322"/>
        <v>241.8</v>
      </c>
      <c r="FN212">
        <f t="shared" si="4323"/>
        <v>301.60000000000002</v>
      </c>
      <c r="FO212">
        <f t="shared" si="4324"/>
        <v>83.2</v>
      </c>
      <c r="FP212">
        <f t="shared" si="4325"/>
        <v>99.2</v>
      </c>
      <c r="FQ212">
        <f t="shared" si="4326"/>
        <v>168.4</v>
      </c>
      <c r="FR212">
        <f t="shared" si="4327"/>
        <v>0.01</v>
      </c>
      <c r="FS212">
        <f t="shared" si="4328"/>
        <v>0</v>
      </c>
      <c r="FT212">
        <f t="shared" si="4329"/>
        <v>0</v>
      </c>
      <c r="FU212">
        <f t="shared" si="4330"/>
        <v>0</v>
      </c>
      <c r="FV212">
        <f t="shared" si="4331"/>
        <v>0</v>
      </c>
      <c r="FW212">
        <f t="shared" si="4332"/>
        <v>0</v>
      </c>
    </row>
    <row r="213" spans="1:179" x14ac:dyDescent="0.35">
      <c r="B213" s="72" t="s">
        <v>257</v>
      </c>
      <c r="C213">
        <v>50</v>
      </c>
      <c r="D213" s="6">
        <v>46</v>
      </c>
      <c r="E213" s="6">
        <v>195</v>
      </c>
      <c r="F213" s="6">
        <v>3.5</v>
      </c>
      <c r="G213" s="6">
        <v>3.5</v>
      </c>
      <c r="H213" s="6">
        <v>0</v>
      </c>
      <c r="I213" s="6">
        <v>1.5</v>
      </c>
      <c r="J213" s="6">
        <v>1.5</v>
      </c>
      <c r="K213" s="6">
        <v>0</v>
      </c>
      <c r="L213" s="6">
        <v>7</v>
      </c>
      <c r="M213" s="6">
        <v>5</v>
      </c>
      <c r="N213" s="6">
        <v>0</v>
      </c>
      <c r="O213" s="6">
        <v>5</v>
      </c>
      <c r="P213" s="6">
        <v>0</v>
      </c>
      <c r="Q213" s="6">
        <v>0</v>
      </c>
      <c r="R213" s="6">
        <v>88.5</v>
      </c>
      <c r="S213" s="6">
        <v>0.1</v>
      </c>
      <c r="T213" s="6">
        <v>120</v>
      </c>
      <c r="U213" s="6">
        <v>46</v>
      </c>
      <c r="V213" s="6">
        <v>170</v>
      </c>
      <c r="W213" s="6">
        <v>94</v>
      </c>
      <c r="X213" s="6">
        <v>0.37</v>
      </c>
      <c r="Y213" s="6">
        <v>11</v>
      </c>
      <c r="Z213" s="6">
        <v>0.01</v>
      </c>
      <c r="AA213" s="6">
        <v>1.6</v>
      </c>
      <c r="AB213" s="6">
        <v>100</v>
      </c>
      <c r="AC213" s="6">
        <v>15</v>
      </c>
      <c r="AD213" s="51">
        <v>5.0000000000000001E-3</v>
      </c>
      <c r="AE213" s="6">
        <v>31</v>
      </c>
      <c r="AF213" s="6">
        <v>0.04</v>
      </c>
      <c r="AG213" s="6">
        <v>0.17</v>
      </c>
      <c r="AH213" s="6">
        <v>1</v>
      </c>
      <c r="AI213" s="6">
        <v>0.1</v>
      </c>
      <c r="AJ213" s="6">
        <v>0.06</v>
      </c>
      <c r="AK213" s="6">
        <v>6</v>
      </c>
      <c r="AL213" s="6">
        <v>0.32</v>
      </c>
      <c r="AM213" s="6">
        <v>2</v>
      </c>
      <c r="AN213" s="6">
        <v>0.4</v>
      </c>
      <c r="AO213" s="6">
        <v>21</v>
      </c>
      <c r="AP213" s="6">
        <v>19</v>
      </c>
      <c r="AQ213" s="6">
        <v>10</v>
      </c>
      <c r="AR213" s="6">
        <v>0.04</v>
      </c>
      <c r="AS213" s="6">
        <v>0.01</v>
      </c>
      <c r="AT213" s="6">
        <v>0</v>
      </c>
      <c r="AU213" s="6">
        <v>0.89</v>
      </c>
      <c r="AV213" s="6">
        <v>0.01</v>
      </c>
      <c r="AW213" s="6">
        <v>0.05</v>
      </c>
      <c r="AX213" s="6">
        <v>0.17</v>
      </c>
      <c r="AY213" s="6">
        <v>0.45</v>
      </c>
      <c r="AZ213" s="6">
        <v>0.21</v>
      </c>
      <c r="BA213" s="6">
        <v>0</v>
      </c>
      <c r="BB213" s="6">
        <v>0</v>
      </c>
      <c r="BC213" s="6">
        <v>0.47</v>
      </c>
      <c r="BD213" s="6">
        <v>0</v>
      </c>
      <c r="BE213" s="6">
        <v>0.04</v>
      </c>
      <c r="BF213" s="6">
        <v>0.43</v>
      </c>
      <c r="BG213" s="6">
        <v>0</v>
      </c>
      <c r="BH213" s="6">
        <v>0</v>
      </c>
      <c r="BI213" s="6">
        <v>0.08</v>
      </c>
      <c r="BJ213" s="6">
        <v>0.05</v>
      </c>
      <c r="BK213" s="6">
        <v>0.03</v>
      </c>
      <c r="BL213" s="6">
        <v>0</v>
      </c>
      <c r="BM213" s="6">
        <v>0</v>
      </c>
      <c r="BN213" s="6">
        <v>0</v>
      </c>
      <c r="BO213" s="6">
        <v>0</v>
      </c>
      <c r="BP213" s="7">
        <v>53</v>
      </c>
      <c r="BQ213" s="7">
        <v>174</v>
      </c>
      <c r="BR213" s="7">
        <v>204</v>
      </c>
      <c r="BS213" s="7">
        <v>377</v>
      </c>
      <c r="BT213" s="7">
        <v>288</v>
      </c>
      <c r="BU213" s="7">
        <v>86</v>
      </c>
      <c r="BV213" s="7">
        <v>39</v>
      </c>
      <c r="BW213" s="7">
        <v>187</v>
      </c>
      <c r="BX213" s="7">
        <v>151</v>
      </c>
      <c r="BY213" s="7">
        <v>247</v>
      </c>
      <c r="BZ213" s="7">
        <v>111</v>
      </c>
      <c r="CA213" s="7">
        <v>99</v>
      </c>
      <c r="CB213" s="7">
        <v>126</v>
      </c>
      <c r="CC213" s="7">
        <v>285</v>
      </c>
      <c r="CD213" s="7">
        <v>818</v>
      </c>
      <c r="CE213" s="7">
        <v>74</v>
      </c>
      <c r="CF213" s="7">
        <v>393</v>
      </c>
      <c r="CG213" s="7">
        <v>215</v>
      </c>
      <c r="CH213" s="6">
        <v>0</v>
      </c>
      <c r="CI213" s="6">
        <v>0</v>
      </c>
      <c r="CJ213" s="6">
        <v>0</v>
      </c>
      <c r="CK213" s="6">
        <v>0</v>
      </c>
      <c r="CL213" s="6">
        <v>0</v>
      </c>
      <c r="CM213" s="6">
        <v>5</v>
      </c>
      <c r="CN213">
        <f t="shared" si="4245"/>
        <v>23</v>
      </c>
      <c r="CO213">
        <f t="shared" si="4246"/>
        <v>97.5</v>
      </c>
      <c r="CP213">
        <f t="shared" si="4247"/>
        <v>1.75</v>
      </c>
      <c r="CQ213">
        <f t="shared" si="4248"/>
        <v>1.75</v>
      </c>
      <c r="CR213">
        <f t="shared" si="4249"/>
        <v>0</v>
      </c>
      <c r="CS213">
        <f t="shared" si="4250"/>
        <v>0.75</v>
      </c>
      <c r="CT213">
        <f t="shared" si="4251"/>
        <v>0.75</v>
      </c>
      <c r="CU213">
        <f t="shared" si="4252"/>
        <v>0</v>
      </c>
      <c r="CV213">
        <f t="shared" si="4253"/>
        <v>3.5</v>
      </c>
      <c r="CW213">
        <f t="shared" si="4254"/>
        <v>2.5</v>
      </c>
      <c r="CX213">
        <f t="shared" si="4255"/>
        <v>0</v>
      </c>
      <c r="CY213">
        <f t="shared" si="4256"/>
        <v>2.5</v>
      </c>
      <c r="CZ213">
        <f t="shared" si="4257"/>
        <v>0</v>
      </c>
      <c r="DA213">
        <f t="shared" si="4258"/>
        <v>0</v>
      </c>
      <c r="DB213">
        <f t="shared" si="4259"/>
        <v>44.25</v>
      </c>
      <c r="DC213">
        <f t="shared" si="4260"/>
        <v>0.05</v>
      </c>
      <c r="DD213">
        <f t="shared" si="4261"/>
        <v>60</v>
      </c>
      <c r="DE213">
        <f t="shared" si="4262"/>
        <v>23</v>
      </c>
      <c r="DF213">
        <f t="shared" si="4263"/>
        <v>85</v>
      </c>
      <c r="DG213">
        <f t="shared" si="4264"/>
        <v>47</v>
      </c>
      <c r="DH213">
        <f t="shared" si="4265"/>
        <v>0.185</v>
      </c>
      <c r="DI213">
        <f t="shared" si="4266"/>
        <v>5.5</v>
      </c>
      <c r="DJ213">
        <f t="shared" si="4267"/>
        <v>5.0000000000000001E-3</v>
      </c>
      <c r="DK213">
        <f t="shared" si="4268"/>
        <v>0.8</v>
      </c>
      <c r="DL213">
        <f t="shared" si="4269"/>
        <v>50</v>
      </c>
      <c r="DM213">
        <f t="shared" si="4270"/>
        <v>7.5</v>
      </c>
      <c r="DN213">
        <f t="shared" si="4271"/>
        <v>2.5000000000000001E-3</v>
      </c>
      <c r="DO213">
        <f t="shared" si="4272"/>
        <v>15.5</v>
      </c>
      <c r="DP213">
        <f t="shared" si="4273"/>
        <v>0.02</v>
      </c>
      <c r="DQ213">
        <f t="shared" si="4274"/>
        <v>8.5000000000000006E-2</v>
      </c>
      <c r="DR213">
        <f t="shared" si="4275"/>
        <v>0.5</v>
      </c>
      <c r="DS213">
        <f t="shared" si="4276"/>
        <v>0.05</v>
      </c>
      <c r="DT213">
        <f t="shared" si="4277"/>
        <v>0.03</v>
      </c>
      <c r="DU213">
        <f t="shared" si="4278"/>
        <v>3</v>
      </c>
      <c r="DV213">
        <f t="shared" si="4279"/>
        <v>0.16</v>
      </c>
      <c r="DW213">
        <f t="shared" si="4280"/>
        <v>1</v>
      </c>
      <c r="DX213">
        <f t="shared" si="4281"/>
        <v>0.2</v>
      </c>
      <c r="DY213">
        <f t="shared" si="4282"/>
        <v>10.5</v>
      </c>
      <c r="DZ213">
        <f t="shared" si="4283"/>
        <v>9.5</v>
      </c>
      <c r="EA213">
        <f t="shared" si="4284"/>
        <v>5</v>
      </c>
      <c r="EB213">
        <f t="shared" si="4285"/>
        <v>0.02</v>
      </c>
      <c r="EC213">
        <f t="shared" si="4286"/>
        <v>5.0000000000000001E-3</v>
      </c>
      <c r="ED213">
        <f t="shared" si="4287"/>
        <v>0</v>
      </c>
      <c r="EE213">
        <f t="shared" si="4288"/>
        <v>0.44500000000000001</v>
      </c>
      <c r="EF213">
        <f t="shared" si="4289"/>
        <v>5.0000000000000001E-3</v>
      </c>
      <c r="EG213">
        <f t="shared" si="4290"/>
        <v>2.5000000000000001E-2</v>
      </c>
      <c r="EH213">
        <f t="shared" si="4291"/>
        <v>8.5000000000000006E-2</v>
      </c>
      <c r="EI213">
        <f t="shared" si="4292"/>
        <v>0.22500000000000001</v>
      </c>
      <c r="EJ213">
        <f t="shared" si="4293"/>
        <v>0.105</v>
      </c>
      <c r="EK213">
        <f t="shared" si="4294"/>
        <v>0</v>
      </c>
      <c r="EL213">
        <f t="shared" si="4295"/>
        <v>0</v>
      </c>
      <c r="EM213">
        <f t="shared" si="4296"/>
        <v>0.23499999999999999</v>
      </c>
      <c r="EN213">
        <f t="shared" si="4297"/>
        <v>0</v>
      </c>
      <c r="EO213">
        <f t="shared" si="4298"/>
        <v>0.02</v>
      </c>
      <c r="EP213">
        <f t="shared" si="4299"/>
        <v>0.215</v>
      </c>
      <c r="EQ213">
        <f t="shared" si="4300"/>
        <v>0</v>
      </c>
      <c r="ER213">
        <f t="shared" si="4301"/>
        <v>0</v>
      </c>
      <c r="ES213">
        <f t="shared" si="4302"/>
        <v>0.04</v>
      </c>
      <c r="ET213">
        <f t="shared" si="4303"/>
        <v>2.5000000000000001E-2</v>
      </c>
      <c r="EU213">
        <f t="shared" si="4304"/>
        <v>1.4999999999999999E-2</v>
      </c>
      <c r="EV213">
        <f t="shared" si="4305"/>
        <v>0</v>
      </c>
      <c r="EW213">
        <f t="shared" si="4306"/>
        <v>0</v>
      </c>
      <c r="EX213">
        <f t="shared" si="4307"/>
        <v>0</v>
      </c>
      <c r="EY213">
        <f t="shared" si="4308"/>
        <v>0</v>
      </c>
      <c r="EZ213">
        <f t="shared" si="4309"/>
        <v>26.5</v>
      </c>
      <c r="FA213">
        <f t="shared" si="4310"/>
        <v>87</v>
      </c>
      <c r="FB213">
        <f t="shared" si="4311"/>
        <v>102</v>
      </c>
      <c r="FC213">
        <f t="shared" si="4312"/>
        <v>188.5</v>
      </c>
      <c r="FD213">
        <f t="shared" si="4313"/>
        <v>144</v>
      </c>
      <c r="FE213">
        <f t="shared" si="4314"/>
        <v>43</v>
      </c>
      <c r="FF213">
        <f t="shared" si="4315"/>
        <v>19.5</v>
      </c>
      <c r="FG213">
        <f t="shared" si="4316"/>
        <v>93.5</v>
      </c>
      <c r="FH213">
        <f t="shared" si="4317"/>
        <v>75.5</v>
      </c>
      <c r="FI213">
        <f t="shared" si="4318"/>
        <v>123.5</v>
      </c>
      <c r="FJ213">
        <f t="shared" si="4319"/>
        <v>55.5</v>
      </c>
      <c r="FK213">
        <f t="shared" si="4320"/>
        <v>49.5</v>
      </c>
      <c r="FL213">
        <f t="shared" si="4321"/>
        <v>63</v>
      </c>
      <c r="FM213">
        <f t="shared" si="4322"/>
        <v>142.5</v>
      </c>
      <c r="FN213">
        <f t="shared" si="4323"/>
        <v>409</v>
      </c>
      <c r="FO213">
        <f t="shared" si="4324"/>
        <v>37</v>
      </c>
      <c r="FP213">
        <f t="shared" si="4325"/>
        <v>196.5</v>
      </c>
      <c r="FQ213">
        <f t="shared" si="4326"/>
        <v>107.5</v>
      </c>
      <c r="FR213">
        <f t="shared" si="4327"/>
        <v>0</v>
      </c>
      <c r="FS213">
        <f t="shared" si="4328"/>
        <v>0</v>
      </c>
      <c r="FT213">
        <f t="shared" si="4329"/>
        <v>0</v>
      </c>
      <c r="FU213">
        <f t="shared" si="4330"/>
        <v>0</v>
      </c>
      <c r="FV213">
        <f t="shared" si="4331"/>
        <v>0</v>
      </c>
      <c r="FW213">
        <f t="shared" si="4332"/>
        <v>2.5</v>
      </c>
    </row>
    <row r="214" spans="1:179" x14ac:dyDescent="0.35">
      <c r="C214">
        <f>SUM(C210:C213)</f>
        <v>100</v>
      </c>
      <c r="CN214">
        <f t="shared" ref="CN214:DS214" si="4333">SUM(CN210:CN213)</f>
        <v>167.25</v>
      </c>
      <c r="CO214">
        <f t="shared" si="4333"/>
        <v>703.95</v>
      </c>
      <c r="CP214">
        <f t="shared" si="4333"/>
        <v>7.02</v>
      </c>
      <c r="CQ214">
        <f t="shared" si="4333"/>
        <v>4.2699999999999996</v>
      </c>
      <c r="CR214">
        <f t="shared" si="4333"/>
        <v>2.75</v>
      </c>
      <c r="CS214">
        <f t="shared" si="4333"/>
        <v>6.835</v>
      </c>
      <c r="CT214">
        <f t="shared" si="4333"/>
        <v>6.66</v>
      </c>
      <c r="CU214">
        <f t="shared" si="4333"/>
        <v>0.17499999999999999</v>
      </c>
      <c r="CV214">
        <f t="shared" si="4333"/>
        <v>90.2</v>
      </c>
      <c r="CW214">
        <f t="shared" si="4333"/>
        <v>20.465</v>
      </c>
      <c r="CX214">
        <f t="shared" si="4333"/>
        <v>17.475000000000001</v>
      </c>
      <c r="CY214">
        <f t="shared" si="4333"/>
        <v>2.99</v>
      </c>
      <c r="CZ214">
        <f t="shared" si="4333"/>
        <v>0.55000000000000004</v>
      </c>
      <c r="DA214">
        <f t="shared" si="4333"/>
        <v>0</v>
      </c>
      <c r="DB214">
        <f t="shared" si="4333"/>
        <v>63.924999999999997</v>
      </c>
      <c r="DC214">
        <f t="shared" si="4333"/>
        <v>0.52500000000000002</v>
      </c>
      <c r="DD214">
        <f t="shared" si="4333"/>
        <v>75.099999999999994</v>
      </c>
      <c r="DE214">
        <f t="shared" si="4333"/>
        <v>51.5</v>
      </c>
      <c r="DF214">
        <f t="shared" si="4333"/>
        <v>143.85</v>
      </c>
      <c r="DG214">
        <f t="shared" si="4333"/>
        <v>108.8</v>
      </c>
      <c r="DH214">
        <f t="shared" si="4333"/>
        <v>0.47249999999999998</v>
      </c>
      <c r="DI214">
        <f t="shared" si="4333"/>
        <v>38.200000000000003</v>
      </c>
      <c r="DJ214">
        <f t="shared" si="4333"/>
        <v>3.4499999999999996E-2</v>
      </c>
      <c r="DK214">
        <f t="shared" si="4333"/>
        <v>2.5374999999999996</v>
      </c>
      <c r="DL214">
        <f t="shared" si="4333"/>
        <v>118.6</v>
      </c>
      <c r="DM214">
        <f t="shared" si="4333"/>
        <v>20.125</v>
      </c>
      <c r="DN214">
        <f t="shared" si="4333"/>
        <v>0.17874999999999999</v>
      </c>
      <c r="DO214">
        <f t="shared" si="4333"/>
        <v>84.4</v>
      </c>
      <c r="DP214">
        <f t="shared" si="4333"/>
        <v>6.3250000000000001E-2</v>
      </c>
      <c r="DQ214">
        <f t="shared" si="4333"/>
        <v>0.15350000000000003</v>
      </c>
      <c r="DR214">
        <f t="shared" si="4333"/>
        <v>0.5</v>
      </c>
      <c r="DS214">
        <f t="shared" si="4333"/>
        <v>0.32024999999999998</v>
      </c>
      <c r="DT214">
        <f t="shared" ref="DT214:EY214" si="4334">SUM(DT210:DT213)</f>
        <v>9.9250000000000005E-2</v>
      </c>
      <c r="DU214">
        <f t="shared" si="4334"/>
        <v>21.024999999999999</v>
      </c>
      <c r="DV214">
        <f t="shared" si="4334"/>
        <v>0.61599999999999999</v>
      </c>
      <c r="DW214">
        <f t="shared" si="4334"/>
        <v>5.5024999999999995</v>
      </c>
      <c r="DX214">
        <f t="shared" si="4334"/>
        <v>0.7024999999999999</v>
      </c>
      <c r="DY214">
        <f t="shared" si="4334"/>
        <v>102</v>
      </c>
      <c r="DZ214">
        <f t="shared" si="4334"/>
        <v>97</v>
      </c>
      <c r="EA214">
        <f t="shared" si="4334"/>
        <v>29.1</v>
      </c>
      <c r="EB214">
        <f t="shared" si="4334"/>
        <v>0.50949999999999995</v>
      </c>
      <c r="EC214">
        <f t="shared" si="4334"/>
        <v>0.39499999999999996</v>
      </c>
      <c r="ED214">
        <f t="shared" si="4334"/>
        <v>0.57100000000000006</v>
      </c>
      <c r="EE214">
        <f t="shared" si="4334"/>
        <v>3.5379999999999998</v>
      </c>
      <c r="EF214">
        <f t="shared" si="4334"/>
        <v>0.39600000000000002</v>
      </c>
      <c r="EG214">
        <f t="shared" si="4334"/>
        <v>0.14450000000000002</v>
      </c>
      <c r="EH214">
        <f t="shared" si="4334"/>
        <v>0.50650000000000006</v>
      </c>
      <c r="EI214">
        <f t="shared" si="4334"/>
        <v>1.6680000000000001</v>
      </c>
      <c r="EJ214">
        <f t="shared" si="4334"/>
        <v>0.81824999999999992</v>
      </c>
      <c r="EK214">
        <f t="shared" si="4334"/>
        <v>1.25E-3</v>
      </c>
      <c r="EL214">
        <f t="shared" si="4334"/>
        <v>0</v>
      </c>
      <c r="EM214">
        <f t="shared" si="4334"/>
        <v>1.952</v>
      </c>
      <c r="EN214">
        <f t="shared" si="4334"/>
        <v>5.6999999999999995E-2</v>
      </c>
      <c r="EO214">
        <f t="shared" si="4334"/>
        <v>0.16225000000000001</v>
      </c>
      <c r="EP214">
        <f t="shared" si="4334"/>
        <v>1.734</v>
      </c>
      <c r="EQ214">
        <f t="shared" si="4334"/>
        <v>1.25E-3</v>
      </c>
      <c r="ER214">
        <f t="shared" si="4334"/>
        <v>0</v>
      </c>
      <c r="ES214">
        <f t="shared" si="4334"/>
        <v>0.497</v>
      </c>
      <c r="ET214">
        <f t="shared" si="4334"/>
        <v>0.37800000000000006</v>
      </c>
      <c r="EU214">
        <f t="shared" si="4334"/>
        <v>8.4500000000000006E-2</v>
      </c>
      <c r="EV214">
        <f t="shared" si="4334"/>
        <v>3.3250000000000002E-2</v>
      </c>
      <c r="EW214">
        <f t="shared" si="4334"/>
        <v>0</v>
      </c>
      <c r="EX214">
        <f t="shared" si="4334"/>
        <v>0</v>
      </c>
      <c r="EY214">
        <f t="shared" si="4334"/>
        <v>0</v>
      </c>
      <c r="EZ214">
        <f t="shared" ref="EZ214:FW214" si="4335">SUM(EZ210:EZ213)</f>
        <v>95.5</v>
      </c>
      <c r="FA214">
        <f t="shared" si="4335"/>
        <v>291.10000000000002</v>
      </c>
      <c r="FB214">
        <f t="shared" si="4335"/>
        <v>336.5</v>
      </c>
      <c r="FC214">
        <f t="shared" si="4335"/>
        <v>586.25</v>
      </c>
      <c r="FD214">
        <f t="shared" si="4335"/>
        <v>383.05</v>
      </c>
      <c r="FE214">
        <f t="shared" si="4335"/>
        <v>173.15</v>
      </c>
      <c r="FF214">
        <f t="shared" si="4335"/>
        <v>156.30000000000001</v>
      </c>
      <c r="FG214">
        <f t="shared" si="4335"/>
        <v>355.55</v>
      </c>
      <c r="FH214">
        <f t="shared" si="4335"/>
        <v>264.05</v>
      </c>
      <c r="FI214">
        <f t="shared" si="4335"/>
        <v>403.9</v>
      </c>
      <c r="FJ214">
        <f t="shared" si="4335"/>
        <v>307.89999999999998</v>
      </c>
      <c r="FK214">
        <f t="shared" si="4335"/>
        <v>167.25</v>
      </c>
      <c r="FL214">
        <f t="shared" si="4335"/>
        <v>287.75</v>
      </c>
      <c r="FM214">
        <f t="shared" si="4335"/>
        <v>495.3</v>
      </c>
      <c r="FN214">
        <f t="shared" si="4335"/>
        <v>1729.2</v>
      </c>
      <c r="FO214">
        <f t="shared" si="4335"/>
        <v>213.05</v>
      </c>
      <c r="FP214">
        <f t="shared" si="4335"/>
        <v>627.45000000000005</v>
      </c>
      <c r="FQ214">
        <f t="shared" si="4335"/>
        <v>414.1</v>
      </c>
      <c r="FR214">
        <f t="shared" si="4335"/>
        <v>2.2499999999999999E-2</v>
      </c>
      <c r="FS214">
        <f t="shared" si="4335"/>
        <v>1.2500000000000001E-2</v>
      </c>
      <c r="FT214">
        <f t="shared" si="4335"/>
        <v>0</v>
      </c>
      <c r="FU214">
        <f t="shared" si="4335"/>
        <v>0.35</v>
      </c>
      <c r="FV214">
        <f t="shared" si="4335"/>
        <v>7.4999999999999997E-2</v>
      </c>
      <c r="FW214">
        <f t="shared" si="4335"/>
        <v>2.5550000000000002</v>
      </c>
    </row>
    <row r="216" spans="1:179" x14ac:dyDescent="0.35">
      <c r="A216" s="80" t="s">
        <v>461</v>
      </c>
      <c r="B216" s="72" t="s">
        <v>462</v>
      </c>
      <c r="C216">
        <v>50</v>
      </c>
      <c r="D216" s="54">
        <v>24</v>
      </c>
      <c r="E216" s="54">
        <v>103</v>
      </c>
      <c r="F216" s="54">
        <v>2.1</v>
      </c>
      <c r="G216" s="54">
        <v>0</v>
      </c>
      <c r="H216" s="54">
        <v>2.1</v>
      </c>
      <c r="I216" s="54">
        <v>0.1</v>
      </c>
      <c r="J216" s="54">
        <v>0</v>
      </c>
      <c r="K216" s="54">
        <v>0.1</v>
      </c>
      <c r="L216" s="54">
        <v>0</v>
      </c>
      <c r="M216" s="54">
        <v>2.5</v>
      </c>
      <c r="N216" s="54">
        <v>0</v>
      </c>
      <c r="O216" s="54">
        <v>2.5</v>
      </c>
      <c r="P216" s="54">
        <v>2.9</v>
      </c>
      <c r="Q216" s="54">
        <v>0</v>
      </c>
      <c r="R216" s="54">
        <v>92.2</v>
      </c>
      <c r="S216" s="54">
        <v>1.1000000000000001</v>
      </c>
      <c r="T216" s="54">
        <v>60</v>
      </c>
      <c r="U216" s="54">
        <v>23</v>
      </c>
      <c r="V216" s="54">
        <v>260</v>
      </c>
      <c r="W216" s="54">
        <v>29</v>
      </c>
      <c r="X216" s="54">
        <v>0.23</v>
      </c>
      <c r="Y216" s="81">
        <v>0</v>
      </c>
      <c r="Z216" s="81">
        <v>0</v>
      </c>
      <c r="AA216" s="81">
        <v>0</v>
      </c>
      <c r="AB216" s="81">
        <v>0</v>
      </c>
      <c r="AC216" s="81">
        <v>0</v>
      </c>
      <c r="AD216" s="81">
        <v>0</v>
      </c>
      <c r="AE216" s="81">
        <v>0</v>
      </c>
      <c r="AF216" s="54">
        <v>0.06</v>
      </c>
      <c r="AG216" s="54">
        <v>0.04</v>
      </c>
      <c r="AH216" s="54">
        <v>47</v>
      </c>
      <c r="AI216" s="54">
        <v>0.6</v>
      </c>
      <c r="AJ216" s="54">
        <v>0.17</v>
      </c>
      <c r="AK216" s="54">
        <v>59</v>
      </c>
      <c r="AL216" s="81">
        <v>0</v>
      </c>
      <c r="AM216" s="81">
        <v>0</v>
      </c>
      <c r="AN216" s="81">
        <v>0</v>
      </c>
      <c r="AO216" s="54">
        <v>19</v>
      </c>
      <c r="AP216" s="54">
        <v>0</v>
      </c>
      <c r="AQ216" s="54">
        <v>114</v>
      </c>
      <c r="AR216" s="54">
        <v>0.15</v>
      </c>
      <c r="AS216" s="54">
        <v>0</v>
      </c>
      <c r="AT216" s="81">
        <v>0</v>
      </c>
      <c r="AU216" s="54">
        <v>0.01</v>
      </c>
      <c r="AV216" s="81">
        <v>0</v>
      </c>
      <c r="AW216" s="81">
        <v>0</v>
      </c>
      <c r="AX216" s="81">
        <v>0</v>
      </c>
      <c r="AY216" s="81">
        <v>0</v>
      </c>
      <c r="AZ216" s="81">
        <v>0</v>
      </c>
      <c r="BA216" s="81">
        <v>0</v>
      </c>
      <c r="BB216" s="81">
        <v>0</v>
      </c>
      <c r="BC216" s="54">
        <v>0.01</v>
      </c>
      <c r="BD216" s="82">
        <v>0</v>
      </c>
      <c r="BE216" s="82">
        <v>0</v>
      </c>
      <c r="BF216" s="54">
        <v>0.01</v>
      </c>
      <c r="BG216" s="82">
        <v>0</v>
      </c>
      <c r="BH216" s="82">
        <v>0</v>
      </c>
      <c r="BI216" s="54">
        <v>0.05</v>
      </c>
      <c r="BJ216" s="54">
        <v>0.02</v>
      </c>
      <c r="BK216" s="54">
        <v>0.03</v>
      </c>
      <c r="BL216" s="82">
        <v>0</v>
      </c>
      <c r="BM216" s="82">
        <v>0</v>
      </c>
      <c r="BN216" s="82">
        <v>0</v>
      </c>
      <c r="BO216" s="54">
        <v>0</v>
      </c>
      <c r="BP216" s="56">
        <v>22</v>
      </c>
      <c r="BQ216" s="56">
        <v>80</v>
      </c>
      <c r="BR216" s="56">
        <v>66</v>
      </c>
      <c r="BS216" s="56">
        <v>113</v>
      </c>
      <c r="BT216" s="56">
        <v>66</v>
      </c>
      <c r="BU216" s="56">
        <v>22</v>
      </c>
      <c r="BV216" s="56">
        <v>24</v>
      </c>
      <c r="BW216" s="56">
        <v>64</v>
      </c>
      <c r="BX216" s="56">
        <v>39</v>
      </c>
      <c r="BY216" s="56">
        <v>89</v>
      </c>
      <c r="BZ216" s="56">
        <v>177</v>
      </c>
      <c r="CA216" s="56">
        <v>54</v>
      </c>
      <c r="CB216" s="56">
        <v>108</v>
      </c>
      <c r="CC216" s="56">
        <v>139</v>
      </c>
      <c r="CD216" s="56">
        <v>185</v>
      </c>
      <c r="CE216" s="56">
        <v>101</v>
      </c>
      <c r="CF216" s="56">
        <v>77</v>
      </c>
      <c r="CG216" s="56">
        <v>88</v>
      </c>
      <c r="CH216" s="81">
        <v>0</v>
      </c>
      <c r="CI216" s="81">
        <v>0</v>
      </c>
      <c r="CJ216" s="83">
        <v>0</v>
      </c>
      <c r="CK216" s="81">
        <v>0</v>
      </c>
      <c r="CL216" s="81">
        <v>0</v>
      </c>
      <c r="CM216" s="83">
        <v>0</v>
      </c>
      <c r="CN216">
        <f t="shared" ref="CN216:CN221" si="4336">($C216*D216)/100</f>
        <v>12</v>
      </c>
      <c r="CO216">
        <f t="shared" ref="CO216:CO221" si="4337">($C216*E216)/100</f>
        <v>51.5</v>
      </c>
      <c r="CP216">
        <f t="shared" ref="CP216:CP221" si="4338">($C216*F216)/100</f>
        <v>1.05</v>
      </c>
      <c r="CQ216">
        <f t="shared" ref="CQ216:CQ221" si="4339">($C216*G216)/100</f>
        <v>0</v>
      </c>
      <c r="CR216">
        <f t="shared" ref="CR216:CR221" si="4340">($C216*H216)/100</f>
        <v>1.05</v>
      </c>
      <c r="CS216">
        <f t="shared" ref="CS216:CS221" si="4341">($C216*I216)/100</f>
        <v>0.05</v>
      </c>
      <c r="CT216">
        <f t="shared" ref="CT216:CT221" si="4342">($C216*J216)/100</f>
        <v>0</v>
      </c>
      <c r="CU216">
        <f t="shared" ref="CU216:CU221" si="4343">($C216*K216)/100</f>
        <v>0.05</v>
      </c>
      <c r="CV216">
        <f t="shared" ref="CV216:CV221" si="4344">($C216*L216)/100</f>
        <v>0</v>
      </c>
      <c r="CW216">
        <f t="shared" ref="CW216:CW221" si="4345">($C216*M216)/100</f>
        <v>1.25</v>
      </c>
      <c r="CX216">
        <f t="shared" ref="CX216:CX221" si="4346">($C216*N216)/100</f>
        <v>0</v>
      </c>
      <c r="CY216">
        <f t="shared" ref="CY216:CY221" si="4347">($C216*O216)/100</f>
        <v>1.25</v>
      </c>
      <c r="CZ216">
        <f t="shared" ref="CZ216:CZ221" si="4348">($C216*P216)/100</f>
        <v>1.45</v>
      </c>
      <c r="DA216">
        <f t="shared" ref="DA216:DA221" si="4349">($C216*Q216)/100</f>
        <v>0</v>
      </c>
      <c r="DB216">
        <f t="shared" ref="DB216:DB221" si="4350">($C216*R216)/100</f>
        <v>46.1</v>
      </c>
      <c r="DC216">
        <f t="shared" ref="DC216:DC221" si="4351">($C216*S216)/100</f>
        <v>0.55000000000000004</v>
      </c>
      <c r="DD216">
        <f t="shared" ref="DD216:DD221" si="4352">($C216*T216)/100</f>
        <v>30</v>
      </c>
      <c r="DE216">
        <f t="shared" ref="DE216:DE221" si="4353">($C216*U216)/100</f>
        <v>11.5</v>
      </c>
      <c r="DF216">
        <f t="shared" ref="DF216:DF221" si="4354">($C216*V216)/100</f>
        <v>130</v>
      </c>
      <c r="DG216">
        <f t="shared" ref="DG216:DG221" si="4355">($C216*W216)/100</f>
        <v>14.5</v>
      </c>
      <c r="DH216">
        <f t="shared" ref="DH216:DH221" si="4356">($C216*X216)/100</f>
        <v>0.115</v>
      </c>
      <c r="DI216">
        <f t="shared" ref="DI216:DI221" si="4357">($C216*Y216)/100</f>
        <v>0</v>
      </c>
      <c r="DJ216">
        <f t="shared" ref="DJ216:DJ221" si="4358">($C216*Z216)/100</f>
        <v>0</v>
      </c>
      <c r="DK216">
        <f t="shared" ref="DK216:DK221" si="4359">($C216*AA216)/100</f>
        <v>0</v>
      </c>
      <c r="DL216">
        <f t="shared" ref="DL216:DL221" si="4360">($C216*AB216)/100</f>
        <v>0</v>
      </c>
      <c r="DM216">
        <f t="shared" ref="DM216:DM221" si="4361">($C216*AC216)/100</f>
        <v>0</v>
      </c>
      <c r="DN216">
        <f t="shared" ref="DN216:DN221" si="4362">($C216*AD216)/100</f>
        <v>0</v>
      </c>
      <c r="DO216">
        <f t="shared" ref="DO216:DO221" si="4363">($C216*AE216)/100</f>
        <v>0</v>
      </c>
      <c r="DP216">
        <f t="shared" ref="DP216:DP221" si="4364">($C216*AF216)/100</f>
        <v>0.03</v>
      </c>
      <c r="DQ216">
        <f t="shared" ref="DQ216:DQ221" si="4365">($C216*AG216)/100</f>
        <v>0.02</v>
      </c>
      <c r="DR216">
        <f t="shared" ref="DR216:DR221" si="4366">($C216*AH216)/100</f>
        <v>23.5</v>
      </c>
      <c r="DS216">
        <f t="shared" ref="DS216:DS221" si="4367">($C216*AI216)/100</f>
        <v>0.3</v>
      </c>
      <c r="DT216">
        <f t="shared" ref="DT216:DT221" si="4368">($C216*AJ216)/100</f>
        <v>8.5000000000000006E-2</v>
      </c>
      <c r="DU216">
        <f t="shared" ref="DU216:DU221" si="4369">($C216*AK216)/100</f>
        <v>29.5</v>
      </c>
      <c r="DV216">
        <f t="shared" ref="DV216:DV221" si="4370">($C216*AL216)/100</f>
        <v>0</v>
      </c>
      <c r="DW216">
        <f t="shared" ref="DW216:DW221" si="4371">($C216*AM216)/100</f>
        <v>0</v>
      </c>
      <c r="DX216">
        <f t="shared" ref="DX216:DX221" si="4372">($C216*AN216)/100</f>
        <v>0</v>
      </c>
      <c r="DY216">
        <f t="shared" ref="DY216:DY221" si="4373">($C216*AO216)/100</f>
        <v>9.5</v>
      </c>
      <c r="DZ216">
        <f t="shared" ref="DZ216:DZ221" si="4374">($C216*AP216)/100</f>
        <v>0</v>
      </c>
      <c r="EA216">
        <f t="shared" ref="EA216:EA221" si="4375">($C216*AQ216)/100</f>
        <v>57</v>
      </c>
      <c r="EB216">
        <f t="shared" ref="EB216:EB221" si="4376">($C216*AR216)/100</f>
        <v>7.4999999999999997E-2</v>
      </c>
      <c r="EC216">
        <f t="shared" ref="EC216:EC221" si="4377">($C216*AS216)/100</f>
        <v>0</v>
      </c>
      <c r="ED216">
        <f t="shared" ref="ED216:ED221" si="4378">($C216*AT216)/100</f>
        <v>0</v>
      </c>
      <c r="EE216">
        <f t="shared" ref="EE216:EE221" si="4379">($C216*AU216)/100</f>
        <v>5.0000000000000001E-3</v>
      </c>
      <c r="EF216">
        <f t="shared" ref="EF216:EF221" si="4380">($C216*AV216)/100</f>
        <v>0</v>
      </c>
      <c r="EG216">
        <f t="shared" ref="EG216:EG221" si="4381">($C216*AW216)/100</f>
        <v>0</v>
      </c>
      <c r="EH216">
        <f t="shared" ref="EH216:EH221" si="4382">($C216*AX216)/100</f>
        <v>0</v>
      </c>
      <c r="EI216">
        <f t="shared" ref="EI216:EI221" si="4383">($C216*AY216)/100</f>
        <v>0</v>
      </c>
      <c r="EJ216">
        <f t="shared" ref="EJ216:EJ221" si="4384">($C216*AZ216)/100</f>
        <v>0</v>
      </c>
      <c r="EK216">
        <f t="shared" ref="EK216:EK221" si="4385">($C216*BA216)/100</f>
        <v>0</v>
      </c>
      <c r="EL216">
        <f t="shared" ref="EL216:EL221" si="4386">($C216*BB216)/100</f>
        <v>0</v>
      </c>
      <c r="EM216">
        <f t="shared" ref="EM216:EM221" si="4387">($C216*BC216)/100</f>
        <v>5.0000000000000001E-3</v>
      </c>
      <c r="EN216">
        <f t="shared" ref="EN216:EN221" si="4388">($C216*BD216)/100</f>
        <v>0</v>
      </c>
      <c r="EO216">
        <f t="shared" ref="EO216:EO221" si="4389">($C216*BE216)/100</f>
        <v>0</v>
      </c>
      <c r="EP216">
        <f t="shared" ref="EP216:EP221" si="4390">($C216*BF216)/100</f>
        <v>5.0000000000000001E-3</v>
      </c>
      <c r="EQ216">
        <f t="shared" ref="EQ216:EQ221" si="4391">($C216*BG216)/100</f>
        <v>0</v>
      </c>
      <c r="ER216">
        <f t="shared" ref="ER216:ER221" si="4392">($C216*BH216)/100</f>
        <v>0</v>
      </c>
      <c r="ES216">
        <f t="shared" ref="ES216:ES221" si="4393">($C216*BI216)/100</f>
        <v>2.5000000000000001E-2</v>
      </c>
      <c r="ET216">
        <f t="shared" ref="ET216:ET221" si="4394">($C216*BJ216)/100</f>
        <v>0.01</v>
      </c>
      <c r="EU216">
        <f t="shared" ref="EU216:EU221" si="4395">($C216*BK216)/100</f>
        <v>1.4999999999999999E-2</v>
      </c>
      <c r="EV216">
        <f t="shared" ref="EV216:EV221" si="4396">($C216*BL216)/100</f>
        <v>0</v>
      </c>
      <c r="EW216">
        <f t="shared" ref="EW216:EW221" si="4397">($C216*BM216)/100</f>
        <v>0</v>
      </c>
      <c r="EX216">
        <f t="shared" ref="EX216:EX221" si="4398">($C216*BN216)/100</f>
        <v>0</v>
      </c>
      <c r="EY216">
        <f t="shared" ref="EY216:EY221" si="4399">($C216*BO216)/100</f>
        <v>0</v>
      </c>
      <c r="EZ216">
        <f t="shared" ref="EZ216:EZ221" si="4400">($C216*BP216)/100</f>
        <v>11</v>
      </c>
      <c r="FA216">
        <f t="shared" ref="FA216:FA221" si="4401">($C216*BQ216)/100</f>
        <v>40</v>
      </c>
      <c r="FB216">
        <f t="shared" ref="FB216:FB221" si="4402">($C216*BR216)/100</f>
        <v>33</v>
      </c>
      <c r="FC216">
        <f t="shared" ref="FC216:FC221" si="4403">($C216*BS216)/100</f>
        <v>56.5</v>
      </c>
      <c r="FD216">
        <f t="shared" ref="FD216:FD221" si="4404">($C216*BT216)/100</f>
        <v>33</v>
      </c>
      <c r="FE216">
        <f t="shared" ref="FE216:FE221" si="4405">($C216*BU216)/100</f>
        <v>11</v>
      </c>
      <c r="FF216">
        <f t="shared" ref="FF216:FF221" si="4406">($C216*BV216)/100</f>
        <v>12</v>
      </c>
      <c r="FG216">
        <f t="shared" ref="FG216:FG221" si="4407">($C216*BW216)/100</f>
        <v>32</v>
      </c>
      <c r="FH216">
        <f t="shared" ref="FH216:FH221" si="4408">($C216*BX216)/100</f>
        <v>19.5</v>
      </c>
      <c r="FI216">
        <f t="shared" ref="FI216:FI221" si="4409">($C216*BY216)/100</f>
        <v>44.5</v>
      </c>
      <c r="FJ216">
        <f t="shared" ref="FJ216:FJ221" si="4410">($C216*BZ216)/100</f>
        <v>88.5</v>
      </c>
      <c r="FK216">
        <f t="shared" ref="FK216:FK221" si="4411">($C216*CA216)/100</f>
        <v>27</v>
      </c>
      <c r="FL216">
        <f t="shared" ref="FL216:FL221" si="4412">($C216*CB216)/100</f>
        <v>54</v>
      </c>
      <c r="FM216">
        <f t="shared" ref="FM216:FM221" si="4413">($C216*CC216)/100</f>
        <v>69.5</v>
      </c>
      <c r="FN216">
        <f t="shared" ref="FN216:FN221" si="4414">($C216*CD216)/100</f>
        <v>92.5</v>
      </c>
      <c r="FO216">
        <f t="shared" ref="FO216:FO221" si="4415">($C216*CE216)/100</f>
        <v>50.5</v>
      </c>
      <c r="FP216">
        <f t="shared" ref="FP216:FP221" si="4416">($C216*CF216)/100</f>
        <v>38.5</v>
      </c>
      <c r="FQ216">
        <f t="shared" ref="FQ216:FQ221" si="4417">($C216*CG216)/100</f>
        <v>44</v>
      </c>
      <c r="FR216">
        <f t="shared" ref="FR216:FR221" si="4418">($C216*CH216)/100</f>
        <v>0</v>
      </c>
      <c r="FS216">
        <f t="shared" ref="FS216:FS221" si="4419">($C216*CI216)/100</f>
        <v>0</v>
      </c>
      <c r="FT216">
        <f t="shared" ref="FT216:FT221" si="4420">($C216*CJ216)/100</f>
        <v>0</v>
      </c>
      <c r="FU216">
        <f t="shared" ref="FU216:FU221" si="4421">($C216*CK216)/100</f>
        <v>0</v>
      </c>
      <c r="FV216">
        <f t="shared" ref="FV216:FV221" si="4422">($C216*CL216)/100</f>
        <v>0</v>
      </c>
      <c r="FW216">
        <f t="shared" ref="FW216:FW221" si="4423">($C216*CM216)/100</f>
        <v>0</v>
      </c>
    </row>
    <row r="217" spans="1:179" x14ac:dyDescent="0.35">
      <c r="B217" s="72" t="s">
        <v>253</v>
      </c>
      <c r="C217">
        <v>10</v>
      </c>
      <c r="D217" s="54">
        <v>28</v>
      </c>
      <c r="E217" s="54">
        <v>121</v>
      </c>
      <c r="F217" s="54">
        <v>1</v>
      </c>
      <c r="G217" s="54">
        <v>0</v>
      </c>
      <c r="H217" s="54">
        <v>1</v>
      </c>
      <c r="I217" s="54">
        <v>0.1</v>
      </c>
      <c r="J217" s="54">
        <v>0</v>
      </c>
      <c r="K217" s="54">
        <v>0.1</v>
      </c>
      <c r="L217" s="54">
        <v>0</v>
      </c>
      <c r="M217" s="54">
        <v>5.7</v>
      </c>
      <c r="N217" s="54">
        <v>0</v>
      </c>
      <c r="O217" s="54">
        <v>5.7</v>
      </c>
      <c r="P217" s="54">
        <v>1.1000000000000001</v>
      </c>
      <c r="Q217" s="54">
        <v>0</v>
      </c>
      <c r="R217" s="54">
        <v>92.1</v>
      </c>
      <c r="S217" s="54">
        <v>0.4</v>
      </c>
      <c r="T217" s="54">
        <v>25</v>
      </c>
      <c r="U217" s="54">
        <v>10</v>
      </c>
      <c r="V217" s="54">
        <v>140</v>
      </c>
      <c r="W217" s="54">
        <v>35</v>
      </c>
      <c r="X217" s="54">
        <v>0.3</v>
      </c>
      <c r="Y217" s="81">
        <v>0</v>
      </c>
      <c r="Z217" s="81">
        <v>0</v>
      </c>
      <c r="AA217" s="81">
        <v>0</v>
      </c>
      <c r="AB217" s="81">
        <v>0</v>
      </c>
      <c r="AC217" s="81">
        <v>0</v>
      </c>
      <c r="AD217" s="81">
        <v>0</v>
      </c>
      <c r="AE217" s="81">
        <v>0</v>
      </c>
      <c r="AF217" s="54">
        <v>0.02</v>
      </c>
      <c r="AG217" s="54">
        <v>0.03</v>
      </c>
      <c r="AH217" s="54">
        <v>5</v>
      </c>
      <c r="AI217" s="54">
        <v>0.5</v>
      </c>
      <c r="AJ217" s="54">
        <v>0.14000000000000001</v>
      </c>
      <c r="AK217" s="54">
        <v>12</v>
      </c>
      <c r="AL217" s="81">
        <v>0</v>
      </c>
      <c r="AM217" s="81">
        <v>0</v>
      </c>
      <c r="AN217" s="81">
        <v>0</v>
      </c>
      <c r="AO217" s="54">
        <v>0</v>
      </c>
      <c r="AP217" s="54">
        <v>0</v>
      </c>
      <c r="AQ217" s="54">
        <v>0</v>
      </c>
      <c r="AR217" s="54">
        <v>0.22</v>
      </c>
      <c r="AS217" s="54">
        <v>0</v>
      </c>
      <c r="AT217" s="81">
        <v>0</v>
      </c>
      <c r="AU217" s="54">
        <v>0.02</v>
      </c>
      <c r="AV217" s="81">
        <v>0</v>
      </c>
      <c r="AW217" s="81">
        <v>0</v>
      </c>
      <c r="AX217" s="81">
        <v>0</v>
      </c>
      <c r="AY217" s="81">
        <v>0</v>
      </c>
      <c r="AZ217" s="81">
        <v>0</v>
      </c>
      <c r="BA217" s="81">
        <v>0</v>
      </c>
      <c r="BB217" s="81">
        <v>0</v>
      </c>
      <c r="BC217" s="54">
        <v>0.01</v>
      </c>
      <c r="BD217" s="82">
        <v>0</v>
      </c>
      <c r="BE217" s="82">
        <v>0</v>
      </c>
      <c r="BF217" s="54">
        <v>0.01</v>
      </c>
      <c r="BG217" s="82">
        <v>0</v>
      </c>
      <c r="BH217" s="82">
        <v>0</v>
      </c>
      <c r="BI217" s="54">
        <v>0.03</v>
      </c>
      <c r="BJ217" s="54">
        <v>0.03</v>
      </c>
      <c r="BK217" s="51">
        <v>5.0000000000000001E-3</v>
      </c>
      <c r="BL217" s="82">
        <v>0</v>
      </c>
      <c r="BM217" s="82">
        <v>0</v>
      </c>
      <c r="BN217" s="82">
        <v>0</v>
      </c>
      <c r="BO217" s="54">
        <v>0</v>
      </c>
      <c r="BP217" s="56">
        <v>15</v>
      </c>
      <c r="BQ217" s="56">
        <v>24</v>
      </c>
      <c r="BR217" s="56">
        <v>35</v>
      </c>
      <c r="BS217" s="56">
        <v>35</v>
      </c>
      <c r="BT217" s="56">
        <v>47</v>
      </c>
      <c r="BU217" s="56">
        <v>9</v>
      </c>
      <c r="BV217" s="56">
        <v>18</v>
      </c>
      <c r="BW217" s="56">
        <v>26</v>
      </c>
      <c r="BX217" s="56">
        <v>25</v>
      </c>
      <c r="BY217" s="56">
        <v>23</v>
      </c>
      <c r="BZ217" s="56">
        <v>134</v>
      </c>
      <c r="CA217" s="56">
        <v>16</v>
      </c>
      <c r="CB217" s="56">
        <v>28</v>
      </c>
      <c r="CC217" s="56">
        <v>54</v>
      </c>
      <c r="CD217" s="56">
        <v>161</v>
      </c>
      <c r="CE217" s="56">
        <v>41</v>
      </c>
      <c r="CF217" s="56">
        <v>31</v>
      </c>
      <c r="CG217" s="56">
        <v>29</v>
      </c>
      <c r="CH217" s="81">
        <v>0</v>
      </c>
      <c r="CI217" s="81">
        <v>0</v>
      </c>
      <c r="CJ217" s="83">
        <v>0</v>
      </c>
      <c r="CK217" s="81">
        <v>0</v>
      </c>
      <c r="CL217" s="81">
        <v>0</v>
      </c>
      <c r="CM217" s="83">
        <v>0</v>
      </c>
      <c r="CN217">
        <f t="shared" si="4336"/>
        <v>2.8</v>
      </c>
      <c r="CO217">
        <f t="shared" si="4337"/>
        <v>12.1</v>
      </c>
      <c r="CP217">
        <f t="shared" si="4338"/>
        <v>0.1</v>
      </c>
      <c r="CQ217">
        <f t="shared" si="4339"/>
        <v>0</v>
      </c>
      <c r="CR217">
        <f t="shared" si="4340"/>
        <v>0.1</v>
      </c>
      <c r="CS217">
        <f t="shared" si="4341"/>
        <v>0.01</v>
      </c>
      <c r="CT217">
        <f t="shared" si="4342"/>
        <v>0</v>
      </c>
      <c r="CU217">
        <f t="shared" si="4343"/>
        <v>0.01</v>
      </c>
      <c r="CV217">
        <f t="shared" si="4344"/>
        <v>0</v>
      </c>
      <c r="CW217">
        <f t="shared" si="4345"/>
        <v>0.56999999999999995</v>
      </c>
      <c r="CX217">
        <f t="shared" si="4346"/>
        <v>0</v>
      </c>
      <c r="CY217">
        <f t="shared" si="4347"/>
        <v>0.56999999999999995</v>
      </c>
      <c r="CZ217">
        <f t="shared" si="4348"/>
        <v>0.11</v>
      </c>
      <c r="DA217">
        <f t="shared" si="4349"/>
        <v>0</v>
      </c>
      <c r="DB217">
        <f t="shared" si="4350"/>
        <v>9.2100000000000009</v>
      </c>
      <c r="DC217">
        <f t="shared" si="4351"/>
        <v>0.04</v>
      </c>
      <c r="DD217">
        <f t="shared" si="4352"/>
        <v>2.5</v>
      </c>
      <c r="DE217">
        <f t="shared" si="4353"/>
        <v>1</v>
      </c>
      <c r="DF217">
        <f t="shared" si="4354"/>
        <v>14</v>
      </c>
      <c r="DG217">
        <f t="shared" si="4355"/>
        <v>3.5</v>
      </c>
      <c r="DH217">
        <f t="shared" si="4356"/>
        <v>0.03</v>
      </c>
      <c r="DI217">
        <f t="shared" si="4357"/>
        <v>0</v>
      </c>
      <c r="DJ217">
        <f t="shared" si="4358"/>
        <v>0</v>
      </c>
      <c r="DK217">
        <f t="shared" si="4359"/>
        <v>0</v>
      </c>
      <c r="DL217">
        <f t="shared" si="4360"/>
        <v>0</v>
      </c>
      <c r="DM217">
        <f t="shared" si="4361"/>
        <v>0</v>
      </c>
      <c r="DN217">
        <f t="shared" si="4362"/>
        <v>0</v>
      </c>
      <c r="DO217">
        <f t="shared" si="4363"/>
        <v>0</v>
      </c>
      <c r="DP217">
        <f t="shared" si="4364"/>
        <v>2E-3</v>
      </c>
      <c r="DQ217">
        <f t="shared" si="4365"/>
        <v>3.0000000000000001E-3</v>
      </c>
      <c r="DR217">
        <f t="shared" si="4366"/>
        <v>0.5</v>
      </c>
      <c r="DS217">
        <f t="shared" si="4367"/>
        <v>0.05</v>
      </c>
      <c r="DT217">
        <f t="shared" si="4368"/>
        <v>1.4000000000000002E-2</v>
      </c>
      <c r="DU217">
        <f t="shared" si="4369"/>
        <v>1.2</v>
      </c>
      <c r="DV217">
        <f t="shared" si="4370"/>
        <v>0</v>
      </c>
      <c r="DW217">
        <f t="shared" si="4371"/>
        <v>0</v>
      </c>
      <c r="DX217">
        <f t="shared" si="4372"/>
        <v>0</v>
      </c>
      <c r="DY217">
        <f t="shared" si="4373"/>
        <v>0</v>
      </c>
      <c r="DZ217">
        <f t="shared" si="4374"/>
        <v>0</v>
      </c>
      <c r="EA217">
        <f t="shared" si="4375"/>
        <v>0</v>
      </c>
      <c r="EB217">
        <f t="shared" si="4376"/>
        <v>2.2000000000000002E-2</v>
      </c>
      <c r="EC217">
        <f t="shared" si="4377"/>
        <v>0</v>
      </c>
      <c r="ED217">
        <f t="shared" si="4378"/>
        <v>0</v>
      </c>
      <c r="EE217">
        <f t="shared" si="4379"/>
        <v>2E-3</v>
      </c>
      <c r="EF217">
        <f t="shared" si="4380"/>
        <v>0</v>
      </c>
      <c r="EG217">
        <f t="shared" si="4381"/>
        <v>0</v>
      </c>
      <c r="EH217">
        <f t="shared" si="4382"/>
        <v>0</v>
      </c>
      <c r="EI217">
        <f t="shared" si="4383"/>
        <v>0</v>
      </c>
      <c r="EJ217">
        <f t="shared" si="4384"/>
        <v>0</v>
      </c>
      <c r="EK217">
        <f t="shared" si="4385"/>
        <v>0</v>
      </c>
      <c r="EL217">
        <f t="shared" si="4386"/>
        <v>0</v>
      </c>
      <c r="EM217">
        <f t="shared" si="4387"/>
        <v>1E-3</v>
      </c>
      <c r="EN217">
        <f t="shared" si="4388"/>
        <v>0</v>
      </c>
      <c r="EO217">
        <f t="shared" si="4389"/>
        <v>0</v>
      </c>
      <c r="EP217">
        <f t="shared" si="4390"/>
        <v>1E-3</v>
      </c>
      <c r="EQ217">
        <f t="shared" si="4391"/>
        <v>0</v>
      </c>
      <c r="ER217">
        <f t="shared" si="4392"/>
        <v>0</v>
      </c>
      <c r="ES217">
        <f t="shared" si="4393"/>
        <v>3.0000000000000001E-3</v>
      </c>
      <c r="ET217">
        <f t="shared" si="4394"/>
        <v>3.0000000000000001E-3</v>
      </c>
      <c r="EU217">
        <f t="shared" si="4395"/>
        <v>5.0000000000000001E-4</v>
      </c>
      <c r="EV217">
        <f t="shared" si="4396"/>
        <v>0</v>
      </c>
      <c r="EW217">
        <f t="shared" si="4397"/>
        <v>0</v>
      </c>
      <c r="EX217">
        <f t="shared" si="4398"/>
        <v>0</v>
      </c>
      <c r="EY217">
        <f t="shared" si="4399"/>
        <v>0</v>
      </c>
      <c r="EZ217">
        <f t="shared" si="4400"/>
        <v>1.5</v>
      </c>
      <c r="FA217">
        <f t="shared" si="4401"/>
        <v>2.4</v>
      </c>
      <c r="FB217">
        <f t="shared" si="4402"/>
        <v>3.5</v>
      </c>
      <c r="FC217">
        <f t="shared" si="4403"/>
        <v>3.5</v>
      </c>
      <c r="FD217">
        <f t="shared" si="4404"/>
        <v>4.7</v>
      </c>
      <c r="FE217">
        <f t="shared" si="4405"/>
        <v>0.9</v>
      </c>
      <c r="FF217">
        <f t="shared" si="4406"/>
        <v>1.8</v>
      </c>
      <c r="FG217">
        <f t="shared" si="4407"/>
        <v>2.6</v>
      </c>
      <c r="FH217">
        <f t="shared" si="4408"/>
        <v>2.5</v>
      </c>
      <c r="FI217">
        <f t="shared" si="4409"/>
        <v>2.2999999999999998</v>
      </c>
      <c r="FJ217">
        <f t="shared" si="4410"/>
        <v>13.4</v>
      </c>
      <c r="FK217">
        <f t="shared" si="4411"/>
        <v>1.6</v>
      </c>
      <c r="FL217">
        <f t="shared" si="4412"/>
        <v>2.8</v>
      </c>
      <c r="FM217">
        <f t="shared" si="4413"/>
        <v>5.4</v>
      </c>
      <c r="FN217">
        <f t="shared" si="4414"/>
        <v>16.100000000000001</v>
      </c>
      <c r="FO217">
        <f t="shared" si="4415"/>
        <v>4.0999999999999996</v>
      </c>
      <c r="FP217">
        <f t="shared" si="4416"/>
        <v>3.1</v>
      </c>
      <c r="FQ217">
        <f t="shared" si="4417"/>
        <v>2.9</v>
      </c>
      <c r="FR217">
        <f t="shared" si="4418"/>
        <v>0</v>
      </c>
      <c r="FS217">
        <f t="shared" si="4419"/>
        <v>0</v>
      </c>
      <c r="FT217">
        <f t="shared" si="4420"/>
        <v>0</v>
      </c>
      <c r="FU217">
        <f t="shared" si="4421"/>
        <v>0</v>
      </c>
      <c r="FV217">
        <f t="shared" si="4422"/>
        <v>0</v>
      </c>
      <c r="FW217">
        <f t="shared" si="4423"/>
        <v>0</v>
      </c>
    </row>
    <row r="218" spans="1:179" x14ac:dyDescent="0.35">
      <c r="B218" s="72" t="s">
        <v>355</v>
      </c>
      <c r="C218">
        <v>15</v>
      </c>
      <c r="D218" s="54">
        <v>39</v>
      </c>
      <c r="E218" s="54">
        <v>165</v>
      </c>
      <c r="F218" s="54">
        <v>1.1000000000000001</v>
      </c>
      <c r="G218" s="54">
        <v>0</v>
      </c>
      <c r="H218" s="54">
        <v>1.1000000000000001</v>
      </c>
      <c r="I218" s="54">
        <v>0</v>
      </c>
      <c r="J218" s="54">
        <v>0</v>
      </c>
      <c r="K218" s="54">
        <v>0</v>
      </c>
      <c r="L218" s="54">
        <v>0</v>
      </c>
      <c r="M218" s="54">
        <v>7.6</v>
      </c>
      <c r="N218" s="54">
        <v>0</v>
      </c>
      <c r="O218" s="54">
        <v>7.6</v>
      </c>
      <c r="P218" s="54">
        <v>3.1</v>
      </c>
      <c r="Q218" s="54">
        <v>0</v>
      </c>
      <c r="R218" s="54">
        <v>91.6</v>
      </c>
      <c r="S218" s="54">
        <v>0.7</v>
      </c>
      <c r="T218" s="54">
        <v>44</v>
      </c>
      <c r="U218" s="54">
        <v>95</v>
      </c>
      <c r="V218" s="54">
        <v>220</v>
      </c>
      <c r="W218" s="54">
        <v>37</v>
      </c>
      <c r="X218" s="54">
        <v>0.4</v>
      </c>
      <c r="Y218" s="81">
        <v>0</v>
      </c>
      <c r="Z218" s="81">
        <v>0</v>
      </c>
      <c r="AA218" s="81">
        <v>0</v>
      </c>
      <c r="AB218" s="81">
        <v>0</v>
      </c>
      <c r="AC218" s="81">
        <v>0</v>
      </c>
      <c r="AD218" s="81">
        <v>0</v>
      </c>
      <c r="AE218" s="81">
        <v>0</v>
      </c>
      <c r="AF218" s="54">
        <v>0.04</v>
      </c>
      <c r="AG218" s="54">
        <v>0.04</v>
      </c>
      <c r="AH218" s="54">
        <v>4</v>
      </c>
      <c r="AI218" s="54">
        <v>0.7</v>
      </c>
      <c r="AJ218" s="54">
        <v>0.12</v>
      </c>
      <c r="AK218" s="54">
        <v>10</v>
      </c>
      <c r="AL218" s="81">
        <v>0</v>
      </c>
      <c r="AM218" s="81">
        <v>0</v>
      </c>
      <c r="AN218" s="81">
        <v>0</v>
      </c>
      <c r="AO218" s="54">
        <v>1148</v>
      </c>
      <c r="AP218" s="54">
        <v>0</v>
      </c>
      <c r="AQ218" s="54">
        <v>6888</v>
      </c>
      <c r="AR218" s="54">
        <v>0.46</v>
      </c>
      <c r="AS218" s="54">
        <v>0</v>
      </c>
      <c r="AT218" s="81">
        <v>0</v>
      </c>
      <c r="AU218" s="54">
        <v>0</v>
      </c>
      <c r="AV218" s="54">
        <v>0</v>
      </c>
      <c r="AW218" s="54">
        <v>0</v>
      </c>
      <c r="AX218" s="54">
        <v>0</v>
      </c>
      <c r="AY218" s="54">
        <v>0</v>
      </c>
      <c r="AZ218" s="54">
        <v>0</v>
      </c>
      <c r="BA218" s="54">
        <v>0</v>
      </c>
      <c r="BB218" s="54">
        <v>0</v>
      </c>
      <c r="BC218" s="54">
        <v>0</v>
      </c>
      <c r="BD218" s="54">
        <v>0</v>
      </c>
      <c r="BE218" s="54">
        <v>0</v>
      </c>
      <c r="BF218" s="54">
        <v>0</v>
      </c>
      <c r="BG218" s="54">
        <v>0</v>
      </c>
      <c r="BH218" s="54">
        <v>0</v>
      </c>
      <c r="BI218" s="54">
        <v>0</v>
      </c>
      <c r="BJ218" s="54">
        <v>0</v>
      </c>
      <c r="BK218" s="54">
        <v>0</v>
      </c>
      <c r="BL218" s="54">
        <v>0</v>
      </c>
      <c r="BM218" s="54">
        <v>0</v>
      </c>
      <c r="BN218" s="54">
        <v>0</v>
      </c>
      <c r="BO218" s="54">
        <v>0</v>
      </c>
      <c r="BP218" s="56">
        <v>12</v>
      </c>
      <c r="BQ218" s="56">
        <v>41</v>
      </c>
      <c r="BR218" s="56">
        <v>44</v>
      </c>
      <c r="BS218" s="56">
        <v>46</v>
      </c>
      <c r="BT218" s="56">
        <v>43</v>
      </c>
      <c r="BU218" s="56">
        <v>7</v>
      </c>
      <c r="BV218" s="56">
        <v>9</v>
      </c>
      <c r="BW218" s="56">
        <v>34</v>
      </c>
      <c r="BX218" s="56">
        <v>21</v>
      </c>
      <c r="BY218" s="56">
        <v>47</v>
      </c>
      <c r="BZ218" s="56">
        <v>46</v>
      </c>
      <c r="CA218" s="56">
        <v>17</v>
      </c>
      <c r="CB218" s="56">
        <v>63</v>
      </c>
      <c r="CC218" s="56">
        <v>146</v>
      </c>
      <c r="CD218" s="56">
        <v>216</v>
      </c>
      <c r="CE218" s="56">
        <v>32</v>
      </c>
      <c r="CF218" s="56">
        <v>31</v>
      </c>
      <c r="CG218" s="56">
        <v>37</v>
      </c>
      <c r="CH218" s="81">
        <v>0</v>
      </c>
      <c r="CI218" s="81">
        <v>0</v>
      </c>
      <c r="CJ218" s="83">
        <v>0</v>
      </c>
      <c r="CK218" s="81">
        <v>0</v>
      </c>
      <c r="CL218" s="81">
        <v>0</v>
      </c>
      <c r="CM218" s="83">
        <v>0</v>
      </c>
      <c r="CN218">
        <f t="shared" si="4336"/>
        <v>5.85</v>
      </c>
      <c r="CO218">
        <f t="shared" si="4337"/>
        <v>24.75</v>
      </c>
      <c r="CP218">
        <f t="shared" si="4338"/>
        <v>0.16500000000000001</v>
      </c>
      <c r="CQ218">
        <f t="shared" si="4339"/>
        <v>0</v>
      </c>
      <c r="CR218">
        <f t="shared" si="4340"/>
        <v>0.16500000000000001</v>
      </c>
      <c r="CS218">
        <f t="shared" si="4341"/>
        <v>0</v>
      </c>
      <c r="CT218">
        <f t="shared" si="4342"/>
        <v>0</v>
      </c>
      <c r="CU218">
        <f t="shared" si="4343"/>
        <v>0</v>
      </c>
      <c r="CV218">
        <f t="shared" si="4344"/>
        <v>0</v>
      </c>
      <c r="CW218">
        <f t="shared" si="4345"/>
        <v>1.1399999999999999</v>
      </c>
      <c r="CX218">
        <f t="shared" si="4346"/>
        <v>0</v>
      </c>
      <c r="CY218">
        <f t="shared" si="4347"/>
        <v>1.1399999999999999</v>
      </c>
      <c r="CZ218">
        <f t="shared" si="4348"/>
        <v>0.46500000000000002</v>
      </c>
      <c r="DA218">
        <f t="shared" si="4349"/>
        <v>0</v>
      </c>
      <c r="DB218">
        <f t="shared" si="4350"/>
        <v>13.74</v>
      </c>
      <c r="DC218">
        <f t="shared" si="4351"/>
        <v>0.105</v>
      </c>
      <c r="DD218">
        <f t="shared" si="4352"/>
        <v>6.6</v>
      </c>
      <c r="DE218">
        <f t="shared" si="4353"/>
        <v>14.25</v>
      </c>
      <c r="DF218">
        <f t="shared" si="4354"/>
        <v>33</v>
      </c>
      <c r="DG218">
        <f t="shared" si="4355"/>
        <v>5.55</v>
      </c>
      <c r="DH218">
        <f t="shared" si="4356"/>
        <v>0.06</v>
      </c>
      <c r="DI218">
        <f t="shared" si="4357"/>
        <v>0</v>
      </c>
      <c r="DJ218">
        <f t="shared" si="4358"/>
        <v>0</v>
      </c>
      <c r="DK218">
        <f t="shared" si="4359"/>
        <v>0</v>
      </c>
      <c r="DL218">
        <f t="shared" si="4360"/>
        <v>0</v>
      </c>
      <c r="DM218">
        <f t="shared" si="4361"/>
        <v>0</v>
      </c>
      <c r="DN218">
        <f t="shared" si="4362"/>
        <v>0</v>
      </c>
      <c r="DO218">
        <f t="shared" si="4363"/>
        <v>0</v>
      </c>
      <c r="DP218">
        <f t="shared" si="4364"/>
        <v>6.0000000000000001E-3</v>
      </c>
      <c r="DQ218">
        <f t="shared" si="4365"/>
        <v>6.0000000000000001E-3</v>
      </c>
      <c r="DR218">
        <f t="shared" si="4366"/>
        <v>0.6</v>
      </c>
      <c r="DS218">
        <f t="shared" si="4367"/>
        <v>0.105</v>
      </c>
      <c r="DT218">
        <f t="shared" si="4368"/>
        <v>1.7999999999999999E-2</v>
      </c>
      <c r="DU218">
        <f t="shared" si="4369"/>
        <v>1.5</v>
      </c>
      <c r="DV218">
        <f t="shared" si="4370"/>
        <v>0</v>
      </c>
      <c r="DW218">
        <f t="shared" si="4371"/>
        <v>0</v>
      </c>
      <c r="DX218">
        <f t="shared" si="4372"/>
        <v>0</v>
      </c>
      <c r="DY218">
        <f t="shared" si="4373"/>
        <v>172.2</v>
      </c>
      <c r="DZ218">
        <f t="shared" si="4374"/>
        <v>0</v>
      </c>
      <c r="EA218">
        <f t="shared" si="4375"/>
        <v>1033.2</v>
      </c>
      <c r="EB218">
        <f t="shared" si="4376"/>
        <v>6.9000000000000006E-2</v>
      </c>
      <c r="EC218">
        <f t="shared" si="4377"/>
        <v>0</v>
      </c>
      <c r="ED218">
        <f t="shared" si="4378"/>
        <v>0</v>
      </c>
      <c r="EE218">
        <f t="shared" si="4379"/>
        <v>0</v>
      </c>
      <c r="EF218">
        <f t="shared" si="4380"/>
        <v>0</v>
      </c>
      <c r="EG218">
        <f t="shared" si="4381"/>
        <v>0</v>
      </c>
      <c r="EH218">
        <f t="shared" si="4382"/>
        <v>0</v>
      </c>
      <c r="EI218">
        <f t="shared" si="4383"/>
        <v>0</v>
      </c>
      <c r="EJ218">
        <f t="shared" si="4384"/>
        <v>0</v>
      </c>
      <c r="EK218">
        <f t="shared" si="4385"/>
        <v>0</v>
      </c>
      <c r="EL218">
        <f t="shared" si="4386"/>
        <v>0</v>
      </c>
      <c r="EM218">
        <f t="shared" si="4387"/>
        <v>0</v>
      </c>
      <c r="EN218">
        <f t="shared" si="4388"/>
        <v>0</v>
      </c>
      <c r="EO218">
        <f t="shared" si="4389"/>
        <v>0</v>
      </c>
      <c r="EP218">
        <f t="shared" si="4390"/>
        <v>0</v>
      </c>
      <c r="EQ218">
        <f t="shared" si="4391"/>
        <v>0</v>
      </c>
      <c r="ER218">
        <f t="shared" si="4392"/>
        <v>0</v>
      </c>
      <c r="ES218">
        <f t="shared" si="4393"/>
        <v>0</v>
      </c>
      <c r="ET218">
        <f t="shared" si="4394"/>
        <v>0</v>
      </c>
      <c r="EU218">
        <f t="shared" si="4395"/>
        <v>0</v>
      </c>
      <c r="EV218">
        <f t="shared" si="4396"/>
        <v>0</v>
      </c>
      <c r="EW218">
        <f t="shared" si="4397"/>
        <v>0</v>
      </c>
      <c r="EX218">
        <f t="shared" si="4398"/>
        <v>0</v>
      </c>
      <c r="EY218">
        <f t="shared" si="4399"/>
        <v>0</v>
      </c>
      <c r="EZ218">
        <f t="shared" si="4400"/>
        <v>1.8</v>
      </c>
      <c r="FA218">
        <f t="shared" si="4401"/>
        <v>6.15</v>
      </c>
      <c r="FB218">
        <f t="shared" si="4402"/>
        <v>6.6</v>
      </c>
      <c r="FC218">
        <f t="shared" si="4403"/>
        <v>6.9</v>
      </c>
      <c r="FD218">
        <f t="shared" si="4404"/>
        <v>6.45</v>
      </c>
      <c r="FE218">
        <f t="shared" si="4405"/>
        <v>1.05</v>
      </c>
      <c r="FF218">
        <f t="shared" si="4406"/>
        <v>1.35</v>
      </c>
      <c r="FG218">
        <f t="shared" si="4407"/>
        <v>5.0999999999999996</v>
      </c>
      <c r="FH218">
        <f t="shared" si="4408"/>
        <v>3.15</v>
      </c>
      <c r="FI218">
        <f t="shared" si="4409"/>
        <v>7.05</v>
      </c>
      <c r="FJ218">
        <f t="shared" si="4410"/>
        <v>6.9</v>
      </c>
      <c r="FK218">
        <f t="shared" si="4411"/>
        <v>2.5499999999999998</v>
      </c>
      <c r="FL218">
        <f t="shared" si="4412"/>
        <v>9.4499999999999993</v>
      </c>
      <c r="FM218">
        <f t="shared" si="4413"/>
        <v>21.9</v>
      </c>
      <c r="FN218">
        <f t="shared" si="4414"/>
        <v>32.4</v>
      </c>
      <c r="FO218">
        <f t="shared" si="4415"/>
        <v>4.8</v>
      </c>
      <c r="FP218">
        <f t="shared" si="4416"/>
        <v>4.6500000000000004</v>
      </c>
      <c r="FQ218">
        <f t="shared" si="4417"/>
        <v>5.55</v>
      </c>
      <c r="FR218">
        <f t="shared" si="4418"/>
        <v>0</v>
      </c>
      <c r="FS218">
        <f t="shared" si="4419"/>
        <v>0</v>
      </c>
      <c r="FT218">
        <f t="shared" si="4420"/>
        <v>0</v>
      </c>
      <c r="FU218">
        <f t="shared" si="4421"/>
        <v>0</v>
      </c>
      <c r="FV218">
        <f t="shared" si="4422"/>
        <v>0</v>
      </c>
      <c r="FW218">
        <f t="shared" si="4423"/>
        <v>0</v>
      </c>
    </row>
    <row r="219" spans="1:179" x14ac:dyDescent="0.35">
      <c r="B219" s="72" t="s">
        <v>261</v>
      </c>
      <c r="C219">
        <v>15</v>
      </c>
      <c r="D219" s="54">
        <v>66</v>
      </c>
      <c r="E219" s="54">
        <v>278</v>
      </c>
      <c r="F219" s="54">
        <v>3.8</v>
      </c>
      <c r="G219" s="54">
        <v>3.8</v>
      </c>
      <c r="H219" s="54">
        <v>0</v>
      </c>
      <c r="I219" s="54">
        <v>3.9</v>
      </c>
      <c r="J219" s="54">
        <v>3.9</v>
      </c>
      <c r="K219" s="54">
        <v>0</v>
      </c>
      <c r="L219" s="54">
        <v>11</v>
      </c>
      <c r="M219" s="54">
        <v>4.3</v>
      </c>
      <c r="N219" s="54">
        <v>0</v>
      </c>
      <c r="O219" s="54">
        <v>4.3</v>
      </c>
      <c r="P219" s="54">
        <v>0</v>
      </c>
      <c r="Q219" s="54">
        <v>0</v>
      </c>
      <c r="R219" s="54">
        <v>87</v>
      </c>
      <c r="S219" s="54">
        <v>0.1</v>
      </c>
      <c r="T219" s="54">
        <v>125</v>
      </c>
      <c r="U219" s="54">
        <v>48</v>
      </c>
      <c r="V219" s="54">
        <v>170</v>
      </c>
      <c r="W219" s="54">
        <v>105</v>
      </c>
      <c r="X219" s="54">
        <v>0.41</v>
      </c>
      <c r="Y219" s="54">
        <v>12</v>
      </c>
      <c r="Z219" s="51">
        <v>5.0000000000000001E-3</v>
      </c>
      <c r="AA219" s="54">
        <v>2</v>
      </c>
      <c r="AB219" s="54">
        <v>170</v>
      </c>
      <c r="AC219" s="54">
        <v>63</v>
      </c>
      <c r="AD219" s="51">
        <v>5.0000000000000001E-3</v>
      </c>
      <c r="AE219" s="54">
        <v>53</v>
      </c>
      <c r="AF219" s="54">
        <v>0.04</v>
      </c>
      <c r="AG219" s="54">
        <v>0.19</v>
      </c>
      <c r="AH219" s="54">
        <v>1</v>
      </c>
      <c r="AI219" s="54">
        <v>0.11</v>
      </c>
      <c r="AJ219" s="54">
        <v>0.1</v>
      </c>
      <c r="AK219" s="54">
        <v>18</v>
      </c>
      <c r="AL219" s="54">
        <v>0.5</v>
      </c>
      <c r="AM219" s="54">
        <v>2.6</v>
      </c>
      <c r="AN219" s="54">
        <v>0.2</v>
      </c>
      <c r="AO219" s="54">
        <v>34</v>
      </c>
      <c r="AP219" s="54">
        <v>31</v>
      </c>
      <c r="AQ219" s="54">
        <v>16</v>
      </c>
      <c r="AR219" s="54">
        <v>0.08</v>
      </c>
      <c r="AS219" s="54">
        <v>0.04</v>
      </c>
      <c r="AT219" s="55">
        <v>0.2</v>
      </c>
      <c r="AU219" s="54">
        <v>2.0699999999999998</v>
      </c>
      <c r="AV219" s="54">
        <v>0.33</v>
      </c>
      <c r="AW219" s="54">
        <v>0.12</v>
      </c>
      <c r="AX219" s="54">
        <v>0.36</v>
      </c>
      <c r="AY219" s="54">
        <v>0.92</v>
      </c>
      <c r="AZ219" s="54">
        <v>0.34</v>
      </c>
      <c r="BA219" s="65">
        <v>0</v>
      </c>
      <c r="BB219" s="65">
        <v>0</v>
      </c>
      <c r="BC219" s="54">
        <v>0.84</v>
      </c>
      <c r="BD219" s="54">
        <v>0</v>
      </c>
      <c r="BE219" s="54">
        <v>0.01</v>
      </c>
      <c r="BF219" s="54">
        <v>0.83</v>
      </c>
      <c r="BG219" s="65">
        <v>0</v>
      </c>
      <c r="BH219" s="65">
        <v>0</v>
      </c>
      <c r="BI219" s="54">
        <v>0.13</v>
      </c>
      <c r="BJ219" s="54">
        <v>0.08</v>
      </c>
      <c r="BK219" s="54">
        <v>0.05</v>
      </c>
      <c r="BL219" s="54">
        <v>0</v>
      </c>
      <c r="BM219" s="65">
        <v>0</v>
      </c>
      <c r="BN219" s="65">
        <v>0</v>
      </c>
      <c r="BO219" s="54">
        <v>0</v>
      </c>
      <c r="BP219" s="56">
        <v>40</v>
      </c>
      <c r="BQ219" s="56">
        <v>140</v>
      </c>
      <c r="BR219" s="56">
        <v>160</v>
      </c>
      <c r="BS219" s="56">
        <v>300</v>
      </c>
      <c r="BT219" s="56">
        <v>260</v>
      </c>
      <c r="BU219" s="56">
        <v>90</v>
      </c>
      <c r="BV219" s="56">
        <v>30</v>
      </c>
      <c r="BW219" s="56">
        <v>170</v>
      </c>
      <c r="BX219" s="56">
        <v>190</v>
      </c>
      <c r="BY219" s="56">
        <v>210</v>
      </c>
      <c r="BZ219" s="56">
        <v>110</v>
      </c>
      <c r="CA219" s="56">
        <v>90</v>
      </c>
      <c r="CB219" s="56">
        <v>110</v>
      </c>
      <c r="CC219" s="56">
        <v>260</v>
      </c>
      <c r="CD219" s="56">
        <v>640</v>
      </c>
      <c r="CE219" s="56">
        <v>70</v>
      </c>
      <c r="CF219" s="56">
        <v>300</v>
      </c>
      <c r="CG219" s="56">
        <v>180</v>
      </c>
      <c r="CH219" s="54">
        <v>0</v>
      </c>
      <c r="CI219" s="54">
        <v>0</v>
      </c>
      <c r="CJ219" s="54">
        <v>1.7</v>
      </c>
      <c r="CK219" s="54">
        <v>0</v>
      </c>
      <c r="CL219" s="54">
        <v>0</v>
      </c>
      <c r="CM219" s="54">
        <v>2.6</v>
      </c>
      <c r="CN219">
        <f t="shared" si="4336"/>
        <v>9.9</v>
      </c>
      <c r="CO219">
        <f t="shared" si="4337"/>
        <v>41.7</v>
      </c>
      <c r="CP219">
        <f t="shared" si="4338"/>
        <v>0.56999999999999995</v>
      </c>
      <c r="CQ219">
        <f t="shared" si="4339"/>
        <v>0.56999999999999995</v>
      </c>
      <c r="CR219">
        <f t="shared" si="4340"/>
        <v>0</v>
      </c>
      <c r="CS219">
        <f t="shared" si="4341"/>
        <v>0.58499999999999996</v>
      </c>
      <c r="CT219">
        <f t="shared" si="4342"/>
        <v>0.58499999999999996</v>
      </c>
      <c r="CU219">
        <f t="shared" si="4343"/>
        <v>0</v>
      </c>
      <c r="CV219">
        <f t="shared" si="4344"/>
        <v>1.65</v>
      </c>
      <c r="CW219">
        <f t="shared" si="4345"/>
        <v>0.64500000000000002</v>
      </c>
      <c r="CX219">
        <f t="shared" si="4346"/>
        <v>0</v>
      </c>
      <c r="CY219">
        <f t="shared" si="4347"/>
        <v>0.64500000000000002</v>
      </c>
      <c r="CZ219">
        <f t="shared" si="4348"/>
        <v>0</v>
      </c>
      <c r="DA219">
        <f t="shared" si="4349"/>
        <v>0</v>
      </c>
      <c r="DB219">
        <f t="shared" si="4350"/>
        <v>13.05</v>
      </c>
      <c r="DC219">
        <f t="shared" si="4351"/>
        <v>1.4999999999999999E-2</v>
      </c>
      <c r="DD219">
        <f t="shared" si="4352"/>
        <v>18.75</v>
      </c>
      <c r="DE219">
        <f t="shared" si="4353"/>
        <v>7.2</v>
      </c>
      <c r="DF219">
        <f t="shared" si="4354"/>
        <v>25.5</v>
      </c>
      <c r="DG219">
        <f t="shared" si="4355"/>
        <v>15.75</v>
      </c>
      <c r="DH219">
        <f t="shared" si="4356"/>
        <v>6.1499999999999992E-2</v>
      </c>
      <c r="DI219">
        <f t="shared" si="4357"/>
        <v>1.8</v>
      </c>
      <c r="DJ219">
        <f t="shared" si="4358"/>
        <v>7.5000000000000002E-4</v>
      </c>
      <c r="DK219">
        <f t="shared" si="4359"/>
        <v>0.3</v>
      </c>
      <c r="DL219">
        <f t="shared" si="4360"/>
        <v>25.5</v>
      </c>
      <c r="DM219">
        <f t="shared" si="4361"/>
        <v>9.4499999999999993</v>
      </c>
      <c r="DN219">
        <f t="shared" si="4362"/>
        <v>7.5000000000000002E-4</v>
      </c>
      <c r="DO219">
        <f t="shared" si="4363"/>
        <v>7.95</v>
      </c>
      <c r="DP219">
        <f t="shared" si="4364"/>
        <v>6.0000000000000001E-3</v>
      </c>
      <c r="DQ219">
        <f t="shared" si="4365"/>
        <v>2.8500000000000001E-2</v>
      </c>
      <c r="DR219">
        <f t="shared" si="4366"/>
        <v>0.15</v>
      </c>
      <c r="DS219">
        <f t="shared" si="4367"/>
        <v>1.6500000000000001E-2</v>
      </c>
      <c r="DT219">
        <f t="shared" si="4368"/>
        <v>1.4999999999999999E-2</v>
      </c>
      <c r="DU219">
        <f t="shared" si="4369"/>
        <v>2.7</v>
      </c>
      <c r="DV219">
        <f t="shared" si="4370"/>
        <v>7.4999999999999997E-2</v>
      </c>
      <c r="DW219">
        <f t="shared" si="4371"/>
        <v>0.39</v>
      </c>
      <c r="DX219">
        <f t="shared" si="4372"/>
        <v>0.03</v>
      </c>
      <c r="DY219">
        <f t="shared" si="4373"/>
        <v>5.0999999999999996</v>
      </c>
      <c r="DZ219">
        <f t="shared" si="4374"/>
        <v>4.6500000000000004</v>
      </c>
      <c r="EA219">
        <f t="shared" si="4375"/>
        <v>2.4</v>
      </c>
      <c r="EB219">
        <f t="shared" si="4376"/>
        <v>1.2E-2</v>
      </c>
      <c r="EC219">
        <f t="shared" si="4377"/>
        <v>6.0000000000000001E-3</v>
      </c>
      <c r="ED219">
        <f t="shared" si="4378"/>
        <v>0.03</v>
      </c>
      <c r="EE219">
        <f t="shared" si="4379"/>
        <v>0.3105</v>
      </c>
      <c r="EF219">
        <f t="shared" si="4380"/>
        <v>4.9500000000000002E-2</v>
      </c>
      <c r="EG219">
        <f t="shared" si="4381"/>
        <v>1.7999999999999999E-2</v>
      </c>
      <c r="EH219">
        <f t="shared" si="4382"/>
        <v>5.3999999999999992E-2</v>
      </c>
      <c r="EI219">
        <f t="shared" si="4383"/>
        <v>0.13800000000000001</v>
      </c>
      <c r="EJ219">
        <f t="shared" si="4384"/>
        <v>5.1000000000000004E-2</v>
      </c>
      <c r="EK219">
        <f t="shared" si="4385"/>
        <v>0</v>
      </c>
      <c r="EL219">
        <f t="shared" si="4386"/>
        <v>0</v>
      </c>
      <c r="EM219">
        <f t="shared" si="4387"/>
        <v>0.126</v>
      </c>
      <c r="EN219">
        <f t="shared" si="4388"/>
        <v>0</v>
      </c>
      <c r="EO219">
        <f t="shared" si="4389"/>
        <v>1.5E-3</v>
      </c>
      <c r="EP219">
        <f t="shared" si="4390"/>
        <v>0.1245</v>
      </c>
      <c r="EQ219">
        <f t="shared" si="4391"/>
        <v>0</v>
      </c>
      <c r="ER219">
        <f t="shared" si="4392"/>
        <v>0</v>
      </c>
      <c r="ES219">
        <f t="shared" si="4393"/>
        <v>1.9500000000000003E-2</v>
      </c>
      <c r="ET219">
        <f t="shared" si="4394"/>
        <v>1.2E-2</v>
      </c>
      <c r="EU219">
        <f t="shared" si="4395"/>
        <v>7.4999999999999997E-3</v>
      </c>
      <c r="EV219">
        <f t="shared" si="4396"/>
        <v>0</v>
      </c>
      <c r="EW219">
        <f t="shared" si="4397"/>
        <v>0</v>
      </c>
      <c r="EX219">
        <f t="shared" si="4398"/>
        <v>0</v>
      </c>
      <c r="EY219">
        <f t="shared" si="4399"/>
        <v>0</v>
      </c>
      <c r="EZ219">
        <f t="shared" si="4400"/>
        <v>6</v>
      </c>
      <c r="FA219">
        <f t="shared" si="4401"/>
        <v>21</v>
      </c>
      <c r="FB219">
        <f t="shared" si="4402"/>
        <v>24</v>
      </c>
      <c r="FC219">
        <f t="shared" si="4403"/>
        <v>45</v>
      </c>
      <c r="FD219">
        <f t="shared" si="4404"/>
        <v>39</v>
      </c>
      <c r="FE219">
        <f t="shared" si="4405"/>
        <v>13.5</v>
      </c>
      <c r="FF219">
        <f t="shared" si="4406"/>
        <v>4.5</v>
      </c>
      <c r="FG219">
        <f t="shared" si="4407"/>
        <v>25.5</v>
      </c>
      <c r="FH219">
        <f t="shared" si="4408"/>
        <v>28.5</v>
      </c>
      <c r="FI219">
        <f t="shared" si="4409"/>
        <v>31.5</v>
      </c>
      <c r="FJ219">
        <f t="shared" si="4410"/>
        <v>16.5</v>
      </c>
      <c r="FK219">
        <f t="shared" si="4411"/>
        <v>13.5</v>
      </c>
      <c r="FL219">
        <f t="shared" si="4412"/>
        <v>16.5</v>
      </c>
      <c r="FM219">
        <f t="shared" si="4413"/>
        <v>39</v>
      </c>
      <c r="FN219">
        <f t="shared" si="4414"/>
        <v>96</v>
      </c>
      <c r="FO219">
        <f t="shared" si="4415"/>
        <v>10.5</v>
      </c>
      <c r="FP219">
        <f t="shared" si="4416"/>
        <v>45</v>
      </c>
      <c r="FQ219">
        <f t="shared" si="4417"/>
        <v>27</v>
      </c>
      <c r="FR219">
        <f t="shared" si="4418"/>
        <v>0</v>
      </c>
      <c r="FS219">
        <f t="shared" si="4419"/>
        <v>0</v>
      </c>
      <c r="FT219">
        <f t="shared" si="4420"/>
        <v>0.255</v>
      </c>
      <c r="FU219">
        <f t="shared" si="4421"/>
        <v>0</v>
      </c>
      <c r="FV219">
        <f t="shared" si="4422"/>
        <v>0</v>
      </c>
      <c r="FW219">
        <f t="shared" si="4423"/>
        <v>0.39</v>
      </c>
    </row>
    <row r="220" spans="1:179" x14ac:dyDescent="0.35">
      <c r="B220" s="78" t="s">
        <v>436</v>
      </c>
      <c r="C220">
        <v>1</v>
      </c>
      <c r="D220" s="48">
        <v>60</v>
      </c>
      <c r="E220" s="48">
        <v>253</v>
      </c>
      <c r="F220" s="48">
        <v>3.74</v>
      </c>
      <c r="G220" s="49">
        <v>0</v>
      </c>
      <c r="H220" s="49">
        <v>3.74</v>
      </c>
      <c r="I220" s="48">
        <v>3.34</v>
      </c>
      <c r="J220" s="49">
        <v>0</v>
      </c>
      <c r="K220" s="49">
        <v>3.34</v>
      </c>
      <c r="L220" s="48">
        <v>0</v>
      </c>
      <c r="M220" s="48">
        <v>5.83</v>
      </c>
      <c r="N220" s="48">
        <v>0.64</v>
      </c>
      <c r="O220" s="48">
        <v>0.92</v>
      </c>
      <c r="P220" s="48">
        <v>4</v>
      </c>
      <c r="Q220" s="48">
        <v>0</v>
      </c>
      <c r="R220" s="48">
        <v>83.7</v>
      </c>
      <c r="S220" s="48">
        <v>1.61</v>
      </c>
      <c r="T220" s="48">
        <v>63</v>
      </c>
      <c r="U220" s="48">
        <v>1100</v>
      </c>
      <c r="V220" s="48">
        <v>152</v>
      </c>
      <c r="W220" s="48">
        <v>108</v>
      </c>
      <c r="X220" s="48">
        <v>0.64</v>
      </c>
      <c r="Y220" s="48">
        <v>48</v>
      </c>
      <c r="Z220" s="48">
        <v>7.3999999999999996E-2</v>
      </c>
      <c r="AA220" s="48">
        <v>33.5</v>
      </c>
      <c r="AB220" s="42">
        <v>3550</v>
      </c>
      <c r="AC220" s="42">
        <v>1</v>
      </c>
      <c r="AD220" s="48">
        <v>0.42199999999999999</v>
      </c>
      <c r="AE220" s="43">
        <v>22.5</v>
      </c>
      <c r="AF220" s="48">
        <v>0.17699999999999999</v>
      </c>
      <c r="AG220" s="48">
        <v>7.0000000000000007E-2</v>
      </c>
      <c r="AH220" s="48">
        <v>0.3</v>
      </c>
      <c r="AI220" s="48">
        <v>0.56499999999999995</v>
      </c>
      <c r="AJ220" s="48">
        <v>7.0000000000000007E-2</v>
      </c>
      <c r="AK220" s="48">
        <v>7</v>
      </c>
      <c r="AL220" s="48">
        <v>0.254</v>
      </c>
      <c r="AM220" s="42">
        <v>0</v>
      </c>
      <c r="AN220" s="48">
        <v>0</v>
      </c>
      <c r="AO220" s="48">
        <v>10.833333333333334</v>
      </c>
      <c r="AP220" s="48">
        <v>0</v>
      </c>
      <c r="AQ220" s="48">
        <v>65</v>
      </c>
      <c r="AR220" s="48">
        <v>0.58179999999999998</v>
      </c>
      <c r="AS220" s="48">
        <v>0</v>
      </c>
      <c r="AT220" s="48">
        <v>1.4</v>
      </c>
      <c r="AU220" s="48">
        <v>0.214</v>
      </c>
      <c r="AV220" s="44">
        <v>5.0000000000000001E-3</v>
      </c>
      <c r="AW220" s="48">
        <v>2E-3</v>
      </c>
      <c r="AX220" s="48">
        <v>4.0000000000000001E-3</v>
      </c>
      <c r="AY220" s="48">
        <v>0.11700000000000001</v>
      </c>
      <c r="AZ220" s="48">
        <v>3.7999999999999999E-2</v>
      </c>
      <c r="BA220" s="48">
        <v>0.02</v>
      </c>
      <c r="BB220" s="48">
        <v>1.6E-2</v>
      </c>
      <c r="BC220" s="48">
        <v>2.1800000000000002</v>
      </c>
      <c r="BD220" s="48">
        <v>0</v>
      </c>
      <c r="BE220" s="48">
        <v>8.0000000000000002E-3</v>
      </c>
      <c r="BF220" s="48">
        <v>0.77800000000000002</v>
      </c>
      <c r="BG220" s="48">
        <v>0.28899999999999998</v>
      </c>
      <c r="BH220" s="48">
        <v>1.06</v>
      </c>
      <c r="BI220" s="48">
        <v>0.77400000000000002</v>
      </c>
      <c r="BJ220" s="48">
        <v>0.35799999999999998</v>
      </c>
      <c r="BK220" s="48">
        <v>0.373</v>
      </c>
      <c r="BL220" s="48">
        <v>0</v>
      </c>
      <c r="BM220" s="48">
        <v>0</v>
      </c>
      <c r="BN220" s="48">
        <v>0</v>
      </c>
      <c r="BO220" s="44">
        <v>0.78300000000000003</v>
      </c>
      <c r="BP220" s="48">
        <v>8.9999999999999993E-3</v>
      </c>
      <c r="BQ220" s="48">
        <v>0.16700000000000001</v>
      </c>
      <c r="BR220" s="48">
        <v>0.14599999999999999</v>
      </c>
      <c r="BS220" s="48">
        <v>0.29199999999999998</v>
      </c>
      <c r="BT220" s="48">
        <v>0.26400000000000001</v>
      </c>
      <c r="BU220" s="48">
        <v>7.5999999999999998E-2</v>
      </c>
      <c r="BV220" s="48">
        <v>7.1999999999999995E-2</v>
      </c>
      <c r="BW220" s="48">
        <v>0.161</v>
      </c>
      <c r="BX220" s="48">
        <v>0.13400000000000001</v>
      </c>
      <c r="BY220" s="48">
        <v>0.189</v>
      </c>
      <c r="BZ220" s="48">
        <v>0.252</v>
      </c>
      <c r="CA220" s="48">
        <v>0.11899999999999999</v>
      </c>
      <c r="CB220" s="48">
        <v>0.16400000000000001</v>
      </c>
      <c r="CC220" s="48">
        <v>0.39</v>
      </c>
      <c r="CD220" s="48">
        <v>0.72399999999999998</v>
      </c>
      <c r="CE220" s="48">
        <v>0.22800000000000001</v>
      </c>
      <c r="CF220" s="48">
        <v>0.35499999999999998</v>
      </c>
      <c r="CG220" s="48">
        <v>0.20399999999999999</v>
      </c>
      <c r="CH220" s="48">
        <v>0.47</v>
      </c>
      <c r="CI220" s="48">
        <v>0.23</v>
      </c>
      <c r="CJ220" s="48">
        <v>0</v>
      </c>
      <c r="CK220" s="48">
        <v>0.21</v>
      </c>
      <c r="CL220" s="48">
        <v>0</v>
      </c>
      <c r="CM220" s="48">
        <v>0</v>
      </c>
      <c r="CN220">
        <f t="shared" si="4336"/>
        <v>0.6</v>
      </c>
      <c r="CO220">
        <f t="shared" si="4337"/>
        <v>2.5299999999999998</v>
      </c>
      <c r="CP220">
        <f t="shared" si="4338"/>
        <v>3.7400000000000003E-2</v>
      </c>
      <c r="CQ220">
        <f t="shared" si="4339"/>
        <v>0</v>
      </c>
      <c r="CR220">
        <f t="shared" si="4340"/>
        <v>3.7400000000000003E-2</v>
      </c>
      <c r="CS220">
        <f t="shared" si="4341"/>
        <v>3.3399999999999999E-2</v>
      </c>
      <c r="CT220">
        <f t="shared" si="4342"/>
        <v>0</v>
      </c>
      <c r="CU220">
        <f t="shared" si="4343"/>
        <v>3.3399999999999999E-2</v>
      </c>
      <c r="CV220">
        <f t="shared" si="4344"/>
        <v>0</v>
      </c>
      <c r="CW220">
        <f t="shared" si="4345"/>
        <v>5.8299999999999998E-2</v>
      </c>
      <c r="CX220">
        <f t="shared" si="4346"/>
        <v>6.4000000000000003E-3</v>
      </c>
      <c r="CY220">
        <f t="shared" si="4347"/>
        <v>9.1999999999999998E-3</v>
      </c>
      <c r="CZ220">
        <f t="shared" si="4348"/>
        <v>0.04</v>
      </c>
      <c r="DA220">
        <f t="shared" si="4349"/>
        <v>0</v>
      </c>
      <c r="DB220">
        <f t="shared" si="4350"/>
        <v>0.83700000000000008</v>
      </c>
      <c r="DC220">
        <f t="shared" si="4351"/>
        <v>1.61E-2</v>
      </c>
      <c r="DD220">
        <f t="shared" si="4352"/>
        <v>0.63</v>
      </c>
      <c r="DE220">
        <f t="shared" si="4353"/>
        <v>11</v>
      </c>
      <c r="DF220">
        <f t="shared" si="4354"/>
        <v>1.52</v>
      </c>
      <c r="DG220">
        <f t="shared" si="4355"/>
        <v>1.08</v>
      </c>
      <c r="DH220">
        <f t="shared" si="4356"/>
        <v>6.4000000000000003E-3</v>
      </c>
      <c r="DI220">
        <f t="shared" si="4357"/>
        <v>0.48</v>
      </c>
      <c r="DJ220">
        <f t="shared" si="4358"/>
        <v>7.3999999999999999E-4</v>
      </c>
      <c r="DK220">
        <f t="shared" si="4359"/>
        <v>0.33500000000000002</v>
      </c>
      <c r="DL220">
        <f t="shared" si="4360"/>
        <v>35.5</v>
      </c>
      <c r="DM220">
        <f t="shared" si="4361"/>
        <v>0.01</v>
      </c>
      <c r="DN220">
        <f t="shared" si="4362"/>
        <v>4.2199999999999998E-3</v>
      </c>
      <c r="DO220">
        <f t="shared" si="4363"/>
        <v>0.22500000000000001</v>
      </c>
      <c r="DP220">
        <f t="shared" si="4364"/>
        <v>1.7699999999999999E-3</v>
      </c>
      <c r="DQ220">
        <f t="shared" si="4365"/>
        <v>7.000000000000001E-4</v>
      </c>
      <c r="DR220">
        <f t="shared" si="4366"/>
        <v>3.0000000000000001E-3</v>
      </c>
      <c r="DS220">
        <f t="shared" si="4367"/>
        <v>5.6499999999999996E-3</v>
      </c>
      <c r="DT220">
        <f t="shared" si="4368"/>
        <v>7.000000000000001E-4</v>
      </c>
      <c r="DU220">
        <f t="shared" si="4369"/>
        <v>7.0000000000000007E-2</v>
      </c>
      <c r="DV220">
        <f t="shared" si="4370"/>
        <v>2.5400000000000002E-3</v>
      </c>
      <c r="DW220">
        <f t="shared" si="4371"/>
        <v>0</v>
      </c>
      <c r="DX220">
        <f t="shared" si="4372"/>
        <v>0</v>
      </c>
      <c r="DY220">
        <f t="shared" si="4373"/>
        <v>0.10833333333333334</v>
      </c>
      <c r="DZ220">
        <f t="shared" si="4374"/>
        <v>0</v>
      </c>
      <c r="EA220">
        <f t="shared" si="4375"/>
        <v>0.65</v>
      </c>
      <c r="EB220">
        <f t="shared" si="4376"/>
        <v>5.8180000000000003E-3</v>
      </c>
      <c r="EC220">
        <f t="shared" si="4377"/>
        <v>0</v>
      </c>
      <c r="ED220">
        <f t="shared" si="4378"/>
        <v>1.3999999999999999E-2</v>
      </c>
      <c r="EE220">
        <f t="shared" si="4379"/>
        <v>2.14E-3</v>
      </c>
      <c r="EF220">
        <f t="shared" si="4380"/>
        <v>5.0000000000000002E-5</v>
      </c>
      <c r="EG220">
        <f t="shared" si="4381"/>
        <v>2.0000000000000002E-5</v>
      </c>
      <c r="EH220">
        <f t="shared" si="4382"/>
        <v>4.0000000000000003E-5</v>
      </c>
      <c r="EI220">
        <f t="shared" si="4383"/>
        <v>1.17E-3</v>
      </c>
      <c r="EJ220">
        <f t="shared" si="4384"/>
        <v>3.7999999999999997E-4</v>
      </c>
      <c r="EK220">
        <f t="shared" si="4385"/>
        <v>2.0000000000000001E-4</v>
      </c>
      <c r="EL220">
        <f t="shared" si="4386"/>
        <v>1.6000000000000001E-4</v>
      </c>
      <c r="EM220">
        <f t="shared" si="4387"/>
        <v>2.18E-2</v>
      </c>
      <c r="EN220">
        <f t="shared" si="4388"/>
        <v>0</v>
      </c>
      <c r="EO220">
        <f t="shared" si="4389"/>
        <v>8.0000000000000007E-5</v>
      </c>
      <c r="EP220">
        <f t="shared" si="4390"/>
        <v>7.7800000000000005E-3</v>
      </c>
      <c r="EQ220">
        <f t="shared" si="4391"/>
        <v>2.8899999999999998E-3</v>
      </c>
      <c r="ER220">
        <f t="shared" si="4392"/>
        <v>1.06E-2</v>
      </c>
      <c r="ES220">
        <f t="shared" si="4393"/>
        <v>7.7400000000000004E-3</v>
      </c>
      <c r="ET220">
        <f t="shared" si="4394"/>
        <v>3.5799999999999998E-3</v>
      </c>
      <c r="EU220">
        <f t="shared" si="4395"/>
        <v>3.7299999999999998E-3</v>
      </c>
      <c r="EV220">
        <f t="shared" si="4396"/>
        <v>0</v>
      </c>
      <c r="EW220">
        <f t="shared" si="4397"/>
        <v>0</v>
      </c>
      <c r="EX220">
        <f t="shared" si="4398"/>
        <v>0</v>
      </c>
      <c r="EY220">
        <f t="shared" si="4399"/>
        <v>7.8300000000000002E-3</v>
      </c>
      <c r="EZ220">
        <f t="shared" si="4400"/>
        <v>8.9999999999999992E-5</v>
      </c>
      <c r="FA220">
        <f t="shared" si="4401"/>
        <v>1.67E-3</v>
      </c>
      <c r="FB220">
        <f t="shared" si="4402"/>
        <v>1.4599999999999999E-3</v>
      </c>
      <c r="FC220">
        <f t="shared" si="4403"/>
        <v>2.9199999999999999E-3</v>
      </c>
      <c r="FD220">
        <f t="shared" si="4404"/>
        <v>2.64E-3</v>
      </c>
      <c r="FE220">
        <f t="shared" si="4405"/>
        <v>7.5999999999999993E-4</v>
      </c>
      <c r="FF220">
        <f t="shared" si="4406"/>
        <v>7.1999999999999994E-4</v>
      </c>
      <c r="FG220">
        <f t="shared" si="4407"/>
        <v>1.6100000000000001E-3</v>
      </c>
      <c r="FH220">
        <f t="shared" si="4408"/>
        <v>1.34E-3</v>
      </c>
      <c r="FI220">
        <f t="shared" si="4409"/>
        <v>1.89E-3</v>
      </c>
      <c r="FJ220">
        <f t="shared" si="4410"/>
        <v>2.5200000000000001E-3</v>
      </c>
      <c r="FK220">
        <f t="shared" si="4411"/>
        <v>1.1899999999999999E-3</v>
      </c>
      <c r="FL220">
        <f t="shared" si="4412"/>
        <v>1.64E-3</v>
      </c>
      <c r="FM220">
        <f t="shared" si="4413"/>
        <v>3.9000000000000003E-3</v>
      </c>
      <c r="FN220">
        <f t="shared" si="4414"/>
        <v>7.2399999999999999E-3</v>
      </c>
      <c r="FO220">
        <f t="shared" si="4415"/>
        <v>2.2799999999999999E-3</v>
      </c>
      <c r="FP220">
        <f t="shared" si="4416"/>
        <v>3.5499999999999998E-3</v>
      </c>
      <c r="FQ220">
        <f t="shared" si="4417"/>
        <v>2.0399999999999997E-3</v>
      </c>
      <c r="FR220">
        <f t="shared" si="4418"/>
        <v>4.6999999999999993E-3</v>
      </c>
      <c r="FS220">
        <f t="shared" si="4419"/>
        <v>2.3E-3</v>
      </c>
      <c r="FT220">
        <f t="shared" si="4420"/>
        <v>0</v>
      </c>
      <c r="FU220">
        <f t="shared" si="4421"/>
        <v>2.0999999999999999E-3</v>
      </c>
      <c r="FV220">
        <f t="shared" si="4422"/>
        <v>0</v>
      </c>
      <c r="FW220">
        <f t="shared" si="4423"/>
        <v>0</v>
      </c>
    </row>
    <row r="221" spans="1:179" x14ac:dyDescent="0.35">
      <c r="B221" s="72" t="s">
        <v>463</v>
      </c>
      <c r="C221">
        <v>2</v>
      </c>
      <c r="D221" s="54">
        <v>27</v>
      </c>
      <c r="E221" s="54">
        <v>112</v>
      </c>
      <c r="F221" s="54">
        <v>2.8</v>
      </c>
      <c r="G221" s="54">
        <v>0</v>
      </c>
      <c r="H221" s="54">
        <v>2.8</v>
      </c>
      <c r="I221" s="54">
        <v>0.6</v>
      </c>
      <c r="J221" s="54">
        <v>0</v>
      </c>
      <c r="K221" s="54">
        <v>0.6</v>
      </c>
      <c r="L221" s="54">
        <v>0</v>
      </c>
      <c r="M221" s="54">
        <v>1.7</v>
      </c>
      <c r="N221" s="51">
        <v>0.05</v>
      </c>
      <c r="O221" s="54">
        <v>1.7</v>
      </c>
      <c r="P221" s="54">
        <v>1.9</v>
      </c>
      <c r="Q221" s="54">
        <v>0</v>
      </c>
      <c r="R221" s="54">
        <v>91</v>
      </c>
      <c r="S221" s="54">
        <v>1.6</v>
      </c>
      <c r="T221" s="54">
        <v>85</v>
      </c>
      <c r="U221" s="54">
        <v>5</v>
      </c>
      <c r="V221" s="54">
        <v>230</v>
      </c>
      <c r="W221" s="54">
        <v>50</v>
      </c>
      <c r="X221" s="54">
        <v>0.4</v>
      </c>
      <c r="Y221" s="54">
        <v>30</v>
      </c>
      <c r="Z221" s="54">
        <v>0.16</v>
      </c>
      <c r="AA221" s="51">
        <v>0.05</v>
      </c>
      <c r="AB221" s="54">
        <v>74</v>
      </c>
      <c r="AC221" s="54">
        <v>4.2</v>
      </c>
      <c r="AD221" s="54">
        <v>0.373</v>
      </c>
      <c r="AE221" s="54">
        <v>50</v>
      </c>
      <c r="AF221" s="54">
        <v>0.1</v>
      </c>
      <c r="AG221" s="54">
        <v>0.18</v>
      </c>
      <c r="AH221" s="54">
        <v>45</v>
      </c>
      <c r="AI221" s="54">
        <v>0.7</v>
      </c>
      <c r="AJ221" s="54">
        <v>0.2</v>
      </c>
      <c r="AK221" s="54">
        <v>105</v>
      </c>
      <c r="AL221" s="54">
        <v>0.18</v>
      </c>
      <c r="AM221" s="54">
        <v>0.4</v>
      </c>
      <c r="AN221" s="54">
        <v>0</v>
      </c>
      <c r="AO221" s="54">
        <v>383</v>
      </c>
      <c r="AP221" s="54">
        <v>0</v>
      </c>
      <c r="AQ221" s="54">
        <v>2300</v>
      </c>
      <c r="AR221" s="54">
        <v>1.6</v>
      </c>
      <c r="AS221" s="54">
        <v>0</v>
      </c>
      <c r="AT221" s="54">
        <v>380</v>
      </c>
      <c r="AU221" s="54">
        <v>0.12</v>
      </c>
      <c r="AV221" s="81">
        <v>0</v>
      </c>
      <c r="AW221" s="81">
        <v>0</v>
      </c>
      <c r="AX221" s="81">
        <v>0</v>
      </c>
      <c r="AY221" s="81">
        <v>0</v>
      </c>
      <c r="AZ221" s="81">
        <v>0</v>
      </c>
      <c r="BA221" s="81">
        <v>0</v>
      </c>
      <c r="BB221" s="81">
        <v>0</v>
      </c>
      <c r="BC221" s="54">
        <v>0.08</v>
      </c>
      <c r="BD221" s="82">
        <v>0</v>
      </c>
      <c r="BE221" s="82">
        <v>0</v>
      </c>
      <c r="BF221" s="54">
        <v>0.08</v>
      </c>
      <c r="BG221" s="82">
        <v>0</v>
      </c>
      <c r="BH221" s="82">
        <v>0</v>
      </c>
      <c r="BI221" s="54">
        <v>0.22</v>
      </c>
      <c r="BJ221" s="54">
        <v>0.21</v>
      </c>
      <c r="BK221" s="54">
        <v>0.01</v>
      </c>
      <c r="BL221" s="82">
        <v>0</v>
      </c>
      <c r="BM221" s="82">
        <v>0</v>
      </c>
      <c r="BN221" s="82">
        <v>0</v>
      </c>
      <c r="BO221" s="54">
        <v>0</v>
      </c>
      <c r="BP221" s="56">
        <v>32</v>
      </c>
      <c r="BQ221" s="56">
        <v>110</v>
      </c>
      <c r="BR221" s="56">
        <v>119</v>
      </c>
      <c r="BS221" s="56">
        <v>167</v>
      </c>
      <c r="BT221" s="56">
        <v>140</v>
      </c>
      <c r="BU221" s="56">
        <v>31</v>
      </c>
      <c r="BV221" s="88">
        <v>0</v>
      </c>
      <c r="BW221" s="56">
        <v>90</v>
      </c>
      <c r="BX221" s="56">
        <v>81</v>
      </c>
      <c r="BY221" s="56">
        <v>124</v>
      </c>
      <c r="BZ221" s="56">
        <v>203</v>
      </c>
      <c r="CA221" s="56">
        <v>49</v>
      </c>
      <c r="CB221" s="56">
        <v>127</v>
      </c>
      <c r="CC221" s="56">
        <v>259</v>
      </c>
      <c r="CD221" s="56">
        <v>580</v>
      </c>
      <c r="CE221" s="56">
        <v>139</v>
      </c>
      <c r="CF221" s="56">
        <v>185</v>
      </c>
      <c r="CG221" s="56">
        <v>127</v>
      </c>
      <c r="CH221" s="54">
        <v>0.8</v>
      </c>
      <c r="CI221" s="54">
        <v>0.9</v>
      </c>
      <c r="CJ221" s="54">
        <v>0</v>
      </c>
      <c r="CK221" s="51">
        <v>0.05</v>
      </c>
      <c r="CL221" s="54">
        <v>0</v>
      </c>
      <c r="CM221" s="54">
        <v>0</v>
      </c>
      <c r="CN221">
        <f t="shared" si="4336"/>
        <v>0.54</v>
      </c>
      <c r="CO221">
        <f t="shared" si="4337"/>
        <v>2.2400000000000002</v>
      </c>
      <c r="CP221">
        <f t="shared" si="4338"/>
        <v>5.5999999999999994E-2</v>
      </c>
      <c r="CQ221">
        <f t="shared" si="4339"/>
        <v>0</v>
      </c>
      <c r="CR221">
        <f t="shared" si="4340"/>
        <v>5.5999999999999994E-2</v>
      </c>
      <c r="CS221">
        <f t="shared" si="4341"/>
        <v>1.2E-2</v>
      </c>
      <c r="CT221">
        <f t="shared" si="4342"/>
        <v>0</v>
      </c>
      <c r="CU221">
        <f t="shared" si="4343"/>
        <v>1.2E-2</v>
      </c>
      <c r="CV221">
        <f t="shared" si="4344"/>
        <v>0</v>
      </c>
      <c r="CW221">
        <f t="shared" si="4345"/>
        <v>3.4000000000000002E-2</v>
      </c>
      <c r="CX221">
        <f t="shared" si="4346"/>
        <v>1E-3</v>
      </c>
      <c r="CY221">
        <f t="shared" si="4347"/>
        <v>3.4000000000000002E-2</v>
      </c>
      <c r="CZ221">
        <f t="shared" si="4348"/>
        <v>3.7999999999999999E-2</v>
      </c>
      <c r="DA221">
        <f t="shared" si="4349"/>
        <v>0</v>
      </c>
      <c r="DB221">
        <f t="shared" si="4350"/>
        <v>1.82</v>
      </c>
      <c r="DC221">
        <f t="shared" si="4351"/>
        <v>3.2000000000000001E-2</v>
      </c>
      <c r="DD221">
        <f t="shared" si="4352"/>
        <v>1.7</v>
      </c>
      <c r="DE221">
        <f t="shared" si="4353"/>
        <v>0.1</v>
      </c>
      <c r="DF221">
        <f t="shared" si="4354"/>
        <v>4.5999999999999996</v>
      </c>
      <c r="DG221">
        <f t="shared" si="4355"/>
        <v>1</v>
      </c>
      <c r="DH221">
        <f t="shared" si="4356"/>
        <v>8.0000000000000002E-3</v>
      </c>
      <c r="DI221">
        <f t="shared" si="4357"/>
        <v>0.6</v>
      </c>
      <c r="DJ221">
        <f t="shared" si="4358"/>
        <v>3.2000000000000002E-3</v>
      </c>
      <c r="DK221">
        <f t="shared" si="4359"/>
        <v>1E-3</v>
      </c>
      <c r="DL221">
        <f t="shared" si="4360"/>
        <v>1.48</v>
      </c>
      <c r="DM221">
        <f t="shared" si="4361"/>
        <v>8.4000000000000005E-2</v>
      </c>
      <c r="DN221">
        <f t="shared" si="4362"/>
        <v>7.4599999999999996E-3</v>
      </c>
      <c r="DO221">
        <f t="shared" si="4363"/>
        <v>1</v>
      </c>
      <c r="DP221">
        <f t="shared" si="4364"/>
        <v>2E-3</v>
      </c>
      <c r="DQ221">
        <f t="shared" si="4365"/>
        <v>3.5999999999999999E-3</v>
      </c>
      <c r="DR221">
        <f t="shared" si="4366"/>
        <v>0.9</v>
      </c>
      <c r="DS221">
        <f t="shared" si="4367"/>
        <v>1.3999999999999999E-2</v>
      </c>
      <c r="DT221">
        <f t="shared" si="4368"/>
        <v>4.0000000000000001E-3</v>
      </c>
      <c r="DU221">
        <f t="shared" si="4369"/>
        <v>2.1</v>
      </c>
      <c r="DV221">
        <f t="shared" si="4370"/>
        <v>3.5999999999999999E-3</v>
      </c>
      <c r="DW221">
        <f t="shared" si="4371"/>
        <v>8.0000000000000002E-3</v>
      </c>
      <c r="DX221">
        <f t="shared" si="4372"/>
        <v>0</v>
      </c>
      <c r="DY221">
        <f t="shared" si="4373"/>
        <v>7.66</v>
      </c>
      <c r="DZ221">
        <f t="shared" si="4374"/>
        <v>0</v>
      </c>
      <c r="EA221">
        <f t="shared" si="4375"/>
        <v>46</v>
      </c>
      <c r="EB221">
        <f t="shared" si="4376"/>
        <v>3.2000000000000001E-2</v>
      </c>
      <c r="EC221">
        <f t="shared" si="4377"/>
        <v>0</v>
      </c>
      <c r="ED221">
        <f t="shared" si="4378"/>
        <v>7.6</v>
      </c>
      <c r="EE221">
        <f t="shared" si="4379"/>
        <v>2.3999999999999998E-3</v>
      </c>
      <c r="EF221">
        <f t="shared" si="4380"/>
        <v>0</v>
      </c>
      <c r="EG221">
        <f t="shared" si="4381"/>
        <v>0</v>
      </c>
      <c r="EH221">
        <f t="shared" si="4382"/>
        <v>0</v>
      </c>
      <c r="EI221">
        <f t="shared" si="4383"/>
        <v>0</v>
      </c>
      <c r="EJ221">
        <f t="shared" si="4384"/>
        <v>0</v>
      </c>
      <c r="EK221">
        <f t="shared" si="4385"/>
        <v>0</v>
      </c>
      <c r="EL221">
        <f t="shared" si="4386"/>
        <v>0</v>
      </c>
      <c r="EM221">
        <f t="shared" si="4387"/>
        <v>1.6000000000000001E-3</v>
      </c>
      <c r="EN221">
        <f t="shared" si="4388"/>
        <v>0</v>
      </c>
      <c r="EO221">
        <f t="shared" si="4389"/>
        <v>0</v>
      </c>
      <c r="EP221">
        <f t="shared" si="4390"/>
        <v>1.6000000000000001E-3</v>
      </c>
      <c r="EQ221">
        <f t="shared" si="4391"/>
        <v>0</v>
      </c>
      <c r="ER221">
        <f t="shared" si="4392"/>
        <v>0</v>
      </c>
      <c r="ES221">
        <f t="shared" si="4393"/>
        <v>4.4000000000000003E-3</v>
      </c>
      <c r="ET221">
        <f t="shared" si="4394"/>
        <v>4.1999999999999997E-3</v>
      </c>
      <c r="EU221">
        <f t="shared" si="4395"/>
        <v>2.0000000000000001E-4</v>
      </c>
      <c r="EV221">
        <f t="shared" si="4396"/>
        <v>0</v>
      </c>
      <c r="EW221">
        <f t="shared" si="4397"/>
        <v>0</v>
      </c>
      <c r="EX221">
        <f t="shared" si="4398"/>
        <v>0</v>
      </c>
      <c r="EY221">
        <f t="shared" si="4399"/>
        <v>0</v>
      </c>
      <c r="EZ221">
        <f t="shared" si="4400"/>
        <v>0.64</v>
      </c>
      <c r="FA221">
        <f t="shared" si="4401"/>
        <v>2.2000000000000002</v>
      </c>
      <c r="FB221">
        <f t="shared" si="4402"/>
        <v>2.38</v>
      </c>
      <c r="FC221">
        <f t="shared" si="4403"/>
        <v>3.34</v>
      </c>
      <c r="FD221">
        <f t="shared" si="4404"/>
        <v>2.8</v>
      </c>
      <c r="FE221">
        <f t="shared" si="4405"/>
        <v>0.62</v>
      </c>
      <c r="FF221">
        <f t="shared" si="4406"/>
        <v>0</v>
      </c>
      <c r="FG221">
        <f t="shared" si="4407"/>
        <v>1.8</v>
      </c>
      <c r="FH221">
        <f t="shared" si="4408"/>
        <v>1.62</v>
      </c>
      <c r="FI221">
        <f t="shared" si="4409"/>
        <v>2.48</v>
      </c>
      <c r="FJ221">
        <f t="shared" si="4410"/>
        <v>4.0599999999999996</v>
      </c>
      <c r="FK221">
        <f t="shared" si="4411"/>
        <v>0.98</v>
      </c>
      <c r="FL221">
        <f t="shared" si="4412"/>
        <v>2.54</v>
      </c>
      <c r="FM221">
        <f t="shared" si="4413"/>
        <v>5.18</v>
      </c>
      <c r="FN221">
        <f t="shared" si="4414"/>
        <v>11.6</v>
      </c>
      <c r="FO221">
        <f t="shared" si="4415"/>
        <v>2.78</v>
      </c>
      <c r="FP221">
        <f t="shared" si="4416"/>
        <v>3.7</v>
      </c>
      <c r="FQ221">
        <f t="shared" si="4417"/>
        <v>2.54</v>
      </c>
      <c r="FR221">
        <f t="shared" si="4418"/>
        <v>1.6E-2</v>
      </c>
      <c r="FS221">
        <f t="shared" si="4419"/>
        <v>1.8000000000000002E-2</v>
      </c>
      <c r="FT221">
        <f t="shared" si="4420"/>
        <v>0</v>
      </c>
      <c r="FU221">
        <f t="shared" si="4421"/>
        <v>1E-3</v>
      </c>
      <c r="FV221">
        <f t="shared" si="4422"/>
        <v>0</v>
      </c>
      <c r="FW221">
        <f t="shared" si="4423"/>
        <v>0</v>
      </c>
    </row>
    <row r="222" spans="1:179" x14ac:dyDescent="0.35">
      <c r="B222" s="71" t="s">
        <v>445</v>
      </c>
      <c r="C222">
        <v>1</v>
      </c>
      <c r="D222" s="6">
        <v>4</v>
      </c>
      <c r="E222" s="6">
        <v>16</v>
      </c>
      <c r="F222" s="6">
        <v>0.4</v>
      </c>
      <c r="G222" s="6">
        <v>0</v>
      </c>
      <c r="H222" s="6">
        <v>0.4</v>
      </c>
      <c r="I222" s="6">
        <v>0</v>
      </c>
      <c r="J222" s="6">
        <v>0</v>
      </c>
      <c r="K222" s="6">
        <v>0</v>
      </c>
      <c r="L222" s="6">
        <v>0</v>
      </c>
      <c r="M222" s="6">
        <v>0.6</v>
      </c>
      <c r="N222" s="6">
        <v>0</v>
      </c>
      <c r="O222" s="6">
        <v>0.6</v>
      </c>
      <c r="P222" s="6">
        <v>0</v>
      </c>
      <c r="Q222" s="6">
        <v>0</v>
      </c>
      <c r="R222" s="6">
        <v>99</v>
      </c>
      <c r="S222" s="6">
        <v>0.5</v>
      </c>
      <c r="T222" s="6">
        <v>15</v>
      </c>
      <c r="U222" s="6">
        <v>20</v>
      </c>
      <c r="V222" s="6">
        <v>89</v>
      </c>
      <c r="W222" s="6">
        <v>32</v>
      </c>
      <c r="X222" s="6">
        <v>0.6</v>
      </c>
      <c r="Y222" s="6">
        <v>4</v>
      </c>
      <c r="Z222" s="6">
        <v>0.04</v>
      </c>
      <c r="AA222" s="6">
        <v>1</v>
      </c>
      <c r="AB222" s="6">
        <v>47</v>
      </c>
      <c r="AC222" s="51">
        <v>0.5</v>
      </c>
      <c r="AD222" s="6">
        <v>0.01</v>
      </c>
      <c r="AE222" s="6">
        <v>57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0</v>
      </c>
      <c r="BF222" s="6">
        <v>0</v>
      </c>
      <c r="BG222" s="6">
        <v>0</v>
      </c>
      <c r="BH222" s="6">
        <v>0</v>
      </c>
      <c r="BI222" s="6">
        <v>0</v>
      </c>
      <c r="BJ222" s="6">
        <v>0</v>
      </c>
      <c r="BK222" s="6">
        <v>0</v>
      </c>
      <c r="BL222" s="6">
        <v>0</v>
      </c>
      <c r="BM222" s="6">
        <v>0</v>
      </c>
      <c r="BN222" s="6">
        <v>0</v>
      </c>
      <c r="BO222" s="6">
        <v>0</v>
      </c>
      <c r="BP222" s="79">
        <v>0.5</v>
      </c>
      <c r="BQ222" s="79">
        <v>0.5</v>
      </c>
      <c r="BR222" s="79">
        <v>0.5</v>
      </c>
      <c r="BS222" s="79">
        <v>0.5</v>
      </c>
      <c r="BT222" s="79">
        <v>0.5</v>
      </c>
      <c r="BU222" s="79">
        <v>0.5</v>
      </c>
      <c r="BV222" s="79">
        <v>0.5</v>
      </c>
      <c r="BW222" s="79">
        <v>0.5</v>
      </c>
      <c r="BX222" s="79">
        <v>0.5</v>
      </c>
      <c r="BY222" s="79">
        <v>0.5</v>
      </c>
      <c r="BZ222" s="79">
        <v>0.5</v>
      </c>
      <c r="CA222" s="79">
        <v>0.5</v>
      </c>
      <c r="CB222" s="79">
        <v>0.5</v>
      </c>
      <c r="CC222" s="79">
        <v>0.5</v>
      </c>
      <c r="CD222" s="79">
        <v>0.5</v>
      </c>
      <c r="CE222" s="79">
        <v>0.5</v>
      </c>
      <c r="CF222" s="79">
        <v>0.5</v>
      </c>
      <c r="CG222" s="79">
        <v>0.5</v>
      </c>
      <c r="CH222" s="6">
        <v>0.3</v>
      </c>
      <c r="CI222" s="6">
        <v>0.3</v>
      </c>
      <c r="CJ222" s="6">
        <v>0</v>
      </c>
      <c r="CK222" s="6">
        <v>0</v>
      </c>
      <c r="CL222" s="6">
        <v>0</v>
      </c>
      <c r="CM222" s="6">
        <v>0</v>
      </c>
      <c r="CN222">
        <f t="shared" ref="CN222" si="4424">($C222*D222)/100</f>
        <v>0.04</v>
      </c>
      <c r="CO222">
        <f t="shared" ref="CO222" si="4425">($C222*E222)/100</f>
        <v>0.16</v>
      </c>
      <c r="CP222">
        <f t="shared" ref="CP222" si="4426">($C222*F222)/100</f>
        <v>4.0000000000000001E-3</v>
      </c>
      <c r="CQ222">
        <f t="shared" ref="CQ222" si="4427">($C222*G222)/100</f>
        <v>0</v>
      </c>
      <c r="CR222">
        <f t="shared" ref="CR222" si="4428">($C222*H222)/100</f>
        <v>4.0000000000000001E-3</v>
      </c>
      <c r="CS222">
        <f t="shared" ref="CS222" si="4429">($C222*I222)/100</f>
        <v>0</v>
      </c>
      <c r="CT222">
        <f t="shared" ref="CT222" si="4430">($C222*J222)/100</f>
        <v>0</v>
      </c>
      <c r="CU222">
        <f t="shared" ref="CU222" si="4431">($C222*K222)/100</f>
        <v>0</v>
      </c>
      <c r="CV222">
        <f t="shared" ref="CV222" si="4432">($C222*L222)/100</f>
        <v>0</v>
      </c>
      <c r="CW222">
        <f t="shared" ref="CW222" si="4433">($C222*M222)/100</f>
        <v>6.0000000000000001E-3</v>
      </c>
      <c r="CX222">
        <f t="shared" ref="CX222" si="4434">($C222*N222)/100</f>
        <v>0</v>
      </c>
      <c r="CY222">
        <f t="shared" ref="CY222" si="4435">($C222*O222)/100</f>
        <v>6.0000000000000001E-3</v>
      </c>
      <c r="CZ222">
        <f t="shared" ref="CZ222" si="4436">($C222*P222)/100</f>
        <v>0</v>
      </c>
      <c r="DA222">
        <f t="shared" ref="DA222" si="4437">($C222*Q222)/100</f>
        <v>0</v>
      </c>
      <c r="DB222">
        <f t="shared" ref="DB222" si="4438">($C222*R222)/100</f>
        <v>0.99</v>
      </c>
      <c r="DC222">
        <f t="shared" ref="DC222" si="4439">($C222*S222)/100</f>
        <v>5.0000000000000001E-3</v>
      </c>
      <c r="DD222">
        <f t="shared" ref="DD222" si="4440">($C222*T222)/100</f>
        <v>0.15</v>
      </c>
      <c r="DE222">
        <f t="shared" ref="DE222" si="4441">($C222*U222)/100</f>
        <v>0.2</v>
      </c>
      <c r="DF222">
        <f t="shared" ref="DF222" si="4442">($C222*V222)/100</f>
        <v>0.89</v>
      </c>
      <c r="DG222">
        <f t="shared" ref="DG222" si="4443">($C222*W222)/100</f>
        <v>0.32</v>
      </c>
      <c r="DH222">
        <f t="shared" ref="DH222" si="4444">($C222*X222)/100</f>
        <v>6.0000000000000001E-3</v>
      </c>
      <c r="DI222">
        <f t="shared" ref="DI222" si="4445">($C222*Y222)/100</f>
        <v>0.04</v>
      </c>
      <c r="DJ222">
        <f t="shared" ref="DJ222" si="4446">($C222*Z222)/100</f>
        <v>4.0000000000000002E-4</v>
      </c>
      <c r="DK222">
        <f t="shared" ref="DK222" si="4447">($C222*AA222)/100</f>
        <v>0.01</v>
      </c>
      <c r="DL222">
        <f t="shared" ref="DL222" si="4448">($C222*AB222)/100</f>
        <v>0.47</v>
      </c>
      <c r="DM222">
        <f t="shared" ref="DM222" si="4449">($C222*AC222)/100</f>
        <v>5.0000000000000001E-3</v>
      </c>
      <c r="DN222">
        <f t="shared" ref="DN222" si="4450">($C222*AD222)/100</f>
        <v>1E-4</v>
      </c>
      <c r="DO222">
        <f t="shared" ref="DO222" si="4451">($C222*AE222)/100</f>
        <v>0.56999999999999995</v>
      </c>
      <c r="DP222">
        <f t="shared" ref="DP222" si="4452">($C222*AF222)/100</f>
        <v>0</v>
      </c>
      <c r="DQ222">
        <f t="shared" ref="DQ222" si="4453">($C222*AG222)/100</f>
        <v>0</v>
      </c>
      <c r="DR222">
        <f t="shared" ref="DR222" si="4454">($C222*AH222)/100</f>
        <v>0</v>
      </c>
      <c r="DS222">
        <f t="shared" ref="DS222" si="4455">($C222*AI222)/100</f>
        <v>0</v>
      </c>
      <c r="DT222">
        <f t="shared" ref="DT222" si="4456">($C222*AJ222)/100</f>
        <v>0</v>
      </c>
      <c r="DU222">
        <f t="shared" ref="DU222" si="4457">($C222*AK222)/100</f>
        <v>0</v>
      </c>
      <c r="DV222">
        <f t="shared" ref="DV222" si="4458">($C222*AL222)/100</f>
        <v>0</v>
      </c>
      <c r="DW222">
        <f t="shared" ref="DW222" si="4459">($C222*AM222)/100</f>
        <v>0</v>
      </c>
      <c r="DX222">
        <f t="shared" ref="DX222" si="4460">($C222*AN222)/100</f>
        <v>0</v>
      </c>
      <c r="DY222">
        <f t="shared" ref="DY222" si="4461">($C222*AO222)/100</f>
        <v>0</v>
      </c>
      <c r="DZ222">
        <f t="shared" ref="DZ222" si="4462">($C222*AP222)/100</f>
        <v>0</v>
      </c>
      <c r="EA222">
        <f t="shared" ref="EA222" si="4463">($C222*AQ222)/100</f>
        <v>0</v>
      </c>
      <c r="EB222">
        <f t="shared" ref="EB222" si="4464">($C222*AR222)/100</f>
        <v>0</v>
      </c>
      <c r="EC222">
        <f t="shared" ref="EC222" si="4465">($C222*AS222)/100</f>
        <v>0</v>
      </c>
      <c r="ED222">
        <f t="shared" ref="ED222" si="4466">($C222*AT222)/100</f>
        <v>0</v>
      </c>
      <c r="EE222">
        <f t="shared" ref="EE222" si="4467">($C222*AU222)/100</f>
        <v>0</v>
      </c>
      <c r="EF222">
        <f t="shared" ref="EF222" si="4468">($C222*AV222)/100</f>
        <v>0</v>
      </c>
      <c r="EG222">
        <f t="shared" ref="EG222" si="4469">($C222*AW222)/100</f>
        <v>0</v>
      </c>
      <c r="EH222">
        <f t="shared" ref="EH222" si="4470">($C222*AX222)/100</f>
        <v>0</v>
      </c>
      <c r="EI222">
        <f t="shared" ref="EI222" si="4471">($C222*AY222)/100</f>
        <v>0</v>
      </c>
      <c r="EJ222">
        <f t="shared" ref="EJ222" si="4472">($C222*AZ222)/100</f>
        <v>0</v>
      </c>
      <c r="EK222">
        <f t="shared" ref="EK222" si="4473">($C222*BA222)/100</f>
        <v>0</v>
      </c>
      <c r="EL222">
        <f t="shared" ref="EL222" si="4474">($C222*BB222)/100</f>
        <v>0</v>
      </c>
      <c r="EM222">
        <f t="shared" ref="EM222" si="4475">($C222*BC222)/100</f>
        <v>0</v>
      </c>
      <c r="EN222">
        <f t="shared" ref="EN222" si="4476">($C222*BD222)/100</f>
        <v>0</v>
      </c>
      <c r="EO222">
        <f t="shared" ref="EO222" si="4477">($C222*BE222)/100</f>
        <v>0</v>
      </c>
      <c r="EP222">
        <f t="shared" ref="EP222" si="4478">($C222*BF222)/100</f>
        <v>0</v>
      </c>
      <c r="EQ222">
        <f t="shared" ref="EQ222" si="4479">($C222*BG222)/100</f>
        <v>0</v>
      </c>
      <c r="ER222">
        <f t="shared" ref="ER222" si="4480">($C222*BH222)/100</f>
        <v>0</v>
      </c>
      <c r="ES222">
        <f t="shared" ref="ES222" si="4481">($C222*BI222)/100</f>
        <v>0</v>
      </c>
      <c r="ET222">
        <f t="shared" ref="ET222" si="4482">($C222*BJ222)/100</f>
        <v>0</v>
      </c>
      <c r="EU222">
        <f t="shared" ref="EU222" si="4483">($C222*BK222)/100</f>
        <v>0</v>
      </c>
      <c r="EV222">
        <f t="shared" ref="EV222" si="4484">($C222*BL222)/100</f>
        <v>0</v>
      </c>
      <c r="EW222">
        <f t="shared" ref="EW222" si="4485">($C222*BM222)/100</f>
        <v>0</v>
      </c>
      <c r="EX222">
        <f t="shared" ref="EX222" si="4486">($C222*BN222)/100</f>
        <v>0</v>
      </c>
      <c r="EY222">
        <f t="shared" ref="EY222" si="4487">($C222*BO222)/100</f>
        <v>0</v>
      </c>
      <c r="EZ222">
        <f t="shared" ref="EZ222" si="4488">($C222*BP222)/100</f>
        <v>5.0000000000000001E-3</v>
      </c>
      <c r="FA222">
        <f t="shared" ref="FA222" si="4489">($C222*BQ222)/100</f>
        <v>5.0000000000000001E-3</v>
      </c>
      <c r="FB222">
        <f t="shared" ref="FB222" si="4490">($C222*BR222)/100</f>
        <v>5.0000000000000001E-3</v>
      </c>
      <c r="FC222">
        <f t="shared" ref="FC222" si="4491">($C222*BS222)/100</f>
        <v>5.0000000000000001E-3</v>
      </c>
      <c r="FD222">
        <f t="shared" ref="FD222" si="4492">($C222*BT222)/100</f>
        <v>5.0000000000000001E-3</v>
      </c>
      <c r="FE222">
        <f t="shared" ref="FE222" si="4493">($C222*BU222)/100</f>
        <v>5.0000000000000001E-3</v>
      </c>
      <c r="FF222">
        <f t="shared" ref="FF222" si="4494">($C222*BV222)/100</f>
        <v>5.0000000000000001E-3</v>
      </c>
      <c r="FG222">
        <f t="shared" ref="FG222" si="4495">($C222*BW222)/100</f>
        <v>5.0000000000000001E-3</v>
      </c>
      <c r="FH222">
        <f t="shared" ref="FH222" si="4496">($C222*BX222)/100</f>
        <v>5.0000000000000001E-3</v>
      </c>
      <c r="FI222">
        <f t="shared" ref="FI222" si="4497">($C222*BY222)/100</f>
        <v>5.0000000000000001E-3</v>
      </c>
      <c r="FJ222">
        <f t="shared" ref="FJ222" si="4498">($C222*BZ222)/100</f>
        <v>5.0000000000000001E-3</v>
      </c>
      <c r="FK222">
        <f t="shared" ref="FK222" si="4499">($C222*CA222)/100</f>
        <v>5.0000000000000001E-3</v>
      </c>
      <c r="FL222">
        <f t="shared" ref="FL222" si="4500">($C222*CB222)/100</f>
        <v>5.0000000000000001E-3</v>
      </c>
      <c r="FM222">
        <f t="shared" ref="FM222" si="4501">($C222*CC222)/100</f>
        <v>5.0000000000000001E-3</v>
      </c>
      <c r="FN222">
        <f t="shared" ref="FN222" si="4502">($C222*CD222)/100</f>
        <v>5.0000000000000001E-3</v>
      </c>
      <c r="FO222">
        <f t="shared" ref="FO222" si="4503">($C222*CE222)/100</f>
        <v>5.0000000000000001E-3</v>
      </c>
      <c r="FP222">
        <f t="shared" ref="FP222" si="4504">($C222*CF222)/100</f>
        <v>5.0000000000000001E-3</v>
      </c>
      <c r="FQ222">
        <f t="shared" ref="FQ222" si="4505">($C222*CG222)/100</f>
        <v>5.0000000000000001E-3</v>
      </c>
      <c r="FR222">
        <f t="shared" ref="FR222" si="4506">($C222*CH222)/100</f>
        <v>3.0000000000000001E-3</v>
      </c>
      <c r="FS222">
        <f t="shared" ref="FS222" si="4507">($C222*CI222)/100</f>
        <v>3.0000000000000001E-3</v>
      </c>
      <c r="FT222">
        <f t="shared" ref="FT222" si="4508">($C222*CJ222)/100</f>
        <v>0</v>
      </c>
      <c r="FU222">
        <f t="shared" ref="FU222" si="4509">($C222*CK222)/100</f>
        <v>0</v>
      </c>
      <c r="FV222">
        <f t="shared" ref="FV222" si="4510">($C222*CL222)/100</f>
        <v>0</v>
      </c>
      <c r="FW222">
        <f t="shared" ref="FW222" si="4511">($C222*CM222)/100</f>
        <v>0</v>
      </c>
    </row>
    <row r="223" spans="1:179" x14ac:dyDescent="0.35">
      <c r="B223" s="72" t="s">
        <v>446</v>
      </c>
      <c r="C223">
        <v>1</v>
      </c>
      <c r="D223" s="6">
        <v>392</v>
      </c>
      <c r="E223" s="6">
        <v>1672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104.5</v>
      </c>
      <c r="N223" s="6">
        <v>0</v>
      </c>
      <c r="O223" s="6">
        <v>104.5</v>
      </c>
      <c r="P223" s="6">
        <v>0</v>
      </c>
      <c r="Q223" s="6">
        <v>0</v>
      </c>
      <c r="R223" s="6">
        <v>0.5</v>
      </c>
      <c r="S223" s="6">
        <v>0.3</v>
      </c>
      <c r="T223" s="6">
        <v>1</v>
      </c>
      <c r="U223" s="6">
        <v>1</v>
      </c>
      <c r="V223" s="6">
        <v>2</v>
      </c>
      <c r="W223" s="6">
        <v>1</v>
      </c>
      <c r="X223" s="6">
        <v>0.1</v>
      </c>
      <c r="Y223" s="6">
        <v>2</v>
      </c>
      <c r="Z223" s="6">
        <v>0.12</v>
      </c>
      <c r="AA223" s="51">
        <v>0.05</v>
      </c>
      <c r="AB223" s="51">
        <v>0.5</v>
      </c>
      <c r="AC223" s="51">
        <v>0.5</v>
      </c>
      <c r="AD223" s="51">
        <v>5.0000000000000001E-3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7">
        <v>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s="7">
        <v>0</v>
      </c>
      <c r="BW223" s="7">
        <v>0</v>
      </c>
      <c r="BX223" s="7">
        <v>0</v>
      </c>
      <c r="BY223" s="7">
        <v>0</v>
      </c>
      <c r="BZ223" s="7">
        <v>0</v>
      </c>
      <c r="CA223" s="7">
        <v>0</v>
      </c>
      <c r="CB223" s="7">
        <v>0</v>
      </c>
      <c r="CC223" s="7">
        <v>0</v>
      </c>
      <c r="CD223" s="7">
        <v>0</v>
      </c>
      <c r="CE223" s="7">
        <v>0</v>
      </c>
      <c r="CF223" s="7">
        <v>0</v>
      </c>
      <c r="CG223" s="7">
        <v>0</v>
      </c>
      <c r="CH223" s="6">
        <v>0</v>
      </c>
      <c r="CI223" s="6">
        <v>0</v>
      </c>
      <c r="CJ223" s="6">
        <v>0</v>
      </c>
      <c r="CK223" s="6">
        <v>104.5</v>
      </c>
      <c r="CL223" s="6">
        <v>0</v>
      </c>
      <c r="CM223" s="6">
        <v>0</v>
      </c>
      <c r="CN223">
        <f t="shared" ref="CN223:CN224" si="4512">($C223*D223)/100</f>
        <v>3.92</v>
      </c>
      <c r="CO223">
        <f t="shared" ref="CO223:CO224" si="4513">($C223*E223)/100</f>
        <v>16.72</v>
      </c>
      <c r="CP223">
        <f t="shared" ref="CP223:CP224" si="4514">($C223*F223)/100</f>
        <v>0</v>
      </c>
      <c r="CQ223">
        <f t="shared" ref="CQ223:CQ224" si="4515">($C223*G223)/100</f>
        <v>0</v>
      </c>
      <c r="CR223">
        <f t="shared" ref="CR223:CR224" si="4516">($C223*H223)/100</f>
        <v>0</v>
      </c>
      <c r="CS223">
        <f t="shared" ref="CS223:CS224" si="4517">($C223*I223)/100</f>
        <v>0</v>
      </c>
      <c r="CT223">
        <f t="shared" ref="CT223:CT224" si="4518">($C223*J223)/100</f>
        <v>0</v>
      </c>
      <c r="CU223">
        <f t="shared" ref="CU223:CU224" si="4519">($C223*K223)/100</f>
        <v>0</v>
      </c>
      <c r="CV223">
        <f t="shared" ref="CV223:CV224" si="4520">($C223*L223)/100</f>
        <v>0</v>
      </c>
      <c r="CW223">
        <f t="shared" ref="CW223:CW224" si="4521">($C223*M223)/100</f>
        <v>1.0449999999999999</v>
      </c>
      <c r="CX223">
        <f t="shared" ref="CX223:CX224" si="4522">($C223*N223)/100</f>
        <v>0</v>
      </c>
      <c r="CY223">
        <f t="shared" ref="CY223:CY224" si="4523">($C223*O223)/100</f>
        <v>1.0449999999999999</v>
      </c>
      <c r="CZ223">
        <f t="shared" ref="CZ223:CZ224" si="4524">($C223*P223)/100</f>
        <v>0</v>
      </c>
      <c r="DA223">
        <f t="shared" ref="DA223:DA224" si="4525">($C223*Q223)/100</f>
        <v>0</v>
      </c>
      <c r="DB223">
        <f t="shared" ref="DB223:DB224" si="4526">($C223*R223)/100</f>
        <v>5.0000000000000001E-3</v>
      </c>
      <c r="DC223">
        <f t="shared" ref="DC223:DC224" si="4527">($C223*S223)/100</f>
        <v>3.0000000000000001E-3</v>
      </c>
      <c r="DD223">
        <f t="shared" ref="DD223:DD224" si="4528">($C223*T223)/100</f>
        <v>0.01</v>
      </c>
      <c r="DE223">
        <f t="shared" ref="DE223:DE224" si="4529">($C223*U223)/100</f>
        <v>0.01</v>
      </c>
      <c r="DF223">
        <f t="shared" ref="DF223:DF224" si="4530">($C223*V223)/100</f>
        <v>0.02</v>
      </c>
      <c r="DG223">
        <f t="shared" ref="DG223:DG224" si="4531">($C223*W223)/100</f>
        <v>0.01</v>
      </c>
      <c r="DH223">
        <f t="shared" ref="DH223:DH224" si="4532">($C223*X223)/100</f>
        <v>1E-3</v>
      </c>
      <c r="DI223">
        <f t="shared" ref="DI223:DI224" si="4533">($C223*Y223)/100</f>
        <v>0.02</v>
      </c>
      <c r="DJ223">
        <f t="shared" ref="DJ223:DJ224" si="4534">($C223*Z223)/100</f>
        <v>1.1999999999999999E-3</v>
      </c>
      <c r="DK223">
        <f t="shared" ref="DK223:DK224" si="4535">($C223*AA223)/100</f>
        <v>5.0000000000000001E-4</v>
      </c>
      <c r="DL223">
        <f t="shared" ref="DL223:DL224" si="4536">($C223*AB223)/100</f>
        <v>5.0000000000000001E-3</v>
      </c>
      <c r="DM223">
        <f t="shared" ref="DM223:DM224" si="4537">($C223*AC223)/100</f>
        <v>5.0000000000000001E-3</v>
      </c>
      <c r="DN223">
        <f t="shared" ref="DN223:DN224" si="4538">($C223*AD223)/100</f>
        <v>5.0000000000000002E-5</v>
      </c>
      <c r="DO223">
        <f t="shared" ref="DO223:DO224" si="4539">($C223*AE223)/100</f>
        <v>0</v>
      </c>
      <c r="DP223">
        <f t="shared" ref="DP223:DP224" si="4540">($C223*AF223)/100</f>
        <v>0</v>
      </c>
      <c r="DQ223">
        <f t="shared" ref="DQ223:DQ224" si="4541">($C223*AG223)/100</f>
        <v>0</v>
      </c>
      <c r="DR223">
        <f t="shared" ref="DR223:DR224" si="4542">($C223*AH223)/100</f>
        <v>0</v>
      </c>
      <c r="DS223">
        <f t="shared" ref="DS223:DS224" si="4543">($C223*AI223)/100</f>
        <v>0</v>
      </c>
      <c r="DT223">
        <f t="shared" ref="DT223:DT224" si="4544">($C223*AJ223)/100</f>
        <v>0</v>
      </c>
      <c r="DU223">
        <f t="shared" ref="DU223:DU224" si="4545">($C223*AK223)/100</f>
        <v>0</v>
      </c>
      <c r="DV223">
        <f t="shared" ref="DV223:DV224" si="4546">($C223*AL223)/100</f>
        <v>0</v>
      </c>
      <c r="DW223">
        <f t="shared" ref="DW223:DW224" si="4547">($C223*AM223)/100</f>
        <v>0</v>
      </c>
      <c r="DX223">
        <f t="shared" ref="DX223:DX224" si="4548">($C223*AN223)/100</f>
        <v>0</v>
      </c>
      <c r="DY223">
        <f t="shared" ref="DY223:DY224" si="4549">($C223*AO223)/100</f>
        <v>0</v>
      </c>
      <c r="DZ223">
        <f t="shared" ref="DZ223:DZ224" si="4550">($C223*AP223)/100</f>
        <v>0</v>
      </c>
      <c r="EA223">
        <f t="shared" ref="EA223:EA224" si="4551">($C223*AQ223)/100</f>
        <v>0</v>
      </c>
      <c r="EB223">
        <f t="shared" ref="EB223:EB224" si="4552">($C223*AR223)/100</f>
        <v>0</v>
      </c>
      <c r="EC223">
        <f t="shared" ref="EC223:EC224" si="4553">($C223*AS223)/100</f>
        <v>0</v>
      </c>
      <c r="ED223">
        <f t="shared" ref="ED223:ED224" si="4554">($C223*AT223)/100</f>
        <v>0</v>
      </c>
      <c r="EE223">
        <f t="shared" ref="EE223:EE224" si="4555">($C223*AU223)/100</f>
        <v>0</v>
      </c>
      <c r="EF223">
        <f t="shared" ref="EF223:EF224" si="4556">($C223*AV223)/100</f>
        <v>0</v>
      </c>
      <c r="EG223">
        <f t="shared" ref="EG223:EG224" si="4557">($C223*AW223)/100</f>
        <v>0</v>
      </c>
      <c r="EH223">
        <f t="shared" ref="EH223:EH224" si="4558">($C223*AX223)/100</f>
        <v>0</v>
      </c>
      <c r="EI223">
        <f t="shared" ref="EI223:EI224" si="4559">($C223*AY223)/100</f>
        <v>0</v>
      </c>
      <c r="EJ223">
        <f t="shared" ref="EJ223:EJ224" si="4560">($C223*AZ223)/100</f>
        <v>0</v>
      </c>
      <c r="EK223">
        <f t="shared" ref="EK223:EK224" si="4561">($C223*BA223)/100</f>
        <v>0</v>
      </c>
      <c r="EL223">
        <f t="shared" ref="EL223:EL224" si="4562">($C223*BB223)/100</f>
        <v>0</v>
      </c>
      <c r="EM223">
        <f t="shared" ref="EM223:EM224" si="4563">($C223*BC223)/100</f>
        <v>0</v>
      </c>
      <c r="EN223">
        <f t="shared" ref="EN223:EN224" si="4564">($C223*BD223)/100</f>
        <v>0</v>
      </c>
      <c r="EO223">
        <f t="shared" ref="EO223:EO224" si="4565">($C223*BE223)/100</f>
        <v>0</v>
      </c>
      <c r="EP223">
        <f t="shared" ref="EP223:EP224" si="4566">($C223*BF223)/100</f>
        <v>0</v>
      </c>
      <c r="EQ223">
        <f t="shared" ref="EQ223:EQ224" si="4567">($C223*BG223)/100</f>
        <v>0</v>
      </c>
      <c r="ER223">
        <f t="shared" ref="ER223:ER224" si="4568">($C223*BH223)/100</f>
        <v>0</v>
      </c>
      <c r="ES223">
        <f t="shared" ref="ES223:ES224" si="4569">($C223*BI223)/100</f>
        <v>0</v>
      </c>
      <c r="ET223">
        <f t="shared" ref="ET223:ET224" si="4570">($C223*BJ223)/100</f>
        <v>0</v>
      </c>
      <c r="EU223">
        <f t="shared" ref="EU223:EU224" si="4571">($C223*BK223)/100</f>
        <v>0</v>
      </c>
      <c r="EV223">
        <f t="shared" ref="EV223:EV224" si="4572">($C223*BL223)/100</f>
        <v>0</v>
      </c>
      <c r="EW223">
        <f t="shared" ref="EW223:EW224" si="4573">($C223*BM223)/100</f>
        <v>0</v>
      </c>
      <c r="EX223">
        <f t="shared" ref="EX223:EX224" si="4574">($C223*BN223)/100</f>
        <v>0</v>
      </c>
      <c r="EY223">
        <f t="shared" ref="EY223:EY224" si="4575">($C223*BO223)/100</f>
        <v>0</v>
      </c>
      <c r="EZ223">
        <f t="shared" ref="EZ223:EZ224" si="4576">($C223*BP223)/100</f>
        <v>0</v>
      </c>
      <c r="FA223">
        <f t="shared" ref="FA223:FA224" si="4577">($C223*BQ223)/100</f>
        <v>0</v>
      </c>
      <c r="FB223">
        <f t="shared" ref="FB223:FB224" si="4578">($C223*BR223)/100</f>
        <v>0</v>
      </c>
      <c r="FC223">
        <f t="shared" ref="FC223:FC224" si="4579">($C223*BS223)/100</f>
        <v>0</v>
      </c>
      <c r="FD223">
        <f t="shared" ref="FD223:FD224" si="4580">($C223*BT223)/100</f>
        <v>0</v>
      </c>
      <c r="FE223">
        <f t="shared" ref="FE223:FE224" si="4581">($C223*BU223)/100</f>
        <v>0</v>
      </c>
      <c r="FF223">
        <f t="shared" ref="FF223:FF224" si="4582">($C223*BV223)/100</f>
        <v>0</v>
      </c>
      <c r="FG223">
        <f t="shared" ref="FG223:FG224" si="4583">($C223*BW223)/100</f>
        <v>0</v>
      </c>
      <c r="FH223">
        <f t="shared" ref="FH223:FH224" si="4584">($C223*BX223)/100</f>
        <v>0</v>
      </c>
      <c r="FI223">
        <f t="shared" ref="FI223:FI224" si="4585">($C223*BY223)/100</f>
        <v>0</v>
      </c>
      <c r="FJ223">
        <f t="shared" ref="FJ223:FJ224" si="4586">($C223*BZ223)/100</f>
        <v>0</v>
      </c>
      <c r="FK223">
        <f t="shared" ref="FK223:FK224" si="4587">($C223*CA223)/100</f>
        <v>0</v>
      </c>
      <c r="FL223">
        <f t="shared" ref="FL223:FL224" si="4588">($C223*CB223)/100</f>
        <v>0</v>
      </c>
      <c r="FM223">
        <f t="shared" ref="FM223:FM224" si="4589">($C223*CC223)/100</f>
        <v>0</v>
      </c>
      <c r="FN223">
        <f t="shared" ref="FN223:FN224" si="4590">($C223*CD223)/100</f>
        <v>0</v>
      </c>
      <c r="FO223">
        <f t="shared" ref="FO223:FO224" si="4591">($C223*CE223)/100</f>
        <v>0</v>
      </c>
      <c r="FP223">
        <f t="shared" ref="FP223:FP224" si="4592">($C223*CF223)/100</f>
        <v>0</v>
      </c>
      <c r="FQ223">
        <f t="shared" ref="FQ223:FQ224" si="4593">($C223*CG223)/100</f>
        <v>0</v>
      </c>
      <c r="FR223">
        <f t="shared" ref="FR223:FR224" si="4594">($C223*CH223)/100</f>
        <v>0</v>
      </c>
      <c r="FS223">
        <f t="shared" ref="FS223:FS224" si="4595">($C223*CI223)/100</f>
        <v>0</v>
      </c>
      <c r="FT223">
        <f t="shared" ref="FT223:FT224" si="4596">($C223*CJ223)/100</f>
        <v>0</v>
      </c>
      <c r="FU223">
        <f t="shared" ref="FU223:FU224" si="4597">($C223*CK223)/100</f>
        <v>1.0449999999999999</v>
      </c>
      <c r="FV223">
        <f t="shared" ref="FV223:FV224" si="4598">($C223*CL223)/100</f>
        <v>0</v>
      </c>
      <c r="FW223">
        <f t="shared" ref="FW223:FW224" si="4599">($C223*CM223)/100</f>
        <v>0</v>
      </c>
    </row>
    <row r="224" spans="1:179" x14ac:dyDescent="0.35">
      <c r="B224" s="71" t="s">
        <v>464</v>
      </c>
      <c r="C224">
        <v>5</v>
      </c>
      <c r="D224" s="6">
        <v>655</v>
      </c>
      <c r="E224" s="6">
        <v>2697</v>
      </c>
      <c r="F224" s="6">
        <v>4.2</v>
      </c>
      <c r="G224" s="6">
        <v>4.2</v>
      </c>
      <c r="H224" s="6">
        <v>0</v>
      </c>
      <c r="I224" s="6">
        <v>70</v>
      </c>
      <c r="J224" s="6">
        <v>4.8099999999999996</v>
      </c>
      <c r="K224" s="6">
        <v>65.19</v>
      </c>
      <c r="L224" s="6">
        <v>70</v>
      </c>
      <c r="M224" s="6">
        <v>2.2000000000000002</v>
      </c>
      <c r="N224" s="6">
        <v>0</v>
      </c>
      <c r="O224" s="6">
        <v>2.2000000000000002</v>
      </c>
      <c r="P224" s="6">
        <v>0</v>
      </c>
      <c r="Q224" s="6">
        <v>0</v>
      </c>
      <c r="R224" s="6">
        <v>15.1</v>
      </c>
      <c r="S224" s="6">
        <v>0.5</v>
      </c>
      <c r="T224" s="6">
        <v>18</v>
      </c>
      <c r="U224" s="6">
        <v>450</v>
      </c>
      <c r="V224" s="6">
        <v>16</v>
      </c>
      <c r="W224" s="6">
        <v>28</v>
      </c>
      <c r="X224" s="6">
        <v>0.5</v>
      </c>
      <c r="Y224" s="89">
        <v>2</v>
      </c>
      <c r="Z224" s="89">
        <v>0</v>
      </c>
      <c r="AA224" s="89">
        <v>0</v>
      </c>
      <c r="AB224" s="79">
        <v>0.5</v>
      </c>
      <c r="AC224" s="89">
        <v>1.6</v>
      </c>
      <c r="AD224" s="89">
        <v>0</v>
      </c>
      <c r="AE224" s="6">
        <v>0</v>
      </c>
      <c r="AF224" s="6">
        <v>0.02</v>
      </c>
      <c r="AG224" s="6">
        <v>0.04</v>
      </c>
      <c r="AH224" s="51">
        <v>0.5</v>
      </c>
      <c r="AI224" s="51">
        <v>5.0000000000000001E-3</v>
      </c>
      <c r="AJ224" s="6">
        <v>0.01</v>
      </c>
      <c r="AK224" s="6">
        <v>4</v>
      </c>
      <c r="AL224" s="89">
        <v>0</v>
      </c>
      <c r="AM224" s="89">
        <v>0</v>
      </c>
      <c r="AN224" s="89">
        <v>0.41</v>
      </c>
      <c r="AO224" s="6">
        <v>103</v>
      </c>
      <c r="AP224" s="6">
        <v>86</v>
      </c>
      <c r="AQ224" s="6">
        <v>100</v>
      </c>
      <c r="AR224" s="6">
        <v>18.989999999999998</v>
      </c>
      <c r="AS224" s="6">
        <v>0.3</v>
      </c>
      <c r="AT224" s="55">
        <v>163</v>
      </c>
      <c r="AU224" s="6">
        <v>8.82</v>
      </c>
      <c r="AV224" s="90">
        <f>1.15</f>
        <v>1.1499999999999999</v>
      </c>
      <c r="AW224" s="90">
        <f>1.15</f>
        <v>1.1499999999999999</v>
      </c>
      <c r="AX224" s="90">
        <f>1.15</f>
        <v>1.1499999999999999</v>
      </c>
      <c r="AY224" s="89">
        <v>2.36</v>
      </c>
      <c r="AZ224" s="89">
        <v>0.71</v>
      </c>
      <c r="BA224" s="90">
        <f t="shared" ref="BA224:BB224" si="4600">1.15</f>
        <v>1.1499999999999999</v>
      </c>
      <c r="BB224" s="90">
        <f t="shared" si="4600"/>
        <v>1.1499999999999999</v>
      </c>
      <c r="BC224" s="6">
        <v>23.7</v>
      </c>
      <c r="BD224" s="90">
        <f>(BC224-BF224)/4</f>
        <v>0.12000000000000011</v>
      </c>
      <c r="BE224" s="90">
        <v>0.12</v>
      </c>
      <c r="BF224" s="6">
        <v>23.22</v>
      </c>
      <c r="BG224" s="90">
        <v>0.12</v>
      </c>
      <c r="BH224" s="90">
        <v>0.12</v>
      </c>
      <c r="BI224" s="6">
        <v>33.35</v>
      </c>
      <c r="BJ224" s="6">
        <v>33.07</v>
      </c>
      <c r="BK224" s="6">
        <v>0.24</v>
      </c>
      <c r="BL224" s="90">
        <f>(BI224-(BJ224+BO224+BK224))/3</f>
        <v>0</v>
      </c>
      <c r="BM224" s="90">
        <v>0</v>
      </c>
      <c r="BN224" s="90">
        <v>0</v>
      </c>
      <c r="BO224" s="6">
        <v>0.04</v>
      </c>
      <c r="BP224" s="7">
        <v>63</v>
      </c>
      <c r="BQ224" s="7">
        <v>218</v>
      </c>
      <c r="BR224" s="7">
        <v>223</v>
      </c>
      <c r="BS224" s="7">
        <v>355</v>
      </c>
      <c r="BT224" s="7">
        <v>331</v>
      </c>
      <c r="BU224" s="7">
        <v>112</v>
      </c>
      <c r="BV224" s="7">
        <v>87</v>
      </c>
      <c r="BW224" s="7">
        <v>188</v>
      </c>
      <c r="BX224" s="7">
        <v>175</v>
      </c>
      <c r="BY224" s="7">
        <v>263</v>
      </c>
      <c r="BZ224" s="7">
        <v>293</v>
      </c>
      <c r="CA224" s="7">
        <v>104</v>
      </c>
      <c r="CB224" s="7">
        <v>234</v>
      </c>
      <c r="CC224" s="7">
        <v>409</v>
      </c>
      <c r="CD224" s="7">
        <v>502</v>
      </c>
      <c r="CE224" s="7">
        <v>135</v>
      </c>
      <c r="CF224" s="7">
        <v>183</v>
      </c>
      <c r="CG224" s="7">
        <v>309</v>
      </c>
      <c r="CH224" s="89">
        <v>0.81</v>
      </c>
      <c r="CI224" s="89">
        <v>0.79</v>
      </c>
      <c r="CJ224" s="6">
        <v>0</v>
      </c>
      <c r="CK224" s="89">
        <v>0.59</v>
      </c>
      <c r="CL224" s="89">
        <v>0</v>
      </c>
      <c r="CM224" s="89">
        <v>0</v>
      </c>
      <c r="CN224">
        <f t="shared" si="4512"/>
        <v>32.75</v>
      </c>
      <c r="CO224">
        <f t="shared" si="4513"/>
        <v>134.85</v>
      </c>
      <c r="CP224">
        <f t="shared" si="4514"/>
        <v>0.21</v>
      </c>
      <c r="CQ224">
        <f t="shared" si="4515"/>
        <v>0.21</v>
      </c>
      <c r="CR224">
        <f t="shared" si="4516"/>
        <v>0</v>
      </c>
      <c r="CS224">
        <f t="shared" si="4517"/>
        <v>3.5</v>
      </c>
      <c r="CT224">
        <f t="shared" si="4518"/>
        <v>0.24049999999999996</v>
      </c>
      <c r="CU224">
        <f t="shared" si="4519"/>
        <v>3.2595000000000001</v>
      </c>
      <c r="CV224">
        <f t="shared" si="4520"/>
        <v>3.5</v>
      </c>
      <c r="CW224">
        <f t="shared" si="4521"/>
        <v>0.11</v>
      </c>
      <c r="CX224">
        <f t="shared" si="4522"/>
        <v>0</v>
      </c>
      <c r="CY224">
        <f t="shared" si="4523"/>
        <v>0.11</v>
      </c>
      <c r="CZ224">
        <f t="shared" si="4524"/>
        <v>0</v>
      </c>
      <c r="DA224">
        <f t="shared" si="4525"/>
        <v>0</v>
      </c>
      <c r="DB224">
        <f t="shared" si="4526"/>
        <v>0.755</v>
      </c>
      <c r="DC224">
        <f t="shared" si="4527"/>
        <v>2.5000000000000001E-2</v>
      </c>
      <c r="DD224">
        <f t="shared" si="4528"/>
        <v>0.9</v>
      </c>
      <c r="DE224">
        <f t="shared" si="4529"/>
        <v>22.5</v>
      </c>
      <c r="DF224">
        <f t="shared" si="4530"/>
        <v>0.8</v>
      </c>
      <c r="DG224">
        <f t="shared" si="4531"/>
        <v>1.4</v>
      </c>
      <c r="DH224">
        <f t="shared" si="4532"/>
        <v>2.5000000000000001E-2</v>
      </c>
      <c r="DI224">
        <f t="shared" si="4533"/>
        <v>0.1</v>
      </c>
      <c r="DJ224">
        <f t="shared" si="4534"/>
        <v>0</v>
      </c>
      <c r="DK224">
        <f t="shared" si="4535"/>
        <v>0</v>
      </c>
      <c r="DL224">
        <f t="shared" si="4536"/>
        <v>2.5000000000000001E-2</v>
      </c>
      <c r="DM224">
        <f t="shared" si="4537"/>
        <v>0.08</v>
      </c>
      <c r="DN224">
        <f t="shared" si="4538"/>
        <v>0</v>
      </c>
      <c r="DO224">
        <f t="shared" si="4539"/>
        <v>0</v>
      </c>
      <c r="DP224">
        <f t="shared" si="4540"/>
        <v>1E-3</v>
      </c>
      <c r="DQ224">
        <f t="shared" si="4541"/>
        <v>2E-3</v>
      </c>
      <c r="DR224">
        <f t="shared" si="4542"/>
        <v>2.5000000000000001E-2</v>
      </c>
      <c r="DS224">
        <f t="shared" si="4543"/>
        <v>2.5000000000000001E-4</v>
      </c>
      <c r="DT224">
        <f t="shared" si="4544"/>
        <v>5.0000000000000001E-4</v>
      </c>
      <c r="DU224">
        <f t="shared" si="4545"/>
        <v>0.2</v>
      </c>
      <c r="DV224">
        <f t="shared" si="4546"/>
        <v>0</v>
      </c>
      <c r="DW224">
        <f t="shared" si="4547"/>
        <v>0</v>
      </c>
      <c r="DX224">
        <f t="shared" si="4548"/>
        <v>2.0499999999999997E-2</v>
      </c>
      <c r="DY224">
        <f t="shared" si="4549"/>
        <v>5.15</v>
      </c>
      <c r="DZ224">
        <f t="shared" si="4550"/>
        <v>4.3</v>
      </c>
      <c r="EA224">
        <f t="shared" si="4551"/>
        <v>5</v>
      </c>
      <c r="EB224">
        <f t="shared" si="4552"/>
        <v>0.9494999999999999</v>
      </c>
      <c r="EC224">
        <f t="shared" si="4553"/>
        <v>1.4999999999999999E-2</v>
      </c>
      <c r="ED224">
        <f t="shared" si="4554"/>
        <v>8.15</v>
      </c>
      <c r="EE224">
        <f t="shared" si="4555"/>
        <v>0.441</v>
      </c>
      <c r="EF224">
        <f t="shared" si="4556"/>
        <v>5.7500000000000002E-2</v>
      </c>
      <c r="EG224">
        <f t="shared" si="4557"/>
        <v>5.7500000000000002E-2</v>
      </c>
      <c r="EH224">
        <f t="shared" si="4558"/>
        <v>5.7500000000000002E-2</v>
      </c>
      <c r="EI224">
        <f t="shared" si="4559"/>
        <v>0.11799999999999999</v>
      </c>
      <c r="EJ224">
        <f t="shared" si="4560"/>
        <v>3.5499999999999997E-2</v>
      </c>
      <c r="EK224">
        <f t="shared" si="4561"/>
        <v>5.7500000000000002E-2</v>
      </c>
      <c r="EL224">
        <f t="shared" si="4562"/>
        <v>5.7500000000000002E-2</v>
      </c>
      <c r="EM224">
        <f t="shared" si="4563"/>
        <v>1.1850000000000001</v>
      </c>
      <c r="EN224">
        <f t="shared" si="4564"/>
        <v>6.0000000000000053E-3</v>
      </c>
      <c r="EO224">
        <f t="shared" si="4565"/>
        <v>6.0000000000000001E-3</v>
      </c>
      <c r="EP224">
        <f t="shared" si="4566"/>
        <v>1.161</v>
      </c>
      <c r="EQ224">
        <f t="shared" si="4567"/>
        <v>6.0000000000000001E-3</v>
      </c>
      <c r="ER224">
        <f t="shared" si="4568"/>
        <v>6.0000000000000001E-3</v>
      </c>
      <c r="ES224">
        <f t="shared" si="4569"/>
        <v>1.6675</v>
      </c>
      <c r="ET224">
        <f t="shared" si="4570"/>
        <v>1.6535</v>
      </c>
      <c r="EU224">
        <f t="shared" si="4571"/>
        <v>1.2E-2</v>
      </c>
      <c r="EV224">
        <f t="shared" si="4572"/>
        <v>0</v>
      </c>
      <c r="EW224">
        <f t="shared" si="4573"/>
        <v>0</v>
      </c>
      <c r="EX224">
        <f t="shared" si="4574"/>
        <v>0</v>
      </c>
      <c r="EY224">
        <f t="shared" si="4575"/>
        <v>2E-3</v>
      </c>
      <c r="EZ224">
        <f t="shared" si="4576"/>
        <v>3.15</v>
      </c>
      <c r="FA224">
        <f t="shared" si="4577"/>
        <v>10.9</v>
      </c>
      <c r="FB224">
        <f t="shared" si="4578"/>
        <v>11.15</v>
      </c>
      <c r="FC224">
        <f t="shared" si="4579"/>
        <v>17.75</v>
      </c>
      <c r="FD224">
        <f t="shared" si="4580"/>
        <v>16.55</v>
      </c>
      <c r="FE224">
        <f t="shared" si="4581"/>
        <v>5.6</v>
      </c>
      <c r="FF224">
        <f t="shared" si="4582"/>
        <v>4.3499999999999996</v>
      </c>
      <c r="FG224">
        <f t="shared" si="4583"/>
        <v>9.4</v>
      </c>
      <c r="FH224">
        <f t="shared" si="4584"/>
        <v>8.75</v>
      </c>
      <c r="FI224">
        <f t="shared" si="4585"/>
        <v>13.15</v>
      </c>
      <c r="FJ224">
        <f t="shared" si="4586"/>
        <v>14.65</v>
      </c>
      <c r="FK224">
        <f t="shared" si="4587"/>
        <v>5.2</v>
      </c>
      <c r="FL224">
        <f t="shared" si="4588"/>
        <v>11.7</v>
      </c>
      <c r="FM224">
        <f t="shared" si="4589"/>
        <v>20.45</v>
      </c>
      <c r="FN224">
        <f t="shared" si="4590"/>
        <v>25.1</v>
      </c>
      <c r="FO224">
        <f t="shared" si="4591"/>
        <v>6.75</v>
      </c>
      <c r="FP224">
        <f t="shared" si="4592"/>
        <v>9.15</v>
      </c>
      <c r="FQ224">
        <f t="shared" si="4593"/>
        <v>15.45</v>
      </c>
      <c r="FR224">
        <f t="shared" si="4594"/>
        <v>4.0500000000000008E-2</v>
      </c>
      <c r="FS224">
        <f t="shared" si="4595"/>
        <v>3.95E-2</v>
      </c>
      <c r="FT224">
        <f t="shared" si="4596"/>
        <v>0</v>
      </c>
      <c r="FU224">
        <f t="shared" si="4597"/>
        <v>2.9499999999999998E-2</v>
      </c>
      <c r="FV224">
        <f t="shared" si="4598"/>
        <v>0</v>
      </c>
      <c r="FW224">
        <f t="shared" si="4599"/>
        <v>0</v>
      </c>
    </row>
    <row r="225" spans="1:179" x14ac:dyDescent="0.35">
      <c r="C225">
        <f>SUM(C216:C224)</f>
        <v>100</v>
      </c>
      <c r="CN225">
        <f>SUM(CN216:CN224)</f>
        <v>68.400000000000006</v>
      </c>
      <c r="CO225">
        <f t="shared" ref="CO225:EZ225" si="4601">SUM(CO216:CO224)</f>
        <v>286.55</v>
      </c>
      <c r="CP225">
        <f t="shared" si="4601"/>
        <v>2.1924000000000006</v>
      </c>
      <c r="CQ225">
        <f t="shared" si="4601"/>
        <v>0.77999999999999992</v>
      </c>
      <c r="CR225">
        <f t="shared" si="4601"/>
        <v>1.4124000000000003</v>
      </c>
      <c r="CS225">
        <f t="shared" si="4601"/>
        <v>4.1904000000000003</v>
      </c>
      <c r="CT225">
        <f t="shared" si="4601"/>
        <v>0.8254999999999999</v>
      </c>
      <c r="CU225">
        <f t="shared" si="4601"/>
        <v>3.3649</v>
      </c>
      <c r="CV225">
        <f t="shared" si="4601"/>
        <v>5.15</v>
      </c>
      <c r="CW225">
        <f t="shared" si="4601"/>
        <v>4.8582999999999998</v>
      </c>
      <c r="CX225">
        <f t="shared" si="4601"/>
        <v>7.4000000000000003E-3</v>
      </c>
      <c r="CY225">
        <f t="shared" si="4601"/>
        <v>4.8091999999999997</v>
      </c>
      <c r="CZ225">
        <f t="shared" si="4601"/>
        <v>2.1029999999999998</v>
      </c>
      <c r="DA225">
        <f t="shared" si="4601"/>
        <v>0</v>
      </c>
      <c r="DB225">
        <f t="shared" si="4601"/>
        <v>86.506999999999977</v>
      </c>
      <c r="DC225">
        <f t="shared" si="4601"/>
        <v>0.79110000000000014</v>
      </c>
      <c r="DD225">
        <f t="shared" si="4601"/>
        <v>61.24</v>
      </c>
      <c r="DE225">
        <f t="shared" si="4601"/>
        <v>67.760000000000005</v>
      </c>
      <c r="DF225">
        <f t="shared" si="4601"/>
        <v>210.33</v>
      </c>
      <c r="DG225">
        <f t="shared" si="4601"/>
        <v>43.109999999999992</v>
      </c>
      <c r="DH225">
        <f t="shared" si="4601"/>
        <v>0.31290000000000007</v>
      </c>
      <c r="DI225">
        <f t="shared" si="4601"/>
        <v>3.0400000000000005</v>
      </c>
      <c r="DJ225">
        <f t="shared" si="4601"/>
        <v>6.2899999999999996E-3</v>
      </c>
      <c r="DK225">
        <f t="shared" si="4601"/>
        <v>0.64649999999999996</v>
      </c>
      <c r="DL225">
        <f t="shared" si="4601"/>
        <v>62.98</v>
      </c>
      <c r="DM225">
        <f t="shared" si="4601"/>
        <v>9.6340000000000003</v>
      </c>
      <c r="DN225">
        <f t="shared" si="4601"/>
        <v>1.2579999999999999E-2</v>
      </c>
      <c r="DO225">
        <f t="shared" si="4601"/>
        <v>9.745000000000001</v>
      </c>
      <c r="DP225">
        <f t="shared" si="4601"/>
        <v>4.8770000000000001E-2</v>
      </c>
      <c r="DQ225">
        <f t="shared" si="4601"/>
        <v>6.3799999999999996E-2</v>
      </c>
      <c r="DR225">
        <f t="shared" si="4601"/>
        <v>25.677999999999997</v>
      </c>
      <c r="DS225">
        <f t="shared" si="4601"/>
        <v>0.49139999999999995</v>
      </c>
      <c r="DT225">
        <f t="shared" si="4601"/>
        <v>0.13720000000000002</v>
      </c>
      <c r="DU225">
        <f t="shared" si="4601"/>
        <v>37.27000000000001</v>
      </c>
      <c r="DV225">
        <f t="shared" si="4601"/>
        <v>8.1140000000000004E-2</v>
      </c>
      <c r="DW225">
        <f t="shared" si="4601"/>
        <v>0.39800000000000002</v>
      </c>
      <c r="DX225">
        <f t="shared" si="4601"/>
        <v>5.0499999999999996E-2</v>
      </c>
      <c r="DY225">
        <f t="shared" si="4601"/>
        <v>199.71833333333331</v>
      </c>
      <c r="DZ225">
        <f t="shared" si="4601"/>
        <v>8.9499999999999993</v>
      </c>
      <c r="EA225">
        <f t="shared" si="4601"/>
        <v>1144.2500000000002</v>
      </c>
      <c r="EB225">
        <f t="shared" si="4601"/>
        <v>1.1653179999999999</v>
      </c>
      <c r="EC225">
        <f t="shared" si="4601"/>
        <v>2.0999999999999998E-2</v>
      </c>
      <c r="ED225">
        <f t="shared" si="4601"/>
        <v>15.794</v>
      </c>
      <c r="EE225">
        <f t="shared" si="4601"/>
        <v>0.76303999999999994</v>
      </c>
      <c r="EF225">
        <f t="shared" si="4601"/>
        <v>0.10705000000000001</v>
      </c>
      <c r="EG225">
        <f t="shared" si="4601"/>
        <v>7.5520000000000004E-2</v>
      </c>
      <c r="EH225">
        <f t="shared" si="4601"/>
        <v>0.11154</v>
      </c>
      <c r="EI225">
        <f t="shared" si="4601"/>
        <v>0.25717000000000001</v>
      </c>
      <c r="EJ225">
        <f t="shared" si="4601"/>
        <v>8.6879999999999999E-2</v>
      </c>
      <c r="EK225">
        <f t="shared" si="4601"/>
        <v>5.7700000000000001E-2</v>
      </c>
      <c r="EL225">
        <f t="shared" si="4601"/>
        <v>5.7660000000000003E-2</v>
      </c>
      <c r="EM225">
        <f t="shared" si="4601"/>
        <v>1.3404</v>
      </c>
      <c r="EN225">
        <f t="shared" si="4601"/>
        <v>6.0000000000000053E-3</v>
      </c>
      <c r="EO225">
        <f t="shared" si="4601"/>
        <v>7.5799999999999999E-3</v>
      </c>
      <c r="EP225">
        <f t="shared" si="4601"/>
        <v>1.30088</v>
      </c>
      <c r="EQ225">
        <f t="shared" si="4601"/>
        <v>8.8900000000000003E-3</v>
      </c>
      <c r="ER225">
        <f t="shared" si="4601"/>
        <v>1.66E-2</v>
      </c>
      <c r="ES225">
        <f t="shared" si="4601"/>
        <v>1.7271399999999999</v>
      </c>
      <c r="ET225">
        <f t="shared" si="4601"/>
        <v>1.68628</v>
      </c>
      <c r="EU225">
        <f t="shared" si="4601"/>
        <v>3.8929999999999999E-2</v>
      </c>
      <c r="EV225">
        <f t="shared" si="4601"/>
        <v>0</v>
      </c>
      <c r="EW225">
        <f t="shared" si="4601"/>
        <v>0</v>
      </c>
      <c r="EX225">
        <f t="shared" si="4601"/>
        <v>0</v>
      </c>
      <c r="EY225">
        <f t="shared" si="4601"/>
        <v>9.8300000000000002E-3</v>
      </c>
      <c r="EZ225">
        <f t="shared" si="4601"/>
        <v>24.095089999999999</v>
      </c>
      <c r="FA225">
        <f t="shared" ref="FA225:FW225" si="4602">SUM(FA216:FA224)</f>
        <v>82.656670000000005</v>
      </c>
      <c r="FB225">
        <f t="shared" si="4602"/>
        <v>80.636459999999985</v>
      </c>
      <c r="FC225">
        <f t="shared" si="4602"/>
        <v>132.99792000000002</v>
      </c>
      <c r="FD225">
        <f t="shared" si="4602"/>
        <v>102.50763999999999</v>
      </c>
      <c r="FE225">
        <f t="shared" si="4602"/>
        <v>32.675760000000004</v>
      </c>
      <c r="FF225">
        <f t="shared" si="4602"/>
        <v>24.005719999999997</v>
      </c>
      <c r="FG225">
        <f t="shared" si="4602"/>
        <v>76.406610000000001</v>
      </c>
      <c r="FH225">
        <f t="shared" si="4602"/>
        <v>64.026340000000005</v>
      </c>
      <c r="FI225">
        <f t="shared" si="4602"/>
        <v>100.98689</v>
      </c>
      <c r="FJ225">
        <f t="shared" si="4602"/>
        <v>144.01752000000002</v>
      </c>
      <c r="FK225">
        <f t="shared" si="4602"/>
        <v>50.836190000000009</v>
      </c>
      <c r="FL225">
        <f t="shared" si="4602"/>
        <v>96.996639999999999</v>
      </c>
      <c r="FM225">
        <f t="shared" si="4602"/>
        <v>161.43889999999999</v>
      </c>
      <c r="FN225">
        <f t="shared" si="4602"/>
        <v>273.71224000000001</v>
      </c>
      <c r="FO225">
        <f t="shared" si="4602"/>
        <v>79.437280000000001</v>
      </c>
      <c r="FP225">
        <f t="shared" si="4602"/>
        <v>104.10855000000001</v>
      </c>
      <c r="FQ225">
        <f t="shared" si="4602"/>
        <v>97.447039999999987</v>
      </c>
      <c r="FR225">
        <f t="shared" si="4602"/>
        <v>6.4200000000000007E-2</v>
      </c>
      <c r="FS225">
        <f t="shared" si="4602"/>
        <v>6.2799999999999995E-2</v>
      </c>
      <c r="FT225">
        <f t="shared" si="4602"/>
        <v>0.255</v>
      </c>
      <c r="FU225">
        <f t="shared" si="4602"/>
        <v>1.0776000000000001</v>
      </c>
      <c r="FV225">
        <f t="shared" si="4602"/>
        <v>0</v>
      </c>
      <c r="FW225">
        <f t="shared" si="4602"/>
        <v>0.39</v>
      </c>
    </row>
    <row r="228" spans="1:179" x14ac:dyDescent="0.35">
      <c r="A228" s="80" t="s">
        <v>470</v>
      </c>
      <c r="B228" s="36" t="s">
        <v>471</v>
      </c>
      <c r="C228">
        <v>65</v>
      </c>
      <c r="D228" s="6">
        <v>107</v>
      </c>
      <c r="E228" s="6">
        <v>451</v>
      </c>
      <c r="F228" s="6">
        <v>18.5</v>
      </c>
      <c r="G228" s="6">
        <v>18.5</v>
      </c>
      <c r="H228" s="6">
        <v>0</v>
      </c>
      <c r="I228" s="6">
        <v>3.7</v>
      </c>
      <c r="J228" s="6">
        <v>3.7</v>
      </c>
      <c r="K228" s="6">
        <v>0</v>
      </c>
      <c r="L228" s="6">
        <v>88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77</v>
      </c>
      <c r="S228" s="6">
        <v>1</v>
      </c>
      <c r="T228" s="6">
        <v>13</v>
      </c>
      <c r="U228" s="6">
        <v>86</v>
      </c>
      <c r="V228" s="6">
        <v>355</v>
      </c>
      <c r="W228" s="6">
        <v>110</v>
      </c>
      <c r="X228" s="6">
        <v>1.9</v>
      </c>
      <c r="Y228" s="6">
        <v>23</v>
      </c>
      <c r="Z228" s="6">
        <v>0.16</v>
      </c>
      <c r="AA228" s="6">
        <v>10</v>
      </c>
      <c r="AB228" s="6">
        <v>110</v>
      </c>
      <c r="AC228" s="6">
        <v>6</v>
      </c>
      <c r="AD228" s="6">
        <v>0.01</v>
      </c>
      <c r="AE228" s="6">
        <v>140</v>
      </c>
      <c r="AF228" s="6">
        <v>0.14000000000000001</v>
      </c>
      <c r="AG228" s="6">
        <v>0.22</v>
      </c>
      <c r="AH228" s="6">
        <v>0</v>
      </c>
      <c r="AI228" s="6">
        <v>5.6</v>
      </c>
      <c r="AJ228" s="6">
        <v>0.28000000000000003</v>
      </c>
      <c r="AK228" s="6">
        <v>9</v>
      </c>
      <c r="AL228" s="6">
        <v>1.0900000000000001</v>
      </c>
      <c r="AM228" s="6">
        <v>3</v>
      </c>
      <c r="AN228" s="6">
        <v>1</v>
      </c>
      <c r="AO228" s="51">
        <v>0.5</v>
      </c>
      <c r="AP228" s="51">
        <v>0.5</v>
      </c>
      <c r="AQ228" s="6">
        <v>0</v>
      </c>
      <c r="AR228" s="6">
        <v>0.17</v>
      </c>
      <c r="AS228" s="6">
        <v>0.1</v>
      </c>
      <c r="AT228" s="84">
        <v>2.8</v>
      </c>
      <c r="AU228" s="6">
        <v>1.08</v>
      </c>
      <c r="AV228" s="6">
        <v>0</v>
      </c>
      <c r="AW228" s="6">
        <v>0</v>
      </c>
      <c r="AX228" s="6">
        <v>7.0000000000000007E-2</v>
      </c>
      <c r="AY228" s="6">
        <v>0.57999999999999996</v>
      </c>
      <c r="AZ228" s="6">
        <v>0.43</v>
      </c>
      <c r="BA228" s="6">
        <v>0</v>
      </c>
      <c r="BB228" s="6">
        <v>0</v>
      </c>
      <c r="BC228" s="6">
        <v>1.06</v>
      </c>
      <c r="BD228" s="6">
        <v>0.04</v>
      </c>
      <c r="BE228" s="6">
        <v>0.18</v>
      </c>
      <c r="BF228" s="6">
        <v>0.83</v>
      </c>
      <c r="BG228" s="6">
        <v>0.01</v>
      </c>
      <c r="BH228" s="6">
        <v>0</v>
      </c>
      <c r="BI228" s="6">
        <v>0.98</v>
      </c>
      <c r="BJ228" s="6">
        <v>0.53</v>
      </c>
      <c r="BK228" s="6">
        <v>0.03</v>
      </c>
      <c r="BL228" s="6">
        <v>0.21</v>
      </c>
      <c r="BM228" s="6">
        <v>0.02</v>
      </c>
      <c r="BN228" s="6">
        <v>0.05</v>
      </c>
      <c r="BO228" s="6">
        <v>0.14000000000000001</v>
      </c>
      <c r="BP228" s="7">
        <v>204</v>
      </c>
      <c r="BQ228" s="7">
        <v>892</v>
      </c>
      <c r="BR228" s="7">
        <v>953</v>
      </c>
      <c r="BS228" s="7">
        <v>1526</v>
      </c>
      <c r="BT228" s="7">
        <v>1658</v>
      </c>
      <c r="BU228" s="7">
        <v>581</v>
      </c>
      <c r="BV228" s="7">
        <v>233</v>
      </c>
      <c r="BW228" s="7">
        <v>759</v>
      </c>
      <c r="BX228" s="7">
        <v>638</v>
      </c>
      <c r="BY228" s="7">
        <v>988</v>
      </c>
      <c r="BZ228" s="7">
        <v>1212</v>
      </c>
      <c r="CA228" s="7">
        <v>542</v>
      </c>
      <c r="CB228" s="7">
        <v>1141</v>
      </c>
      <c r="CC228" s="7">
        <v>1778</v>
      </c>
      <c r="CD228" s="7">
        <v>2738</v>
      </c>
      <c r="CE228" s="7">
        <v>960</v>
      </c>
      <c r="CF228" s="7">
        <v>786</v>
      </c>
      <c r="CG228" s="7">
        <v>838</v>
      </c>
      <c r="CH228" s="6">
        <v>0</v>
      </c>
      <c r="CI228" s="6">
        <v>0</v>
      </c>
      <c r="CJ228" s="6">
        <v>0</v>
      </c>
      <c r="CK228" s="6">
        <v>0</v>
      </c>
      <c r="CL228" s="6">
        <v>0</v>
      </c>
      <c r="CM228" s="6">
        <v>0</v>
      </c>
      <c r="CN228">
        <f t="shared" ref="CN228:CN235" si="4603">($C228*D228)/100</f>
        <v>69.55</v>
      </c>
      <c r="CO228">
        <f t="shared" ref="CO228:CO235" si="4604">($C228*E228)/100</f>
        <v>293.14999999999998</v>
      </c>
      <c r="CP228">
        <f t="shared" ref="CP228:CP235" si="4605">($C228*F228)/100</f>
        <v>12.025</v>
      </c>
      <c r="CQ228">
        <f t="shared" ref="CQ228:CQ235" si="4606">($C228*G228)/100</f>
        <v>12.025</v>
      </c>
      <c r="CR228">
        <f t="shared" ref="CR228:CR235" si="4607">($C228*H228)/100</f>
        <v>0</v>
      </c>
      <c r="CS228">
        <f t="shared" ref="CS228:CS235" si="4608">($C228*I228)/100</f>
        <v>2.4049999999999998</v>
      </c>
      <c r="CT228">
        <f t="shared" ref="CT228:CT235" si="4609">($C228*J228)/100</f>
        <v>2.4049999999999998</v>
      </c>
      <c r="CU228">
        <f t="shared" ref="CU228:CU235" si="4610">($C228*K228)/100</f>
        <v>0</v>
      </c>
      <c r="CV228">
        <f t="shared" ref="CV228:CV235" si="4611">($C228*L228)/100</f>
        <v>57.2</v>
      </c>
      <c r="CW228">
        <f t="shared" ref="CW228:CW235" si="4612">($C228*M228)/100</f>
        <v>0</v>
      </c>
      <c r="CX228">
        <f t="shared" ref="CX228:CX235" si="4613">($C228*N228)/100</f>
        <v>0</v>
      </c>
      <c r="CY228">
        <f t="shared" ref="CY228:CY235" si="4614">($C228*O228)/100</f>
        <v>0</v>
      </c>
      <c r="CZ228">
        <f t="shared" ref="CZ228:CZ235" si="4615">($C228*P228)/100</f>
        <v>0</v>
      </c>
      <c r="DA228">
        <f t="shared" ref="DA228:DA235" si="4616">($C228*Q228)/100</f>
        <v>0</v>
      </c>
      <c r="DB228">
        <f t="shared" ref="DB228:DB235" si="4617">($C228*R228)/100</f>
        <v>50.05</v>
      </c>
      <c r="DC228">
        <f t="shared" ref="DC228:DC235" si="4618">($C228*S228)/100</f>
        <v>0.65</v>
      </c>
      <c r="DD228">
        <f t="shared" ref="DD228:DD235" si="4619">($C228*T228)/100</f>
        <v>8.4499999999999993</v>
      </c>
      <c r="DE228">
        <f t="shared" ref="DE228:DE235" si="4620">($C228*U228)/100</f>
        <v>55.9</v>
      </c>
      <c r="DF228">
        <f t="shared" ref="DF228:DF235" si="4621">($C228*V228)/100</f>
        <v>230.75</v>
      </c>
      <c r="DG228">
        <f t="shared" ref="DG228:DG235" si="4622">($C228*W228)/100</f>
        <v>71.5</v>
      </c>
      <c r="DH228">
        <f t="shared" ref="DH228:DH235" si="4623">($C228*X228)/100</f>
        <v>1.2350000000000001</v>
      </c>
      <c r="DI228">
        <f t="shared" ref="DI228:DI235" si="4624">($C228*Y228)/100</f>
        <v>14.95</v>
      </c>
      <c r="DJ228">
        <f t="shared" ref="DJ228:DJ235" si="4625">($C228*Z228)/100</f>
        <v>0.10400000000000001</v>
      </c>
      <c r="DK228">
        <f t="shared" ref="DK228:DK235" si="4626">($C228*AA228)/100</f>
        <v>6.5</v>
      </c>
      <c r="DL228">
        <f t="shared" ref="DL228:DL235" si="4627">($C228*AB228)/100</f>
        <v>71.5</v>
      </c>
      <c r="DM228">
        <f t="shared" ref="DM228:DM235" si="4628">($C228*AC228)/100</f>
        <v>3.9</v>
      </c>
      <c r="DN228">
        <f t="shared" ref="DN228:DN235" si="4629">($C228*AD228)/100</f>
        <v>6.5000000000000006E-3</v>
      </c>
      <c r="DO228">
        <f t="shared" ref="DO228:DO235" si="4630">($C228*AE228)/100</f>
        <v>91</v>
      </c>
      <c r="DP228">
        <f t="shared" ref="DP228:DP235" si="4631">($C228*AF228)/100</f>
        <v>9.1000000000000011E-2</v>
      </c>
      <c r="DQ228">
        <f t="shared" ref="DQ228:DQ235" si="4632">($C228*AG228)/100</f>
        <v>0.14300000000000002</v>
      </c>
      <c r="DR228">
        <f t="shared" ref="DR228:DR235" si="4633">($C228*AH228)/100</f>
        <v>0</v>
      </c>
      <c r="DS228">
        <f t="shared" ref="DS228:DS235" si="4634">($C228*AI228)/100</f>
        <v>3.64</v>
      </c>
      <c r="DT228">
        <f t="shared" ref="DT228:DT235" si="4635">($C228*AJ228)/100</f>
        <v>0.18200000000000002</v>
      </c>
      <c r="DU228">
        <f t="shared" ref="DU228:DU235" si="4636">($C228*AK228)/100</f>
        <v>5.85</v>
      </c>
      <c r="DV228">
        <f t="shared" ref="DV228:DV235" si="4637">($C228*AL228)/100</f>
        <v>0.70850000000000013</v>
      </c>
      <c r="DW228">
        <f t="shared" ref="DW228:DW235" si="4638">($C228*AM228)/100</f>
        <v>1.95</v>
      </c>
      <c r="DX228">
        <f t="shared" ref="DX228:DX235" si="4639">($C228*AN228)/100</f>
        <v>0.65</v>
      </c>
      <c r="DY228">
        <f t="shared" ref="DY228:DY235" si="4640">($C228*AO228)/100</f>
        <v>0.32500000000000001</v>
      </c>
      <c r="DZ228">
        <f t="shared" ref="DZ228:DZ235" si="4641">($C228*AP228)/100</f>
        <v>0.32500000000000001</v>
      </c>
      <c r="EA228">
        <f t="shared" ref="EA228:EA235" si="4642">($C228*AQ228)/100</f>
        <v>0</v>
      </c>
      <c r="EB228">
        <f t="shared" ref="EB228:EB235" si="4643">($C228*AR228)/100</f>
        <v>0.1105</v>
      </c>
      <c r="EC228">
        <f t="shared" ref="EC228:EC235" si="4644">($C228*AS228)/100</f>
        <v>6.5000000000000002E-2</v>
      </c>
      <c r="ED228">
        <f t="shared" ref="ED228:ED235" si="4645">($C228*AT228)/100</f>
        <v>1.82</v>
      </c>
      <c r="EE228">
        <f t="shared" ref="EE228:EE235" si="4646">($C228*AU228)/100</f>
        <v>0.70200000000000007</v>
      </c>
      <c r="EF228">
        <f t="shared" ref="EF228:EF235" si="4647">($C228*AV228)/100</f>
        <v>0</v>
      </c>
      <c r="EG228">
        <f t="shared" ref="EG228:EG235" si="4648">($C228*AW228)/100</f>
        <v>0</v>
      </c>
      <c r="EH228">
        <f t="shared" ref="EH228:EH235" si="4649">($C228*AX228)/100</f>
        <v>4.5500000000000006E-2</v>
      </c>
      <c r="EI228">
        <f t="shared" ref="EI228:EI235" si="4650">($C228*AY228)/100</f>
        <v>0.37699999999999995</v>
      </c>
      <c r="EJ228">
        <f t="shared" ref="EJ228:EJ235" si="4651">($C228*AZ228)/100</f>
        <v>0.27949999999999997</v>
      </c>
      <c r="EK228">
        <f t="shared" ref="EK228:EK235" si="4652">($C228*BA228)/100</f>
        <v>0</v>
      </c>
      <c r="EL228">
        <f t="shared" ref="EL228:EL235" si="4653">($C228*BB228)/100</f>
        <v>0</v>
      </c>
      <c r="EM228">
        <f t="shared" ref="EM228:EM235" si="4654">($C228*BC228)/100</f>
        <v>0.68900000000000006</v>
      </c>
      <c r="EN228">
        <f t="shared" ref="EN228:EN235" si="4655">($C228*BD228)/100</f>
        <v>2.6000000000000002E-2</v>
      </c>
      <c r="EO228">
        <f t="shared" ref="EO228:EO235" si="4656">($C228*BE228)/100</f>
        <v>0.11699999999999999</v>
      </c>
      <c r="EP228">
        <f t="shared" ref="EP228:EP235" si="4657">($C228*BF228)/100</f>
        <v>0.53949999999999998</v>
      </c>
      <c r="EQ228">
        <f t="shared" ref="EQ228:EQ235" si="4658">($C228*BG228)/100</f>
        <v>6.5000000000000006E-3</v>
      </c>
      <c r="ER228">
        <f t="shared" ref="ER228:ER235" si="4659">($C228*BH228)/100</f>
        <v>0</v>
      </c>
      <c r="ES228">
        <f t="shared" ref="ES228:ES235" si="4660">($C228*BI228)/100</f>
        <v>0.63700000000000001</v>
      </c>
      <c r="ET228">
        <f t="shared" ref="ET228:ET235" si="4661">($C228*BJ228)/100</f>
        <v>0.34450000000000003</v>
      </c>
      <c r="EU228">
        <f t="shared" ref="EU228:EU235" si="4662">($C228*BK228)/100</f>
        <v>1.95E-2</v>
      </c>
      <c r="EV228">
        <f t="shared" ref="EV228:EV235" si="4663">($C228*BL228)/100</f>
        <v>0.13650000000000001</v>
      </c>
      <c r="EW228">
        <f t="shared" ref="EW228:EW235" si="4664">($C228*BM228)/100</f>
        <v>1.3000000000000001E-2</v>
      </c>
      <c r="EX228">
        <f t="shared" ref="EX228:EX235" si="4665">($C228*BN228)/100</f>
        <v>3.2500000000000001E-2</v>
      </c>
      <c r="EY228">
        <f t="shared" ref="EY228:EY235" si="4666">($C228*BO228)/100</f>
        <v>9.1000000000000011E-2</v>
      </c>
      <c r="EZ228">
        <f t="shared" ref="EZ228:EZ235" si="4667">($C228*BP228)/100</f>
        <v>132.6</v>
      </c>
      <c r="FA228">
        <f t="shared" ref="FA228:FA235" si="4668">($C228*BQ228)/100</f>
        <v>579.79999999999995</v>
      </c>
      <c r="FB228">
        <f t="shared" ref="FB228:FB235" si="4669">($C228*BR228)/100</f>
        <v>619.45000000000005</v>
      </c>
      <c r="FC228">
        <f t="shared" ref="FC228:FC235" si="4670">($C228*BS228)/100</f>
        <v>991.9</v>
      </c>
      <c r="FD228">
        <f t="shared" ref="FD228:FD235" si="4671">($C228*BT228)/100</f>
        <v>1077.7</v>
      </c>
      <c r="FE228">
        <f t="shared" ref="FE228:FE235" si="4672">($C228*BU228)/100</f>
        <v>377.65</v>
      </c>
      <c r="FF228">
        <f t="shared" ref="FF228:FF235" si="4673">($C228*BV228)/100</f>
        <v>151.44999999999999</v>
      </c>
      <c r="FG228">
        <f t="shared" ref="FG228:FG235" si="4674">($C228*BW228)/100</f>
        <v>493.35</v>
      </c>
      <c r="FH228">
        <f t="shared" ref="FH228:FH235" si="4675">($C228*BX228)/100</f>
        <v>414.7</v>
      </c>
      <c r="FI228">
        <f t="shared" ref="FI228:FI235" si="4676">($C228*BY228)/100</f>
        <v>642.20000000000005</v>
      </c>
      <c r="FJ228">
        <f t="shared" ref="FJ228:FJ235" si="4677">($C228*BZ228)/100</f>
        <v>787.8</v>
      </c>
      <c r="FK228">
        <f t="shared" ref="FK228:FK235" si="4678">($C228*CA228)/100</f>
        <v>352.3</v>
      </c>
      <c r="FL228">
        <f t="shared" ref="FL228:FL235" si="4679">($C228*CB228)/100</f>
        <v>741.65</v>
      </c>
      <c r="FM228">
        <f t="shared" ref="FM228:FM235" si="4680">($C228*CC228)/100</f>
        <v>1155.7</v>
      </c>
      <c r="FN228">
        <f t="shared" ref="FN228:FN235" si="4681">($C228*CD228)/100</f>
        <v>1779.7</v>
      </c>
      <c r="FO228">
        <f t="shared" ref="FO228:FO235" si="4682">($C228*CE228)/100</f>
        <v>624</v>
      </c>
      <c r="FP228">
        <f t="shared" ref="FP228:FP235" si="4683">($C228*CF228)/100</f>
        <v>510.9</v>
      </c>
      <c r="FQ228">
        <f t="shared" ref="FQ228:FQ235" si="4684">($C228*CG228)/100</f>
        <v>544.70000000000005</v>
      </c>
      <c r="FR228">
        <f t="shared" ref="FR228:FR235" si="4685">($C228*CH228)/100</f>
        <v>0</v>
      </c>
      <c r="FS228">
        <f t="shared" ref="FS228:FS235" si="4686">($C228*CI228)/100</f>
        <v>0</v>
      </c>
      <c r="FT228">
        <f t="shared" ref="FT228:FT235" si="4687">($C228*CJ228)/100</f>
        <v>0</v>
      </c>
      <c r="FU228">
        <f t="shared" ref="FU228:FU235" si="4688">($C228*CK228)/100</f>
        <v>0</v>
      </c>
      <c r="FV228">
        <f t="shared" ref="FV228:FV235" si="4689">($C228*CL228)/100</f>
        <v>0</v>
      </c>
      <c r="FW228">
        <f t="shared" ref="FW228:FW235" si="4690">($C228*CM228)/100</f>
        <v>0</v>
      </c>
    </row>
    <row r="229" spans="1:179" x14ac:dyDescent="0.35">
      <c r="B229" s="73" t="s">
        <v>401</v>
      </c>
      <c r="C229">
        <v>2</v>
      </c>
      <c r="D229" s="48">
        <v>325</v>
      </c>
      <c r="E229" s="48">
        <v>1360</v>
      </c>
      <c r="F229" s="48">
        <v>14.3</v>
      </c>
      <c r="G229" s="49">
        <v>0</v>
      </c>
      <c r="H229" s="49">
        <v>14.3</v>
      </c>
      <c r="I229" s="48">
        <v>14</v>
      </c>
      <c r="J229" s="49">
        <v>0</v>
      </c>
      <c r="K229" s="49">
        <v>14</v>
      </c>
      <c r="L229" s="48">
        <v>0</v>
      </c>
      <c r="M229" s="48">
        <v>55.8</v>
      </c>
      <c r="N229" s="43">
        <v>53.04</v>
      </c>
      <c r="O229" s="48">
        <v>2.76</v>
      </c>
      <c r="P229" s="48">
        <v>53.2</v>
      </c>
      <c r="Q229" s="48">
        <v>0</v>
      </c>
      <c r="R229" s="48">
        <v>8.8000000000000007</v>
      </c>
      <c r="S229" s="48">
        <v>19.100000000000001</v>
      </c>
      <c r="T229" s="48">
        <v>525</v>
      </c>
      <c r="U229" s="48">
        <v>52</v>
      </c>
      <c r="V229" s="48">
        <v>1170</v>
      </c>
      <c r="W229" s="48">
        <v>367</v>
      </c>
      <c r="X229" s="48">
        <v>4.7</v>
      </c>
      <c r="Y229" s="48">
        <v>255</v>
      </c>
      <c r="Z229" s="48">
        <v>1.2</v>
      </c>
      <c r="AA229" s="48">
        <v>40.299999999999997</v>
      </c>
      <c r="AB229" s="42">
        <v>470</v>
      </c>
      <c r="AC229" s="42">
        <v>6.8</v>
      </c>
      <c r="AD229" s="48">
        <v>8.3000000000000007</v>
      </c>
      <c r="AE229" s="42">
        <v>86</v>
      </c>
      <c r="AF229" s="48">
        <v>0.17599999999999999</v>
      </c>
      <c r="AG229" s="48">
        <v>0.2</v>
      </c>
      <c r="AH229" s="48">
        <v>0.7</v>
      </c>
      <c r="AI229" s="48">
        <v>3.26</v>
      </c>
      <c r="AJ229" s="48">
        <v>0.105</v>
      </c>
      <c r="AK229" s="48">
        <v>56</v>
      </c>
      <c r="AL229" s="48">
        <v>1.07</v>
      </c>
      <c r="AM229" s="42">
        <v>0</v>
      </c>
      <c r="AN229" s="48">
        <v>0</v>
      </c>
      <c r="AO229" s="48">
        <v>1.8333333333333333</v>
      </c>
      <c r="AP229" s="48">
        <v>0</v>
      </c>
      <c r="AQ229" s="48">
        <v>11</v>
      </c>
      <c r="AR229" s="48">
        <v>25.314999999999998</v>
      </c>
      <c r="AS229" s="48">
        <v>0</v>
      </c>
      <c r="AT229" s="48">
        <v>99.8</v>
      </c>
      <c r="AU229" s="48">
        <v>1.65</v>
      </c>
      <c r="AV229" s="44">
        <v>7.5999999999999998E-2</v>
      </c>
      <c r="AW229" s="48">
        <v>0</v>
      </c>
      <c r="AX229" s="48">
        <v>0.63700000000000001</v>
      </c>
      <c r="AY229" s="48">
        <v>0.68100000000000005</v>
      </c>
      <c r="AZ229" s="48">
        <v>0.17399999999999999</v>
      </c>
      <c r="BA229" s="48">
        <v>0</v>
      </c>
      <c r="BB229" s="48">
        <v>0</v>
      </c>
      <c r="BC229" s="48">
        <v>8.7799999999999994</v>
      </c>
      <c r="BD229" s="48">
        <v>0</v>
      </c>
      <c r="BE229" s="48">
        <v>1.2999999999999999E-2</v>
      </c>
      <c r="BF229" s="48">
        <v>8.74</v>
      </c>
      <c r="BG229" s="48">
        <v>1.2999999999999999E-2</v>
      </c>
      <c r="BH229" s="48">
        <v>1.4E-2</v>
      </c>
      <c r="BI229" s="48">
        <v>3.06</v>
      </c>
      <c r="BJ229" s="43">
        <v>0</v>
      </c>
      <c r="BK229" s="48">
        <v>0.255</v>
      </c>
      <c r="BL229" s="48">
        <v>0</v>
      </c>
      <c r="BM229" s="48">
        <v>0</v>
      </c>
      <c r="BN229" s="48">
        <v>0</v>
      </c>
      <c r="BO229" s="44">
        <v>3.0709999999999997</v>
      </c>
      <c r="BP229" s="48">
        <v>0.11</v>
      </c>
      <c r="BQ229" s="48">
        <v>0.35</v>
      </c>
      <c r="BR229" s="48">
        <v>0.63</v>
      </c>
      <c r="BS229" s="48">
        <v>0.89</v>
      </c>
      <c r="BT229" s="48">
        <v>0.7</v>
      </c>
      <c r="BU229" s="48">
        <v>0.19</v>
      </c>
      <c r="BV229" s="48">
        <v>0.2</v>
      </c>
      <c r="BW229" s="48">
        <v>0.57999999999999996</v>
      </c>
      <c r="BX229" s="48">
        <v>0.4</v>
      </c>
      <c r="BY229" s="48">
        <v>0.75</v>
      </c>
      <c r="BZ229" s="48">
        <v>0.89</v>
      </c>
      <c r="CA229" s="48">
        <v>0.28999999999999998</v>
      </c>
      <c r="CB229" s="48">
        <v>0.55000000000000004</v>
      </c>
      <c r="CC229" s="48">
        <v>1.79</v>
      </c>
      <c r="CD229" s="48">
        <v>2.27</v>
      </c>
      <c r="CE229" s="48">
        <v>0.79</v>
      </c>
      <c r="CF229" s="48">
        <v>1.24</v>
      </c>
      <c r="CG229" s="48">
        <v>0.39</v>
      </c>
      <c r="CH229" s="48">
        <v>1.1399999999999999</v>
      </c>
      <c r="CI229" s="48">
        <v>0.79</v>
      </c>
      <c r="CJ229" s="48">
        <v>0.21</v>
      </c>
      <c r="CK229" s="48">
        <v>0.62</v>
      </c>
      <c r="CL229" s="48">
        <v>0</v>
      </c>
      <c r="CM229" s="48">
        <v>0</v>
      </c>
      <c r="CN229">
        <f t="shared" si="4603"/>
        <v>6.5</v>
      </c>
      <c r="CO229">
        <f t="shared" si="4604"/>
        <v>27.2</v>
      </c>
      <c r="CP229">
        <f t="shared" si="4605"/>
        <v>0.28600000000000003</v>
      </c>
      <c r="CQ229">
        <f t="shared" si="4606"/>
        <v>0</v>
      </c>
      <c r="CR229">
        <f t="shared" si="4607"/>
        <v>0.28600000000000003</v>
      </c>
      <c r="CS229">
        <f t="shared" si="4608"/>
        <v>0.28000000000000003</v>
      </c>
      <c r="CT229">
        <f t="shared" si="4609"/>
        <v>0</v>
      </c>
      <c r="CU229">
        <f t="shared" si="4610"/>
        <v>0.28000000000000003</v>
      </c>
      <c r="CV229">
        <f t="shared" si="4611"/>
        <v>0</v>
      </c>
      <c r="CW229">
        <f t="shared" si="4612"/>
        <v>1.1159999999999999</v>
      </c>
      <c r="CX229">
        <f t="shared" si="4613"/>
        <v>1.0608</v>
      </c>
      <c r="CY229">
        <f t="shared" si="4614"/>
        <v>5.5199999999999999E-2</v>
      </c>
      <c r="CZ229">
        <f t="shared" si="4615"/>
        <v>1.0640000000000001</v>
      </c>
      <c r="DA229">
        <f t="shared" si="4616"/>
        <v>0</v>
      </c>
      <c r="DB229">
        <f t="shared" si="4617"/>
        <v>0.17600000000000002</v>
      </c>
      <c r="DC229">
        <f t="shared" si="4618"/>
        <v>0.38200000000000001</v>
      </c>
      <c r="DD229">
        <f t="shared" si="4619"/>
        <v>10.5</v>
      </c>
      <c r="DE229">
        <f t="shared" si="4620"/>
        <v>1.04</v>
      </c>
      <c r="DF229">
        <f t="shared" si="4621"/>
        <v>23.4</v>
      </c>
      <c r="DG229">
        <f t="shared" si="4622"/>
        <v>7.34</v>
      </c>
      <c r="DH229">
        <f t="shared" si="4623"/>
        <v>9.4E-2</v>
      </c>
      <c r="DI229">
        <f t="shared" si="4624"/>
        <v>5.0999999999999996</v>
      </c>
      <c r="DJ229">
        <f t="shared" si="4625"/>
        <v>2.4E-2</v>
      </c>
      <c r="DK229">
        <f t="shared" si="4626"/>
        <v>0.80599999999999994</v>
      </c>
      <c r="DL229">
        <f t="shared" si="4627"/>
        <v>9.4</v>
      </c>
      <c r="DM229">
        <f t="shared" si="4628"/>
        <v>0.13600000000000001</v>
      </c>
      <c r="DN229">
        <f t="shared" si="4629"/>
        <v>0.16600000000000001</v>
      </c>
      <c r="DO229">
        <f t="shared" si="4630"/>
        <v>1.72</v>
      </c>
      <c r="DP229">
        <f t="shared" si="4631"/>
        <v>3.5199999999999997E-3</v>
      </c>
      <c r="DQ229">
        <f t="shared" si="4632"/>
        <v>4.0000000000000001E-3</v>
      </c>
      <c r="DR229">
        <f t="shared" si="4633"/>
        <v>1.3999999999999999E-2</v>
      </c>
      <c r="DS229">
        <f t="shared" si="4634"/>
        <v>6.5199999999999994E-2</v>
      </c>
      <c r="DT229">
        <f t="shared" si="4635"/>
        <v>2.0999999999999999E-3</v>
      </c>
      <c r="DU229">
        <f t="shared" si="4636"/>
        <v>1.1200000000000001</v>
      </c>
      <c r="DV229">
        <f t="shared" si="4637"/>
        <v>2.1400000000000002E-2</v>
      </c>
      <c r="DW229">
        <f t="shared" si="4638"/>
        <v>0</v>
      </c>
      <c r="DX229">
        <f t="shared" si="4639"/>
        <v>0</v>
      </c>
      <c r="DY229">
        <f t="shared" si="4640"/>
        <v>3.6666666666666667E-2</v>
      </c>
      <c r="DZ229">
        <f t="shared" si="4641"/>
        <v>0</v>
      </c>
      <c r="EA229">
        <f t="shared" si="4642"/>
        <v>0.22</v>
      </c>
      <c r="EB229">
        <f t="shared" si="4643"/>
        <v>0.50629999999999997</v>
      </c>
      <c r="EC229">
        <f t="shared" si="4644"/>
        <v>0</v>
      </c>
      <c r="ED229">
        <f t="shared" si="4645"/>
        <v>1.996</v>
      </c>
      <c r="EE229">
        <f t="shared" si="4646"/>
        <v>3.3000000000000002E-2</v>
      </c>
      <c r="EF229">
        <f t="shared" si="4647"/>
        <v>1.5199999999999999E-3</v>
      </c>
      <c r="EG229">
        <f t="shared" si="4648"/>
        <v>0</v>
      </c>
      <c r="EH229">
        <f t="shared" si="4649"/>
        <v>1.274E-2</v>
      </c>
      <c r="EI229">
        <f t="shared" si="4650"/>
        <v>1.362E-2</v>
      </c>
      <c r="EJ229">
        <f t="shared" si="4651"/>
        <v>3.4799999999999996E-3</v>
      </c>
      <c r="EK229">
        <f t="shared" si="4652"/>
        <v>0</v>
      </c>
      <c r="EL229">
        <f t="shared" si="4653"/>
        <v>0</v>
      </c>
      <c r="EM229">
        <f t="shared" si="4654"/>
        <v>0.17559999999999998</v>
      </c>
      <c r="EN229">
        <f t="shared" si="4655"/>
        <v>0</v>
      </c>
      <c r="EO229">
        <f t="shared" si="4656"/>
        <v>2.5999999999999998E-4</v>
      </c>
      <c r="EP229">
        <f t="shared" si="4657"/>
        <v>0.17480000000000001</v>
      </c>
      <c r="EQ229">
        <f t="shared" si="4658"/>
        <v>2.5999999999999998E-4</v>
      </c>
      <c r="ER229">
        <f t="shared" si="4659"/>
        <v>2.8000000000000003E-4</v>
      </c>
      <c r="ES229">
        <f t="shared" si="4660"/>
        <v>6.1200000000000004E-2</v>
      </c>
      <c r="ET229">
        <f t="shared" si="4661"/>
        <v>0</v>
      </c>
      <c r="EU229">
        <f t="shared" si="4662"/>
        <v>5.1000000000000004E-3</v>
      </c>
      <c r="EV229">
        <f t="shared" si="4663"/>
        <v>0</v>
      </c>
      <c r="EW229">
        <f t="shared" si="4664"/>
        <v>0</v>
      </c>
      <c r="EX229">
        <f t="shared" si="4665"/>
        <v>0</v>
      </c>
      <c r="EY229">
        <f t="shared" si="4666"/>
        <v>6.1419999999999995E-2</v>
      </c>
      <c r="EZ229">
        <f t="shared" si="4667"/>
        <v>2.2000000000000001E-3</v>
      </c>
      <c r="FA229">
        <f t="shared" si="4668"/>
        <v>6.9999999999999993E-3</v>
      </c>
      <c r="FB229">
        <f t="shared" si="4669"/>
        <v>1.26E-2</v>
      </c>
      <c r="FC229">
        <f t="shared" si="4670"/>
        <v>1.78E-2</v>
      </c>
      <c r="FD229">
        <f t="shared" si="4671"/>
        <v>1.3999999999999999E-2</v>
      </c>
      <c r="FE229">
        <f t="shared" si="4672"/>
        <v>3.8E-3</v>
      </c>
      <c r="FF229">
        <f t="shared" si="4673"/>
        <v>4.0000000000000001E-3</v>
      </c>
      <c r="FG229">
        <f t="shared" si="4674"/>
        <v>1.1599999999999999E-2</v>
      </c>
      <c r="FH229">
        <f t="shared" si="4675"/>
        <v>8.0000000000000002E-3</v>
      </c>
      <c r="FI229">
        <f t="shared" si="4676"/>
        <v>1.4999999999999999E-2</v>
      </c>
      <c r="FJ229">
        <f t="shared" si="4677"/>
        <v>1.78E-2</v>
      </c>
      <c r="FK229">
        <f t="shared" si="4678"/>
        <v>5.7999999999999996E-3</v>
      </c>
      <c r="FL229">
        <f t="shared" si="4679"/>
        <v>1.1000000000000001E-2</v>
      </c>
      <c r="FM229">
        <f t="shared" si="4680"/>
        <v>3.5799999999999998E-2</v>
      </c>
      <c r="FN229">
        <f t="shared" si="4681"/>
        <v>4.5400000000000003E-2</v>
      </c>
      <c r="FO229">
        <f t="shared" si="4682"/>
        <v>1.5800000000000002E-2</v>
      </c>
      <c r="FP229">
        <f t="shared" si="4683"/>
        <v>2.4799999999999999E-2</v>
      </c>
      <c r="FQ229">
        <f t="shared" si="4684"/>
        <v>7.8000000000000005E-3</v>
      </c>
      <c r="FR229">
        <f t="shared" si="4685"/>
        <v>2.2799999999999997E-2</v>
      </c>
      <c r="FS229">
        <f t="shared" si="4686"/>
        <v>1.5800000000000002E-2</v>
      </c>
      <c r="FT229">
        <f t="shared" si="4687"/>
        <v>4.1999999999999997E-3</v>
      </c>
      <c r="FU229">
        <f t="shared" si="4688"/>
        <v>1.24E-2</v>
      </c>
      <c r="FV229">
        <f t="shared" si="4689"/>
        <v>0</v>
      </c>
      <c r="FW229">
        <f t="shared" si="4690"/>
        <v>0</v>
      </c>
    </row>
    <row r="230" spans="1:179" x14ac:dyDescent="0.35">
      <c r="B230" s="73" t="s">
        <v>405</v>
      </c>
      <c r="C230">
        <v>2</v>
      </c>
      <c r="D230" s="48">
        <v>23</v>
      </c>
      <c r="E230" s="48">
        <v>95</v>
      </c>
      <c r="F230" s="48">
        <v>2.13</v>
      </c>
      <c r="G230" s="49">
        <v>0</v>
      </c>
      <c r="H230" s="49">
        <v>2.13</v>
      </c>
      <c r="I230" s="48">
        <v>0.52</v>
      </c>
      <c r="J230" s="49">
        <v>0</v>
      </c>
      <c r="K230" s="49">
        <v>0.52</v>
      </c>
      <c r="L230" s="48">
        <v>0</v>
      </c>
      <c r="M230" s="48">
        <v>3.67</v>
      </c>
      <c r="N230" s="42">
        <v>0</v>
      </c>
      <c r="O230" s="48">
        <v>0.87</v>
      </c>
      <c r="P230" s="48">
        <v>2.8</v>
      </c>
      <c r="Q230" s="48">
        <v>0</v>
      </c>
      <c r="R230" s="48">
        <v>92.2</v>
      </c>
      <c r="S230" s="48">
        <v>1.77</v>
      </c>
      <c r="T230" s="48">
        <v>67</v>
      </c>
      <c r="U230" s="48">
        <v>46</v>
      </c>
      <c r="V230" s="48">
        <v>521</v>
      </c>
      <c r="W230" s="48">
        <v>48</v>
      </c>
      <c r="X230" s="48">
        <v>0.5</v>
      </c>
      <c r="Y230" s="48">
        <v>26</v>
      </c>
      <c r="Z230" s="48">
        <v>0.22500000000000001</v>
      </c>
      <c r="AA230" s="48">
        <v>0.9</v>
      </c>
      <c r="AB230" s="46">
        <v>0.5</v>
      </c>
      <c r="AC230" s="42">
        <v>6.7</v>
      </c>
      <c r="AD230" s="48">
        <v>0.42599999999999999</v>
      </c>
      <c r="AE230" s="46">
        <v>0.5</v>
      </c>
      <c r="AF230" s="48">
        <v>6.7000000000000004E-2</v>
      </c>
      <c r="AG230" s="48">
        <v>0.16200000000000001</v>
      </c>
      <c r="AH230" s="48">
        <v>27</v>
      </c>
      <c r="AI230" s="48">
        <v>1.1100000000000001</v>
      </c>
      <c r="AJ230" s="48">
        <v>0.14899999999999999</v>
      </c>
      <c r="AK230" s="48">
        <v>62</v>
      </c>
      <c r="AL230" s="48">
        <v>0.56999999999999995</v>
      </c>
      <c r="AM230" s="46">
        <v>0.05</v>
      </c>
      <c r="AN230" s="48">
        <v>0</v>
      </c>
      <c r="AO230" s="48">
        <v>674.83333333333337</v>
      </c>
      <c r="AP230" s="48">
        <v>0</v>
      </c>
      <c r="AQ230" s="48">
        <v>4049</v>
      </c>
      <c r="AR230" s="48">
        <v>2.5</v>
      </c>
      <c r="AS230" s="48">
        <v>0</v>
      </c>
      <c r="AT230" s="48">
        <v>310</v>
      </c>
      <c r="AU230" s="48">
        <v>1.4E-2</v>
      </c>
      <c r="AV230" s="44">
        <v>0</v>
      </c>
      <c r="AW230" s="48">
        <v>0</v>
      </c>
      <c r="AX230" s="48">
        <v>0</v>
      </c>
      <c r="AY230" s="48">
        <v>1.2E-2</v>
      </c>
      <c r="AZ230" s="48">
        <v>1E-3</v>
      </c>
      <c r="BA230" s="42">
        <v>1E-3</v>
      </c>
      <c r="BB230" s="42">
        <v>3.0000000000000001E-3</v>
      </c>
      <c r="BC230" s="48">
        <v>0.27500000000000002</v>
      </c>
      <c r="BD230" s="43">
        <v>0</v>
      </c>
      <c r="BE230" s="48">
        <v>2E-3</v>
      </c>
      <c r="BF230" s="48">
        <v>0.27300000000000002</v>
      </c>
      <c r="BG230" s="48">
        <v>0</v>
      </c>
      <c r="BH230" s="48">
        <v>0</v>
      </c>
      <c r="BI230" s="48">
        <v>0.04</v>
      </c>
      <c r="BJ230" s="43">
        <v>0</v>
      </c>
      <c r="BK230" s="43">
        <v>0</v>
      </c>
      <c r="BL230" s="48">
        <v>0</v>
      </c>
      <c r="BM230" s="48">
        <v>0</v>
      </c>
      <c r="BN230" s="48">
        <v>0</v>
      </c>
      <c r="BO230" s="44">
        <v>0.04</v>
      </c>
      <c r="BP230" s="43">
        <v>6.5500000000000003E-2</v>
      </c>
      <c r="BQ230" s="43">
        <v>0.17399999999999999</v>
      </c>
      <c r="BR230" s="43">
        <v>0.16699999999999998</v>
      </c>
      <c r="BS230" s="43">
        <v>0.38799999999999996</v>
      </c>
      <c r="BT230" s="43">
        <v>0.3795</v>
      </c>
      <c r="BU230" s="43">
        <v>7.3000000000000009E-2</v>
      </c>
      <c r="BV230" s="43">
        <v>6.25E-2</v>
      </c>
      <c r="BW230" s="43">
        <v>0.2525</v>
      </c>
      <c r="BX230" s="43">
        <v>0.16850000000000001</v>
      </c>
      <c r="BY230" s="43">
        <v>0.189</v>
      </c>
      <c r="BZ230" s="43">
        <v>0.36250000000000004</v>
      </c>
      <c r="CA230" s="43">
        <v>0.14100000000000001</v>
      </c>
      <c r="CB230" s="43">
        <v>0.22599999999999998</v>
      </c>
      <c r="CC230" s="43">
        <v>0.73899999999999999</v>
      </c>
      <c r="CD230" s="43">
        <v>1.0309999999999999</v>
      </c>
      <c r="CE230" s="43">
        <v>0.22599999999999998</v>
      </c>
      <c r="CF230" s="43">
        <v>0.34400000000000003</v>
      </c>
      <c r="CG230" s="43">
        <v>0.33600000000000002</v>
      </c>
      <c r="CH230" s="42">
        <v>0.37</v>
      </c>
      <c r="CI230" s="42">
        <v>0.497</v>
      </c>
      <c r="CJ230" s="47">
        <v>0</v>
      </c>
      <c r="CK230" s="42">
        <v>0</v>
      </c>
      <c r="CL230" s="42">
        <v>0</v>
      </c>
      <c r="CM230" s="47">
        <v>0</v>
      </c>
      <c r="CN230">
        <f t="shared" si="4603"/>
        <v>0.46</v>
      </c>
      <c r="CO230">
        <f t="shared" si="4604"/>
        <v>1.9</v>
      </c>
      <c r="CP230">
        <f t="shared" si="4605"/>
        <v>4.2599999999999999E-2</v>
      </c>
      <c r="CQ230">
        <f t="shared" si="4606"/>
        <v>0</v>
      </c>
      <c r="CR230">
        <f t="shared" si="4607"/>
        <v>4.2599999999999999E-2</v>
      </c>
      <c r="CS230">
        <f t="shared" si="4608"/>
        <v>1.04E-2</v>
      </c>
      <c r="CT230">
        <f t="shared" si="4609"/>
        <v>0</v>
      </c>
      <c r="CU230">
        <f t="shared" si="4610"/>
        <v>1.04E-2</v>
      </c>
      <c r="CV230">
        <f t="shared" si="4611"/>
        <v>0</v>
      </c>
      <c r="CW230">
        <f t="shared" si="4612"/>
        <v>7.3399999999999993E-2</v>
      </c>
      <c r="CX230">
        <f t="shared" si="4613"/>
        <v>0</v>
      </c>
      <c r="CY230">
        <f t="shared" si="4614"/>
        <v>1.7399999999999999E-2</v>
      </c>
      <c r="CZ230">
        <f t="shared" si="4615"/>
        <v>5.5999999999999994E-2</v>
      </c>
      <c r="DA230">
        <f t="shared" si="4616"/>
        <v>0</v>
      </c>
      <c r="DB230">
        <f t="shared" si="4617"/>
        <v>1.8440000000000001</v>
      </c>
      <c r="DC230">
        <f t="shared" si="4618"/>
        <v>3.5400000000000001E-2</v>
      </c>
      <c r="DD230">
        <f t="shared" si="4619"/>
        <v>1.34</v>
      </c>
      <c r="DE230">
        <f t="shared" si="4620"/>
        <v>0.92</v>
      </c>
      <c r="DF230">
        <f t="shared" si="4621"/>
        <v>10.42</v>
      </c>
      <c r="DG230">
        <f t="shared" si="4622"/>
        <v>0.96</v>
      </c>
      <c r="DH230">
        <f t="shared" si="4623"/>
        <v>0.01</v>
      </c>
      <c r="DI230">
        <f t="shared" si="4624"/>
        <v>0.52</v>
      </c>
      <c r="DJ230">
        <f t="shared" si="4625"/>
        <v>4.5000000000000005E-3</v>
      </c>
      <c r="DK230">
        <f t="shared" si="4626"/>
        <v>1.8000000000000002E-2</v>
      </c>
      <c r="DL230">
        <f t="shared" si="4627"/>
        <v>0.01</v>
      </c>
      <c r="DM230">
        <f t="shared" si="4628"/>
        <v>0.13400000000000001</v>
      </c>
      <c r="DN230">
        <f t="shared" si="4629"/>
        <v>8.5199999999999998E-3</v>
      </c>
      <c r="DO230">
        <f t="shared" si="4630"/>
        <v>0.01</v>
      </c>
      <c r="DP230">
        <f t="shared" si="4631"/>
        <v>1.34E-3</v>
      </c>
      <c r="DQ230">
        <f t="shared" si="4632"/>
        <v>3.2400000000000003E-3</v>
      </c>
      <c r="DR230">
        <f t="shared" si="4633"/>
        <v>0.54</v>
      </c>
      <c r="DS230">
        <f t="shared" si="4634"/>
        <v>2.2200000000000001E-2</v>
      </c>
      <c r="DT230">
        <f t="shared" si="4635"/>
        <v>2.98E-3</v>
      </c>
      <c r="DU230">
        <f t="shared" si="4636"/>
        <v>1.24</v>
      </c>
      <c r="DV230">
        <f t="shared" si="4637"/>
        <v>1.1399999999999999E-2</v>
      </c>
      <c r="DW230">
        <f t="shared" si="4638"/>
        <v>1E-3</v>
      </c>
      <c r="DX230">
        <f t="shared" si="4639"/>
        <v>0</v>
      </c>
      <c r="DY230">
        <f t="shared" si="4640"/>
        <v>13.496666666666668</v>
      </c>
      <c r="DZ230">
        <f t="shared" si="4641"/>
        <v>0</v>
      </c>
      <c r="EA230">
        <f t="shared" si="4642"/>
        <v>80.98</v>
      </c>
      <c r="EB230">
        <f t="shared" si="4643"/>
        <v>0.05</v>
      </c>
      <c r="EC230">
        <f t="shared" si="4644"/>
        <v>0</v>
      </c>
      <c r="ED230">
        <f t="shared" si="4645"/>
        <v>6.2</v>
      </c>
      <c r="EE230">
        <f t="shared" si="4646"/>
        <v>2.8000000000000003E-4</v>
      </c>
      <c r="EF230">
        <f t="shared" si="4647"/>
        <v>0</v>
      </c>
      <c r="EG230">
        <f t="shared" si="4648"/>
        <v>0</v>
      </c>
      <c r="EH230">
        <f t="shared" si="4649"/>
        <v>0</v>
      </c>
      <c r="EI230">
        <f t="shared" si="4650"/>
        <v>2.4000000000000001E-4</v>
      </c>
      <c r="EJ230">
        <f t="shared" si="4651"/>
        <v>2.0000000000000002E-5</v>
      </c>
      <c r="EK230">
        <f t="shared" si="4652"/>
        <v>2.0000000000000002E-5</v>
      </c>
      <c r="EL230">
        <f t="shared" si="4653"/>
        <v>6.0000000000000002E-5</v>
      </c>
      <c r="EM230">
        <f t="shared" si="4654"/>
        <v>5.5000000000000005E-3</v>
      </c>
      <c r="EN230">
        <f t="shared" si="4655"/>
        <v>0</v>
      </c>
      <c r="EO230">
        <f t="shared" si="4656"/>
        <v>4.0000000000000003E-5</v>
      </c>
      <c r="EP230">
        <f t="shared" si="4657"/>
        <v>5.4600000000000004E-3</v>
      </c>
      <c r="EQ230">
        <f t="shared" si="4658"/>
        <v>0</v>
      </c>
      <c r="ER230">
        <f t="shared" si="4659"/>
        <v>0</v>
      </c>
      <c r="ES230">
        <f t="shared" si="4660"/>
        <v>8.0000000000000004E-4</v>
      </c>
      <c r="ET230">
        <f t="shared" si="4661"/>
        <v>0</v>
      </c>
      <c r="EU230">
        <f t="shared" si="4662"/>
        <v>0</v>
      </c>
      <c r="EV230">
        <f t="shared" si="4663"/>
        <v>0</v>
      </c>
      <c r="EW230">
        <f t="shared" si="4664"/>
        <v>0</v>
      </c>
      <c r="EX230">
        <f t="shared" si="4665"/>
        <v>0</v>
      </c>
      <c r="EY230">
        <f t="shared" si="4666"/>
        <v>8.0000000000000004E-4</v>
      </c>
      <c r="EZ230">
        <f t="shared" si="4667"/>
        <v>1.31E-3</v>
      </c>
      <c r="FA230">
        <f t="shared" si="4668"/>
        <v>3.4799999999999996E-3</v>
      </c>
      <c r="FB230">
        <f t="shared" si="4669"/>
        <v>3.3399999999999997E-3</v>
      </c>
      <c r="FC230">
        <f t="shared" si="4670"/>
        <v>7.7599999999999995E-3</v>
      </c>
      <c r="FD230">
        <f t="shared" si="4671"/>
        <v>7.5900000000000004E-3</v>
      </c>
      <c r="FE230">
        <f t="shared" si="4672"/>
        <v>1.4600000000000001E-3</v>
      </c>
      <c r="FF230">
        <f t="shared" si="4673"/>
        <v>1.25E-3</v>
      </c>
      <c r="FG230">
        <f t="shared" si="4674"/>
        <v>5.0499999999999998E-3</v>
      </c>
      <c r="FH230">
        <f t="shared" si="4675"/>
        <v>3.3700000000000002E-3</v>
      </c>
      <c r="FI230">
        <f t="shared" si="4676"/>
        <v>3.7799999999999999E-3</v>
      </c>
      <c r="FJ230">
        <f t="shared" si="4677"/>
        <v>7.2500000000000012E-3</v>
      </c>
      <c r="FK230">
        <f t="shared" si="4678"/>
        <v>2.8200000000000005E-3</v>
      </c>
      <c r="FL230">
        <f t="shared" si="4679"/>
        <v>4.5199999999999997E-3</v>
      </c>
      <c r="FM230">
        <f t="shared" si="4680"/>
        <v>1.478E-2</v>
      </c>
      <c r="FN230">
        <f t="shared" si="4681"/>
        <v>2.0619999999999999E-2</v>
      </c>
      <c r="FO230">
        <f t="shared" si="4682"/>
        <v>4.5199999999999997E-3</v>
      </c>
      <c r="FP230">
        <f t="shared" si="4683"/>
        <v>6.8800000000000007E-3</v>
      </c>
      <c r="FQ230">
        <f t="shared" si="4684"/>
        <v>6.7200000000000003E-3</v>
      </c>
      <c r="FR230">
        <f t="shared" si="4685"/>
        <v>7.4000000000000003E-3</v>
      </c>
      <c r="FS230">
        <f t="shared" si="4686"/>
        <v>9.9399999999999992E-3</v>
      </c>
      <c r="FT230">
        <f t="shared" si="4687"/>
        <v>0</v>
      </c>
      <c r="FU230">
        <f t="shared" si="4688"/>
        <v>0</v>
      </c>
      <c r="FV230">
        <f t="shared" si="4689"/>
        <v>0</v>
      </c>
      <c r="FW230">
        <f t="shared" si="4690"/>
        <v>0</v>
      </c>
    </row>
    <row r="231" spans="1:179" x14ac:dyDescent="0.35">
      <c r="B231" s="72" t="s">
        <v>253</v>
      </c>
      <c r="C231">
        <v>7</v>
      </c>
      <c r="D231" s="54">
        <v>28</v>
      </c>
      <c r="E231" s="54">
        <v>121</v>
      </c>
      <c r="F231" s="54">
        <v>1</v>
      </c>
      <c r="G231" s="54">
        <v>0</v>
      </c>
      <c r="H231" s="54">
        <v>1</v>
      </c>
      <c r="I231" s="54">
        <v>0.1</v>
      </c>
      <c r="J231" s="54">
        <v>0</v>
      </c>
      <c r="K231" s="54">
        <v>0.1</v>
      </c>
      <c r="L231" s="54">
        <v>0</v>
      </c>
      <c r="M231" s="54">
        <v>5.7</v>
      </c>
      <c r="N231" s="54">
        <v>0</v>
      </c>
      <c r="O231" s="54">
        <v>5.7</v>
      </c>
      <c r="P231" s="54">
        <v>1.1000000000000001</v>
      </c>
      <c r="Q231" s="54">
        <v>0</v>
      </c>
      <c r="R231" s="54">
        <v>92.1</v>
      </c>
      <c r="S231" s="54">
        <v>0.4</v>
      </c>
      <c r="T231" s="54">
        <v>25</v>
      </c>
      <c r="U231" s="54">
        <v>10</v>
      </c>
      <c r="V231" s="54">
        <v>140</v>
      </c>
      <c r="W231" s="54">
        <v>35</v>
      </c>
      <c r="X231" s="54">
        <v>0.3</v>
      </c>
      <c r="Y231" s="81">
        <v>0</v>
      </c>
      <c r="Z231" s="81">
        <v>0</v>
      </c>
      <c r="AA231" s="81">
        <v>0</v>
      </c>
      <c r="AB231" s="81">
        <v>0</v>
      </c>
      <c r="AC231" s="81">
        <v>0</v>
      </c>
      <c r="AD231" s="81">
        <v>0</v>
      </c>
      <c r="AE231" s="81">
        <v>0</v>
      </c>
      <c r="AF231" s="54">
        <v>0.02</v>
      </c>
      <c r="AG231" s="54">
        <v>0.03</v>
      </c>
      <c r="AH231" s="54">
        <v>5</v>
      </c>
      <c r="AI231" s="54">
        <v>0.5</v>
      </c>
      <c r="AJ231" s="54">
        <v>0.14000000000000001</v>
      </c>
      <c r="AK231" s="54">
        <v>12</v>
      </c>
      <c r="AL231" s="81">
        <v>0</v>
      </c>
      <c r="AM231" s="81">
        <v>0</v>
      </c>
      <c r="AN231" s="81">
        <v>0</v>
      </c>
      <c r="AO231" s="54">
        <v>0</v>
      </c>
      <c r="AP231" s="54">
        <v>0</v>
      </c>
      <c r="AQ231" s="54">
        <v>0</v>
      </c>
      <c r="AR231" s="54">
        <v>0.22</v>
      </c>
      <c r="AS231" s="54">
        <v>0</v>
      </c>
      <c r="AT231" s="81">
        <v>0</v>
      </c>
      <c r="AU231" s="54">
        <v>0.02</v>
      </c>
      <c r="AV231" s="81">
        <v>0</v>
      </c>
      <c r="AW231" s="81">
        <v>0</v>
      </c>
      <c r="AX231" s="81">
        <v>0</v>
      </c>
      <c r="AY231" s="81">
        <v>0</v>
      </c>
      <c r="AZ231" s="81">
        <v>0</v>
      </c>
      <c r="BA231" s="81">
        <v>0</v>
      </c>
      <c r="BB231" s="81">
        <v>0</v>
      </c>
      <c r="BC231" s="54">
        <v>0.01</v>
      </c>
      <c r="BD231" s="82">
        <v>0</v>
      </c>
      <c r="BE231" s="82">
        <v>0</v>
      </c>
      <c r="BF231" s="54">
        <v>0.01</v>
      </c>
      <c r="BG231" s="82">
        <v>0</v>
      </c>
      <c r="BH231" s="82">
        <v>0</v>
      </c>
      <c r="BI231" s="54">
        <v>0.03</v>
      </c>
      <c r="BJ231" s="54">
        <v>0.03</v>
      </c>
      <c r="BK231" s="51">
        <v>5.0000000000000001E-3</v>
      </c>
      <c r="BL231" s="82">
        <v>0</v>
      </c>
      <c r="BM231" s="82">
        <v>0</v>
      </c>
      <c r="BN231" s="82">
        <v>0</v>
      </c>
      <c r="BO231" s="54">
        <v>0</v>
      </c>
      <c r="BP231" s="56">
        <v>15</v>
      </c>
      <c r="BQ231" s="56">
        <v>24</v>
      </c>
      <c r="BR231" s="56">
        <v>35</v>
      </c>
      <c r="BS231" s="56">
        <v>35</v>
      </c>
      <c r="BT231" s="56">
        <v>47</v>
      </c>
      <c r="BU231" s="56">
        <v>9</v>
      </c>
      <c r="BV231" s="56">
        <v>18</v>
      </c>
      <c r="BW231" s="56">
        <v>26</v>
      </c>
      <c r="BX231" s="56">
        <v>25</v>
      </c>
      <c r="BY231" s="56">
        <v>23</v>
      </c>
      <c r="BZ231" s="56">
        <v>134</v>
      </c>
      <c r="CA231" s="56">
        <v>16</v>
      </c>
      <c r="CB231" s="56">
        <v>28</v>
      </c>
      <c r="CC231" s="56">
        <v>54</v>
      </c>
      <c r="CD231" s="56">
        <v>161</v>
      </c>
      <c r="CE231" s="56">
        <v>41</v>
      </c>
      <c r="CF231" s="56">
        <v>31</v>
      </c>
      <c r="CG231" s="56">
        <v>29</v>
      </c>
      <c r="CH231" s="81">
        <v>0</v>
      </c>
      <c r="CI231" s="81">
        <v>0</v>
      </c>
      <c r="CJ231" s="83">
        <v>0</v>
      </c>
      <c r="CK231" s="81">
        <v>0</v>
      </c>
      <c r="CL231" s="81">
        <v>0</v>
      </c>
      <c r="CM231" s="83">
        <v>0</v>
      </c>
      <c r="CN231">
        <f t="shared" si="4603"/>
        <v>1.96</v>
      </c>
      <c r="CO231">
        <f t="shared" si="4604"/>
        <v>8.4700000000000006</v>
      </c>
      <c r="CP231">
        <f t="shared" si="4605"/>
        <v>7.0000000000000007E-2</v>
      </c>
      <c r="CQ231">
        <f t="shared" si="4606"/>
        <v>0</v>
      </c>
      <c r="CR231">
        <f t="shared" si="4607"/>
        <v>7.0000000000000007E-2</v>
      </c>
      <c r="CS231">
        <f t="shared" si="4608"/>
        <v>7.000000000000001E-3</v>
      </c>
      <c r="CT231">
        <f t="shared" si="4609"/>
        <v>0</v>
      </c>
      <c r="CU231">
        <f t="shared" si="4610"/>
        <v>7.000000000000001E-3</v>
      </c>
      <c r="CV231">
        <f t="shared" si="4611"/>
        <v>0</v>
      </c>
      <c r="CW231">
        <f t="shared" si="4612"/>
        <v>0.39899999999999997</v>
      </c>
      <c r="CX231">
        <f t="shared" si="4613"/>
        <v>0</v>
      </c>
      <c r="CY231">
        <f t="shared" si="4614"/>
        <v>0.39899999999999997</v>
      </c>
      <c r="CZ231">
        <f t="shared" si="4615"/>
        <v>7.7000000000000013E-2</v>
      </c>
      <c r="DA231">
        <f t="shared" si="4616"/>
        <v>0</v>
      </c>
      <c r="DB231">
        <f t="shared" si="4617"/>
        <v>6.4469999999999992</v>
      </c>
      <c r="DC231">
        <f t="shared" si="4618"/>
        <v>2.8000000000000004E-2</v>
      </c>
      <c r="DD231">
        <f t="shared" si="4619"/>
        <v>1.75</v>
      </c>
      <c r="DE231">
        <f t="shared" si="4620"/>
        <v>0.7</v>
      </c>
      <c r="DF231">
        <f t="shared" si="4621"/>
        <v>9.8000000000000007</v>
      </c>
      <c r="DG231">
        <f t="shared" si="4622"/>
        <v>2.4500000000000002</v>
      </c>
      <c r="DH231">
        <f t="shared" si="4623"/>
        <v>2.1000000000000001E-2</v>
      </c>
      <c r="DI231">
        <f t="shared" si="4624"/>
        <v>0</v>
      </c>
      <c r="DJ231">
        <f t="shared" si="4625"/>
        <v>0</v>
      </c>
      <c r="DK231">
        <f t="shared" si="4626"/>
        <v>0</v>
      </c>
      <c r="DL231">
        <f t="shared" si="4627"/>
        <v>0</v>
      </c>
      <c r="DM231">
        <f t="shared" si="4628"/>
        <v>0</v>
      </c>
      <c r="DN231">
        <f t="shared" si="4629"/>
        <v>0</v>
      </c>
      <c r="DO231">
        <f t="shared" si="4630"/>
        <v>0</v>
      </c>
      <c r="DP231">
        <f t="shared" si="4631"/>
        <v>1.4000000000000002E-3</v>
      </c>
      <c r="DQ231">
        <f t="shared" si="4632"/>
        <v>2.0999999999999999E-3</v>
      </c>
      <c r="DR231">
        <f t="shared" si="4633"/>
        <v>0.35</v>
      </c>
      <c r="DS231">
        <f t="shared" si="4634"/>
        <v>3.5000000000000003E-2</v>
      </c>
      <c r="DT231">
        <f t="shared" si="4635"/>
        <v>9.8000000000000014E-3</v>
      </c>
      <c r="DU231">
        <f t="shared" si="4636"/>
        <v>0.84</v>
      </c>
      <c r="DV231">
        <f t="shared" si="4637"/>
        <v>0</v>
      </c>
      <c r="DW231">
        <f t="shared" si="4638"/>
        <v>0</v>
      </c>
      <c r="DX231">
        <f t="shared" si="4639"/>
        <v>0</v>
      </c>
      <c r="DY231">
        <f t="shared" si="4640"/>
        <v>0</v>
      </c>
      <c r="DZ231">
        <f t="shared" si="4641"/>
        <v>0</v>
      </c>
      <c r="EA231">
        <f t="shared" si="4642"/>
        <v>0</v>
      </c>
      <c r="EB231">
        <f t="shared" si="4643"/>
        <v>1.54E-2</v>
      </c>
      <c r="EC231">
        <f t="shared" si="4644"/>
        <v>0</v>
      </c>
      <c r="ED231">
        <f t="shared" si="4645"/>
        <v>0</v>
      </c>
      <c r="EE231">
        <f t="shared" si="4646"/>
        <v>1.4000000000000002E-3</v>
      </c>
      <c r="EF231">
        <f t="shared" si="4647"/>
        <v>0</v>
      </c>
      <c r="EG231">
        <f t="shared" si="4648"/>
        <v>0</v>
      </c>
      <c r="EH231">
        <f t="shared" si="4649"/>
        <v>0</v>
      </c>
      <c r="EI231">
        <f t="shared" si="4650"/>
        <v>0</v>
      </c>
      <c r="EJ231">
        <f t="shared" si="4651"/>
        <v>0</v>
      </c>
      <c r="EK231">
        <f t="shared" si="4652"/>
        <v>0</v>
      </c>
      <c r="EL231">
        <f t="shared" si="4653"/>
        <v>0</v>
      </c>
      <c r="EM231">
        <f t="shared" si="4654"/>
        <v>7.000000000000001E-4</v>
      </c>
      <c r="EN231">
        <f t="shared" si="4655"/>
        <v>0</v>
      </c>
      <c r="EO231">
        <f t="shared" si="4656"/>
        <v>0</v>
      </c>
      <c r="EP231">
        <f t="shared" si="4657"/>
        <v>7.000000000000001E-4</v>
      </c>
      <c r="EQ231">
        <f t="shared" si="4658"/>
        <v>0</v>
      </c>
      <c r="ER231">
        <f t="shared" si="4659"/>
        <v>0</v>
      </c>
      <c r="ES231">
        <f t="shared" si="4660"/>
        <v>2.0999999999999999E-3</v>
      </c>
      <c r="ET231">
        <f t="shared" si="4661"/>
        <v>2.0999999999999999E-3</v>
      </c>
      <c r="EU231">
        <f t="shared" si="4662"/>
        <v>3.5000000000000005E-4</v>
      </c>
      <c r="EV231">
        <f t="shared" si="4663"/>
        <v>0</v>
      </c>
      <c r="EW231">
        <f t="shared" si="4664"/>
        <v>0</v>
      </c>
      <c r="EX231">
        <f t="shared" si="4665"/>
        <v>0</v>
      </c>
      <c r="EY231">
        <f t="shared" si="4666"/>
        <v>0</v>
      </c>
      <c r="EZ231">
        <f t="shared" si="4667"/>
        <v>1.05</v>
      </c>
      <c r="FA231">
        <f t="shared" si="4668"/>
        <v>1.68</v>
      </c>
      <c r="FB231">
        <f t="shared" si="4669"/>
        <v>2.4500000000000002</v>
      </c>
      <c r="FC231">
        <f t="shared" si="4670"/>
        <v>2.4500000000000002</v>
      </c>
      <c r="FD231">
        <f t="shared" si="4671"/>
        <v>3.29</v>
      </c>
      <c r="FE231">
        <f t="shared" si="4672"/>
        <v>0.63</v>
      </c>
      <c r="FF231">
        <f t="shared" si="4673"/>
        <v>1.26</v>
      </c>
      <c r="FG231">
        <f t="shared" si="4674"/>
        <v>1.82</v>
      </c>
      <c r="FH231">
        <f t="shared" si="4675"/>
        <v>1.75</v>
      </c>
      <c r="FI231">
        <f t="shared" si="4676"/>
        <v>1.61</v>
      </c>
      <c r="FJ231">
        <f t="shared" si="4677"/>
        <v>9.3800000000000008</v>
      </c>
      <c r="FK231">
        <f t="shared" si="4678"/>
        <v>1.1200000000000001</v>
      </c>
      <c r="FL231">
        <f t="shared" si="4679"/>
        <v>1.96</v>
      </c>
      <c r="FM231">
        <f t="shared" si="4680"/>
        <v>3.78</v>
      </c>
      <c r="FN231">
        <f t="shared" si="4681"/>
        <v>11.27</v>
      </c>
      <c r="FO231">
        <f t="shared" si="4682"/>
        <v>2.87</v>
      </c>
      <c r="FP231">
        <f t="shared" si="4683"/>
        <v>2.17</v>
      </c>
      <c r="FQ231">
        <f t="shared" si="4684"/>
        <v>2.0299999999999998</v>
      </c>
      <c r="FR231">
        <f t="shared" si="4685"/>
        <v>0</v>
      </c>
      <c r="FS231">
        <f t="shared" si="4686"/>
        <v>0</v>
      </c>
      <c r="FT231">
        <f t="shared" si="4687"/>
        <v>0</v>
      </c>
      <c r="FU231">
        <f t="shared" si="4688"/>
        <v>0</v>
      </c>
      <c r="FV231">
        <f t="shared" si="4689"/>
        <v>0</v>
      </c>
      <c r="FW231">
        <f t="shared" si="4690"/>
        <v>0</v>
      </c>
    </row>
    <row r="232" spans="1:179" x14ac:dyDescent="0.35">
      <c r="B232" s="72" t="s">
        <v>211</v>
      </c>
      <c r="C232">
        <v>10</v>
      </c>
      <c r="D232" s="6">
        <v>899</v>
      </c>
      <c r="E232" s="6">
        <v>3696</v>
      </c>
      <c r="F232" s="6">
        <v>0</v>
      </c>
      <c r="G232" s="6">
        <v>0</v>
      </c>
      <c r="H232" s="6">
        <v>0</v>
      </c>
      <c r="I232" s="6">
        <v>99.9</v>
      </c>
      <c r="J232" s="6">
        <v>0</v>
      </c>
      <c r="K232" s="6">
        <v>99.9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0.2</v>
      </c>
      <c r="T232" s="6">
        <v>0</v>
      </c>
      <c r="U232" s="51">
        <v>0.5</v>
      </c>
      <c r="V232" s="51">
        <v>0.5</v>
      </c>
      <c r="W232" s="6">
        <v>0</v>
      </c>
      <c r="X232" s="51">
        <v>5.0000000000000001E-3</v>
      </c>
      <c r="Y232" s="51">
        <v>0.5</v>
      </c>
      <c r="Z232" s="6">
        <v>0.01</v>
      </c>
      <c r="AA232" s="51">
        <v>0.05</v>
      </c>
      <c r="AB232" s="51">
        <v>0.5</v>
      </c>
      <c r="AC232" s="51">
        <v>0.5</v>
      </c>
      <c r="AD232" s="51">
        <v>5.0000000000000001E-3</v>
      </c>
      <c r="AE232" s="51">
        <v>0.5</v>
      </c>
      <c r="AF232" s="6">
        <v>0</v>
      </c>
      <c r="AG232" s="6">
        <v>0</v>
      </c>
      <c r="AH232" s="6">
        <v>0</v>
      </c>
      <c r="AI232" s="6">
        <v>0</v>
      </c>
      <c r="AJ232" s="51">
        <v>5.0000000000000001E-3</v>
      </c>
      <c r="AK232" s="51">
        <v>0.5</v>
      </c>
      <c r="AL232" s="51">
        <v>5.0000000000000001E-3</v>
      </c>
      <c r="AM232" s="51">
        <v>0.05</v>
      </c>
      <c r="AN232" s="6">
        <v>0</v>
      </c>
      <c r="AO232" s="6">
        <v>36</v>
      </c>
      <c r="AP232" s="6">
        <v>0</v>
      </c>
      <c r="AQ232" s="6">
        <v>216</v>
      </c>
      <c r="AR232" s="6">
        <v>21.42</v>
      </c>
      <c r="AS232" s="6">
        <v>0</v>
      </c>
      <c r="AT232" s="6">
        <v>57.5</v>
      </c>
      <c r="AU232" s="6">
        <v>14.46</v>
      </c>
      <c r="AV232" s="6">
        <v>0</v>
      </c>
      <c r="AW232" s="6">
        <v>0</v>
      </c>
      <c r="AX232" s="6">
        <v>0</v>
      </c>
      <c r="AY232" s="6">
        <v>10.64</v>
      </c>
      <c r="AZ232" s="6">
        <v>3.06</v>
      </c>
      <c r="BA232" s="6">
        <v>0.76</v>
      </c>
      <c r="BB232" s="6">
        <v>0</v>
      </c>
      <c r="BC232" s="6">
        <v>72.95</v>
      </c>
      <c r="BD232" s="6">
        <v>0</v>
      </c>
      <c r="BE232" s="6">
        <v>0.79</v>
      </c>
      <c r="BF232" s="6">
        <v>71.87</v>
      </c>
      <c r="BG232" s="6">
        <v>0.28999999999999998</v>
      </c>
      <c r="BH232" s="6">
        <v>0</v>
      </c>
      <c r="BI232" s="6">
        <v>7.52</v>
      </c>
      <c r="BJ232" s="6">
        <v>6.79</v>
      </c>
      <c r="BK232" s="6">
        <v>0.73</v>
      </c>
      <c r="BL232" s="6">
        <v>0</v>
      </c>
      <c r="BM232" s="6">
        <v>0</v>
      </c>
      <c r="BN232" s="6">
        <v>0</v>
      </c>
      <c r="BO232" s="6">
        <v>0</v>
      </c>
      <c r="BP232" s="7">
        <v>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7">
        <v>0</v>
      </c>
      <c r="CD232" s="7">
        <v>0</v>
      </c>
      <c r="CE232" s="7">
        <v>0</v>
      </c>
      <c r="CF232" s="7">
        <v>0</v>
      </c>
      <c r="CG232" s="7">
        <v>0</v>
      </c>
      <c r="CH232" s="6">
        <v>0</v>
      </c>
      <c r="CI232" s="6">
        <v>0</v>
      </c>
      <c r="CJ232" s="6">
        <v>0</v>
      </c>
      <c r="CK232" s="6">
        <v>0</v>
      </c>
      <c r="CL232" s="6">
        <v>0</v>
      </c>
      <c r="CM232" s="6">
        <v>0</v>
      </c>
      <c r="CN232">
        <f t="shared" si="4603"/>
        <v>89.9</v>
      </c>
      <c r="CO232">
        <f t="shared" si="4604"/>
        <v>369.6</v>
      </c>
      <c r="CP232">
        <f t="shared" si="4605"/>
        <v>0</v>
      </c>
      <c r="CQ232">
        <f t="shared" si="4606"/>
        <v>0</v>
      </c>
      <c r="CR232">
        <f t="shared" si="4607"/>
        <v>0</v>
      </c>
      <c r="CS232">
        <f t="shared" si="4608"/>
        <v>9.99</v>
      </c>
      <c r="CT232">
        <f t="shared" si="4609"/>
        <v>0</v>
      </c>
      <c r="CU232">
        <f t="shared" si="4610"/>
        <v>9.99</v>
      </c>
      <c r="CV232">
        <f t="shared" si="4611"/>
        <v>0</v>
      </c>
      <c r="CW232">
        <f t="shared" si="4612"/>
        <v>0</v>
      </c>
      <c r="CX232">
        <f t="shared" si="4613"/>
        <v>0</v>
      </c>
      <c r="CY232">
        <f t="shared" si="4614"/>
        <v>0</v>
      </c>
      <c r="CZ232">
        <f t="shared" si="4615"/>
        <v>0</v>
      </c>
      <c r="DA232">
        <f t="shared" si="4616"/>
        <v>0</v>
      </c>
      <c r="DB232">
        <f t="shared" si="4617"/>
        <v>0</v>
      </c>
      <c r="DC232">
        <f t="shared" si="4618"/>
        <v>0.02</v>
      </c>
      <c r="DD232">
        <f t="shared" si="4619"/>
        <v>0</v>
      </c>
      <c r="DE232">
        <f t="shared" si="4620"/>
        <v>0.05</v>
      </c>
      <c r="DF232">
        <f t="shared" si="4621"/>
        <v>0.05</v>
      </c>
      <c r="DG232">
        <f t="shared" si="4622"/>
        <v>0</v>
      </c>
      <c r="DH232">
        <f t="shared" si="4623"/>
        <v>5.0000000000000001E-4</v>
      </c>
      <c r="DI232">
        <f t="shared" si="4624"/>
        <v>0.05</v>
      </c>
      <c r="DJ232">
        <f t="shared" si="4625"/>
        <v>1E-3</v>
      </c>
      <c r="DK232">
        <f t="shared" si="4626"/>
        <v>5.0000000000000001E-3</v>
      </c>
      <c r="DL232">
        <f t="shared" si="4627"/>
        <v>0.05</v>
      </c>
      <c r="DM232">
        <f t="shared" si="4628"/>
        <v>0.05</v>
      </c>
      <c r="DN232">
        <f t="shared" si="4629"/>
        <v>5.0000000000000001E-4</v>
      </c>
      <c r="DO232">
        <f t="shared" si="4630"/>
        <v>0.05</v>
      </c>
      <c r="DP232">
        <f t="shared" si="4631"/>
        <v>0</v>
      </c>
      <c r="DQ232">
        <f t="shared" si="4632"/>
        <v>0</v>
      </c>
      <c r="DR232">
        <f t="shared" si="4633"/>
        <v>0</v>
      </c>
      <c r="DS232">
        <f t="shared" si="4634"/>
        <v>0</v>
      </c>
      <c r="DT232">
        <f t="shared" si="4635"/>
        <v>5.0000000000000001E-4</v>
      </c>
      <c r="DU232">
        <f t="shared" si="4636"/>
        <v>0.05</v>
      </c>
      <c r="DV232">
        <f t="shared" si="4637"/>
        <v>5.0000000000000001E-4</v>
      </c>
      <c r="DW232">
        <f t="shared" si="4638"/>
        <v>5.0000000000000001E-3</v>
      </c>
      <c r="DX232">
        <f t="shared" si="4639"/>
        <v>0</v>
      </c>
      <c r="DY232">
        <f t="shared" si="4640"/>
        <v>3.6</v>
      </c>
      <c r="DZ232">
        <f t="shared" si="4641"/>
        <v>0</v>
      </c>
      <c r="EA232">
        <f t="shared" si="4642"/>
        <v>21.6</v>
      </c>
      <c r="EB232">
        <f t="shared" si="4643"/>
        <v>2.1420000000000003</v>
      </c>
      <c r="EC232">
        <f t="shared" si="4644"/>
        <v>0</v>
      </c>
      <c r="ED232">
        <f t="shared" si="4645"/>
        <v>5.75</v>
      </c>
      <c r="EE232">
        <f t="shared" si="4646"/>
        <v>1.4460000000000002</v>
      </c>
      <c r="EF232">
        <f t="shared" si="4647"/>
        <v>0</v>
      </c>
      <c r="EG232">
        <f t="shared" si="4648"/>
        <v>0</v>
      </c>
      <c r="EH232">
        <f t="shared" si="4649"/>
        <v>0</v>
      </c>
      <c r="EI232">
        <f t="shared" si="4650"/>
        <v>1.0640000000000001</v>
      </c>
      <c r="EJ232">
        <f t="shared" si="4651"/>
        <v>0.30599999999999999</v>
      </c>
      <c r="EK232">
        <f t="shared" si="4652"/>
        <v>7.5999999999999998E-2</v>
      </c>
      <c r="EL232">
        <f t="shared" si="4653"/>
        <v>0</v>
      </c>
      <c r="EM232">
        <f t="shared" si="4654"/>
        <v>7.2949999999999999</v>
      </c>
      <c r="EN232">
        <f t="shared" si="4655"/>
        <v>0</v>
      </c>
      <c r="EO232">
        <f t="shared" si="4656"/>
        <v>7.9000000000000001E-2</v>
      </c>
      <c r="EP232">
        <f t="shared" si="4657"/>
        <v>7.1870000000000003</v>
      </c>
      <c r="EQ232">
        <f t="shared" si="4658"/>
        <v>2.8999999999999998E-2</v>
      </c>
      <c r="ER232">
        <f t="shared" si="4659"/>
        <v>0</v>
      </c>
      <c r="ES232">
        <f t="shared" si="4660"/>
        <v>0.75199999999999989</v>
      </c>
      <c r="ET232">
        <f t="shared" si="4661"/>
        <v>0.67900000000000005</v>
      </c>
      <c r="EU232">
        <f t="shared" si="4662"/>
        <v>7.2999999999999995E-2</v>
      </c>
      <c r="EV232">
        <f t="shared" si="4663"/>
        <v>0</v>
      </c>
      <c r="EW232">
        <f t="shared" si="4664"/>
        <v>0</v>
      </c>
      <c r="EX232">
        <f t="shared" si="4665"/>
        <v>0</v>
      </c>
      <c r="EY232">
        <f t="shared" si="4666"/>
        <v>0</v>
      </c>
      <c r="EZ232">
        <f t="shared" si="4667"/>
        <v>0</v>
      </c>
      <c r="FA232">
        <f t="shared" si="4668"/>
        <v>0</v>
      </c>
      <c r="FB232">
        <f t="shared" si="4669"/>
        <v>0</v>
      </c>
      <c r="FC232">
        <f t="shared" si="4670"/>
        <v>0</v>
      </c>
      <c r="FD232">
        <f t="shared" si="4671"/>
        <v>0</v>
      </c>
      <c r="FE232">
        <f t="shared" si="4672"/>
        <v>0</v>
      </c>
      <c r="FF232">
        <f t="shared" si="4673"/>
        <v>0</v>
      </c>
      <c r="FG232">
        <f t="shared" si="4674"/>
        <v>0</v>
      </c>
      <c r="FH232">
        <f t="shared" si="4675"/>
        <v>0</v>
      </c>
      <c r="FI232">
        <f t="shared" si="4676"/>
        <v>0</v>
      </c>
      <c r="FJ232">
        <f t="shared" si="4677"/>
        <v>0</v>
      </c>
      <c r="FK232">
        <f t="shared" si="4678"/>
        <v>0</v>
      </c>
      <c r="FL232">
        <f t="shared" si="4679"/>
        <v>0</v>
      </c>
      <c r="FM232">
        <f t="shared" si="4680"/>
        <v>0</v>
      </c>
      <c r="FN232">
        <f t="shared" si="4681"/>
        <v>0</v>
      </c>
      <c r="FO232">
        <f t="shared" si="4682"/>
        <v>0</v>
      </c>
      <c r="FP232">
        <f t="shared" si="4683"/>
        <v>0</v>
      </c>
      <c r="FQ232">
        <f t="shared" si="4684"/>
        <v>0</v>
      </c>
      <c r="FR232">
        <f t="shared" si="4685"/>
        <v>0</v>
      </c>
      <c r="FS232">
        <f t="shared" si="4686"/>
        <v>0</v>
      </c>
      <c r="FT232">
        <f t="shared" si="4687"/>
        <v>0</v>
      </c>
      <c r="FU232">
        <f t="shared" si="4688"/>
        <v>0</v>
      </c>
      <c r="FV232">
        <f t="shared" si="4689"/>
        <v>0</v>
      </c>
      <c r="FW232">
        <f t="shared" si="4690"/>
        <v>0</v>
      </c>
    </row>
    <row r="233" spans="1:179" x14ac:dyDescent="0.35">
      <c r="B233" s="72" t="s">
        <v>260</v>
      </c>
      <c r="C233">
        <v>10</v>
      </c>
      <c r="D233" s="6">
        <v>206</v>
      </c>
      <c r="E233" s="6">
        <v>850</v>
      </c>
      <c r="F233" s="6">
        <v>2.8</v>
      </c>
      <c r="G233" s="6">
        <v>2.8</v>
      </c>
      <c r="H233" s="6">
        <v>0</v>
      </c>
      <c r="I233" s="6">
        <v>20</v>
      </c>
      <c r="J233" s="6">
        <v>20</v>
      </c>
      <c r="K233" s="6">
        <v>0</v>
      </c>
      <c r="L233" s="6">
        <v>66</v>
      </c>
      <c r="M233" s="6">
        <v>3.9</v>
      </c>
      <c r="N233" s="6">
        <v>0</v>
      </c>
      <c r="O233" s="6">
        <v>3.9</v>
      </c>
      <c r="P233" s="6">
        <v>0</v>
      </c>
      <c r="Q233" s="6">
        <v>0</v>
      </c>
      <c r="R233" s="6">
        <v>72</v>
      </c>
      <c r="S233" s="6">
        <v>0.1</v>
      </c>
      <c r="T233" s="6">
        <v>87</v>
      </c>
      <c r="U233" s="6">
        <v>34</v>
      </c>
      <c r="V233" s="6">
        <v>91</v>
      </c>
      <c r="W233" s="6">
        <v>59</v>
      </c>
      <c r="X233" s="6">
        <v>0.5</v>
      </c>
      <c r="Y233" s="6">
        <v>9</v>
      </c>
      <c r="Z233" s="51">
        <v>5.0000000000000001E-3</v>
      </c>
      <c r="AA233" s="51">
        <v>0.05</v>
      </c>
      <c r="AB233" s="6">
        <v>80</v>
      </c>
      <c r="AC233" s="6">
        <v>3</v>
      </c>
      <c r="AD233" s="51">
        <v>5.0000000000000001E-3</v>
      </c>
      <c r="AE233" s="6">
        <v>24</v>
      </c>
      <c r="AF233" s="6">
        <v>0.03</v>
      </c>
      <c r="AG233" s="6">
        <v>0.14000000000000001</v>
      </c>
      <c r="AH233" s="6">
        <v>1</v>
      </c>
      <c r="AI233" s="6">
        <v>0.1</v>
      </c>
      <c r="AJ233" s="6">
        <v>0.05</v>
      </c>
      <c r="AK233" s="6">
        <v>7</v>
      </c>
      <c r="AL233" s="6">
        <v>0.28000000000000003</v>
      </c>
      <c r="AM233" s="6">
        <v>1.8</v>
      </c>
      <c r="AN233" s="6">
        <v>0.3</v>
      </c>
      <c r="AO233" s="6">
        <v>218</v>
      </c>
      <c r="AP233" s="6">
        <v>200</v>
      </c>
      <c r="AQ233" s="6">
        <v>110</v>
      </c>
      <c r="AR233" s="6">
        <v>0.4</v>
      </c>
      <c r="AS233" s="6">
        <v>0.14000000000000001</v>
      </c>
      <c r="AT233" s="6">
        <v>1.7</v>
      </c>
      <c r="AU233" s="6">
        <v>11.64</v>
      </c>
      <c r="AV233" s="6">
        <v>1.69</v>
      </c>
      <c r="AW233" s="6">
        <v>0.64400000000000002</v>
      </c>
      <c r="AX233" s="6">
        <v>2.0670000000000002</v>
      </c>
      <c r="AY233" s="6">
        <v>4.7869999999999999</v>
      </c>
      <c r="AZ233" s="6">
        <v>2.0670000000000002</v>
      </c>
      <c r="BA233" s="6">
        <v>0</v>
      </c>
      <c r="BB233" s="6">
        <v>0</v>
      </c>
      <c r="BC233" s="6">
        <v>6.2009999999999996</v>
      </c>
      <c r="BD233" s="6">
        <v>0.25900000000000001</v>
      </c>
      <c r="BE233" s="6">
        <v>0.49399999999999999</v>
      </c>
      <c r="BF233" s="6">
        <v>5.1210000000000004</v>
      </c>
      <c r="BG233" s="6">
        <v>0</v>
      </c>
      <c r="BH233" s="6">
        <v>0</v>
      </c>
      <c r="BI233" s="6">
        <v>0.53600000000000003</v>
      </c>
      <c r="BJ233" s="6">
        <v>0.25900000000000001</v>
      </c>
      <c r="BK233" s="6">
        <v>0.27600000000000002</v>
      </c>
      <c r="BL233" s="6">
        <v>0</v>
      </c>
      <c r="BM233" s="6">
        <v>0</v>
      </c>
      <c r="BN233" s="6">
        <v>0</v>
      </c>
      <c r="BO233" s="6">
        <v>0</v>
      </c>
      <c r="BP233" s="7">
        <v>42</v>
      </c>
      <c r="BQ233" s="7">
        <v>139</v>
      </c>
      <c r="BR233" s="7">
        <v>163</v>
      </c>
      <c r="BS233" s="7">
        <v>301</v>
      </c>
      <c r="BT233" s="7">
        <v>231</v>
      </c>
      <c r="BU233" s="7">
        <v>69</v>
      </c>
      <c r="BV233" s="7">
        <v>31</v>
      </c>
      <c r="BW233" s="7">
        <v>149</v>
      </c>
      <c r="BX233" s="7">
        <v>120</v>
      </c>
      <c r="BY233" s="7">
        <v>198</v>
      </c>
      <c r="BZ233" s="7">
        <v>89</v>
      </c>
      <c r="CA233" s="7">
        <v>79</v>
      </c>
      <c r="CB233" s="7">
        <v>101</v>
      </c>
      <c r="CC233" s="7">
        <v>228</v>
      </c>
      <c r="CD233" s="7">
        <v>654</v>
      </c>
      <c r="CE233" s="7">
        <v>59</v>
      </c>
      <c r="CF233" s="7">
        <v>315</v>
      </c>
      <c r="CG233" s="7">
        <v>172</v>
      </c>
      <c r="CH233" s="6">
        <v>0</v>
      </c>
      <c r="CI233" s="6">
        <v>0</v>
      </c>
      <c r="CJ233" s="6">
        <v>0</v>
      </c>
      <c r="CK233" s="6">
        <v>0</v>
      </c>
      <c r="CL233" s="6">
        <v>0</v>
      </c>
      <c r="CM233" s="6">
        <v>3.9</v>
      </c>
      <c r="CN233">
        <f t="shared" si="4603"/>
        <v>20.6</v>
      </c>
      <c r="CO233">
        <f t="shared" si="4604"/>
        <v>85</v>
      </c>
      <c r="CP233">
        <f t="shared" si="4605"/>
        <v>0.28000000000000003</v>
      </c>
      <c r="CQ233">
        <f t="shared" si="4606"/>
        <v>0.28000000000000003</v>
      </c>
      <c r="CR233">
        <f t="shared" si="4607"/>
        <v>0</v>
      </c>
      <c r="CS233">
        <f t="shared" si="4608"/>
        <v>2</v>
      </c>
      <c r="CT233">
        <f t="shared" si="4609"/>
        <v>2</v>
      </c>
      <c r="CU233">
        <f t="shared" si="4610"/>
        <v>0</v>
      </c>
      <c r="CV233">
        <f t="shared" si="4611"/>
        <v>6.6</v>
      </c>
      <c r="CW233">
        <f t="shared" si="4612"/>
        <v>0.39</v>
      </c>
      <c r="CX233">
        <f t="shared" si="4613"/>
        <v>0</v>
      </c>
      <c r="CY233">
        <f t="shared" si="4614"/>
        <v>0.39</v>
      </c>
      <c r="CZ233">
        <f t="shared" si="4615"/>
        <v>0</v>
      </c>
      <c r="DA233">
        <f t="shared" si="4616"/>
        <v>0</v>
      </c>
      <c r="DB233">
        <f t="shared" si="4617"/>
        <v>7.2</v>
      </c>
      <c r="DC233">
        <f t="shared" si="4618"/>
        <v>0.01</v>
      </c>
      <c r="DD233">
        <f t="shared" si="4619"/>
        <v>8.6999999999999993</v>
      </c>
      <c r="DE233">
        <f t="shared" si="4620"/>
        <v>3.4</v>
      </c>
      <c r="DF233">
        <f t="shared" si="4621"/>
        <v>9.1</v>
      </c>
      <c r="DG233">
        <f t="shared" si="4622"/>
        <v>5.9</v>
      </c>
      <c r="DH233">
        <f t="shared" si="4623"/>
        <v>0.05</v>
      </c>
      <c r="DI233">
        <f t="shared" si="4624"/>
        <v>0.9</v>
      </c>
      <c r="DJ233">
        <f t="shared" si="4625"/>
        <v>5.0000000000000001E-4</v>
      </c>
      <c r="DK233">
        <f t="shared" si="4626"/>
        <v>5.0000000000000001E-3</v>
      </c>
      <c r="DL233">
        <f t="shared" si="4627"/>
        <v>8</v>
      </c>
      <c r="DM233">
        <f t="shared" si="4628"/>
        <v>0.3</v>
      </c>
      <c r="DN233">
        <f t="shared" si="4629"/>
        <v>5.0000000000000001E-4</v>
      </c>
      <c r="DO233">
        <f t="shared" si="4630"/>
        <v>2.4</v>
      </c>
      <c r="DP233">
        <f t="shared" si="4631"/>
        <v>3.0000000000000001E-3</v>
      </c>
      <c r="DQ233">
        <f t="shared" si="4632"/>
        <v>1.4000000000000002E-2</v>
      </c>
      <c r="DR233">
        <f t="shared" si="4633"/>
        <v>0.1</v>
      </c>
      <c r="DS233">
        <f t="shared" si="4634"/>
        <v>0.01</v>
      </c>
      <c r="DT233">
        <f t="shared" si="4635"/>
        <v>5.0000000000000001E-3</v>
      </c>
      <c r="DU233">
        <f t="shared" si="4636"/>
        <v>0.7</v>
      </c>
      <c r="DV233">
        <f t="shared" si="4637"/>
        <v>2.8000000000000004E-2</v>
      </c>
      <c r="DW233">
        <f t="shared" si="4638"/>
        <v>0.18</v>
      </c>
      <c r="DX233">
        <f t="shared" si="4639"/>
        <v>0.03</v>
      </c>
      <c r="DY233">
        <f t="shared" si="4640"/>
        <v>21.8</v>
      </c>
      <c r="DZ233">
        <f t="shared" si="4641"/>
        <v>20</v>
      </c>
      <c r="EA233">
        <f t="shared" si="4642"/>
        <v>11</v>
      </c>
      <c r="EB233">
        <f t="shared" si="4643"/>
        <v>0.04</v>
      </c>
      <c r="EC233">
        <f t="shared" si="4644"/>
        <v>1.4000000000000002E-2</v>
      </c>
      <c r="ED233">
        <f t="shared" si="4645"/>
        <v>0.17</v>
      </c>
      <c r="EE233">
        <f t="shared" si="4646"/>
        <v>1.1640000000000001</v>
      </c>
      <c r="EF233">
        <f t="shared" si="4647"/>
        <v>0.16899999999999998</v>
      </c>
      <c r="EG233">
        <f t="shared" si="4648"/>
        <v>6.4399999999999999E-2</v>
      </c>
      <c r="EH233">
        <f t="shared" si="4649"/>
        <v>0.20670000000000002</v>
      </c>
      <c r="EI233">
        <f t="shared" si="4650"/>
        <v>0.47869999999999996</v>
      </c>
      <c r="EJ233">
        <f t="shared" si="4651"/>
        <v>0.20670000000000002</v>
      </c>
      <c r="EK233">
        <f t="shared" si="4652"/>
        <v>0</v>
      </c>
      <c r="EL233">
        <f t="shared" si="4653"/>
        <v>0</v>
      </c>
      <c r="EM233">
        <f t="shared" si="4654"/>
        <v>0.62009999999999998</v>
      </c>
      <c r="EN233">
        <f t="shared" si="4655"/>
        <v>2.5899999999999999E-2</v>
      </c>
      <c r="EO233">
        <f t="shared" si="4656"/>
        <v>4.9399999999999993E-2</v>
      </c>
      <c r="EP233">
        <f t="shared" si="4657"/>
        <v>0.51210000000000011</v>
      </c>
      <c r="EQ233">
        <f t="shared" si="4658"/>
        <v>0</v>
      </c>
      <c r="ER233">
        <f t="shared" si="4659"/>
        <v>0</v>
      </c>
      <c r="ES233">
        <f t="shared" si="4660"/>
        <v>5.3600000000000002E-2</v>
      </c>
      <c r="ET233">
        <f t="shared" si="4661"/>
        <v>2.5899999999999999E-2</v>
      </c>
      <c r="EU233">
        <f t="shared" si="4662"/>
        <v>2.7600000000000003E-2</v>
      </c>
      <c r="EV233">
        <f t="shared" si="4663"/>
        <v>0</v>
      </c>
      <c r="EW233">
        <f t="shared" si="4664"/>
        <v>0</v>
      </c>
      <c r="EX233">
        <f t="shared" si="4665"/>
        <v>0</v>
      </c>
      <c r="EY233">
        <f t="shared" si="4666"/>
        <v>0</v>
      </c>
      <c r="EZ233">
        <f t="shared" si="4667"/>
        <v>4.2</v>
      </c>
      <c r="FA233">
        <f t="shared" si="4668"/>
        <v>13.9</v>
      </c>
      <c r="FB233">
        <f t="shared" si="4669"/>
        <v>16.3</v>
      </c>
      <c r="FC233">
        <f t="shared" si="4670"/>
        <v>30.1</v>
      </c>
      <c r="FD233">
        <f t="shared" si="4671"/>
        <v>23.1</v>
      </c>
      <c r="FE233">
        <f t="shared" si="4672"/>
        <v>6.9</v>
      </c>
      <c r="FF233">
        <f t="shared" si="4673"/>
        <v>3.1</v>
      </c>
      <c r="FG233">
        <f t="shared" si="4674"/>
        <v>14.9</v>
      </c>
      <c r="FH233">
        <f t="shared" si="4675"/>
        <v>12</v>
      </c>
      <c r="FI233">
        <f t="shared" si="4676"/>
        <v>19.8</v>
      </c>
      <c r="FJ233">
        <f t="shared" si="4677"/>
        <v>8.9</v>
      </c>
      <c r="FK233">
        <f t="shared" si="4678"/>
        <v>7.9</v>
      </c>
      <c r="FL233">
        <f t="shared" si="4679"/>
        <v>10.1</v>
      </c>
      <c r="FM233">
        <f t="shared" si="4680"/>
        <v>22.8</v>
      </c>
      <c r="FN233">
        <f t="shared" si="4681"/>
        <v>65.400000000000006</v>
      </c>
      <c r="FO233">
        <f t="shared" si="4682"/>
        <v>5.9</v>
      </c>
      <c r="FP233">
        <f t="shared" si="4683"/>
        <v>31.5</v>
      </c>
      <c r="FQ233">
        <f t="shared" si="4684"/>
        <v>17.2</v>
      </c>
      <c r="FR233">
        <f t="shared" si="4685"/>
        <v>0</v>
      </c>
      <c r="FS233">
        <f t="shared" si="4686"/>
        <v>0</v>
      </c>
      <c r="FT233">
        <f t="shared" si="4687"/>
        <v>0</v>
      </c>
      <c r="FU233">
        <f t="shared" si="4688"/>
        <v>0</v>
      </c>
      <c r="FV233">
        <f t="shared" si="4689"/>
        <v>0</v>
      </c>
      <c r="FW233">
        <f t="shared" si="4690"/>
        <v>0.39</v>
      </c>
    </row>
    <row r="234" spans="1:179" x14ac:dyDescent="0.35">
      <c r="B234" s="72" t="s">
        <v>472</v>
      </c>
      <c r="C234">
        <v>2</v>
      </c>
      <c r="D234" s="54">
        <v>301</v>
      </c>
      <c r="E234" s="54">
        <v>1268</v>
      </c>
      <c r="F234" s="54">
        <v>3.9</v>
      </c>
      <c r="G234" s="54">
        <v>0</v>
      </c>
      <c r="H234" s="54">
        <v>3.9</v>
      </c>
      <c r="I234" s="54">
        <v>3.2</v>
      </c>
      <c r="J234" s="54">
        <v>0</v>
      </c>
      <c r="K234" s="54">
        <v>3.2</v>
      </c>
      <c r="L234" s="54">
        <v>0</v>
      </c>
      <c r="M234" s="54">
        <v>55.5</v>
      </c>
      <c r="N234" s="54">
        <v>0</v>
      </c>
      <c r="O234" s="54">
        <v>55.5</v>
      </c>
      <c r="P234" s="54">
        <v>24.4</v>
      </c>
      <c r="Q234" s="54">
        <v>0</v>
      </c>
      <c r="R234" s="54">
        <v>10</v>
      </c>
      <c r="S234" s="54">
        <v>38.1</v>
      </c>
      <c r="T234" s="54">
        <v>1228</v>
      </c>
      <c r="U234" s="54">
        <v>26</v>
      </c>
      <c r="V234" s="54">
        <v>500</v>
      </c>
      <c r="W234" s="54">
        <v>61</v>
      </c>
      <c r="X234" s="54">
        <v>2</v>
      </c>
      <c r="Y234" s="81">
        <v>0</v>
      </c>
      <c r="Z234" s="81">
        <v>0</v>
      </c>
      <c r="AA234" s="81">
        <v>0</v>
      </c>
      <c r="AB234" s="81">
        <v>0</v>
      </c>
      <c r="AC234" s="81">
        <v>0</v>
      </c>
      <c r="AD234" s="81">
        <v>0</v>
      </c>
      <c r="AE234" s="54">
        <v>0</v>
      </c>
      <c r="AF234" s="54">
        <v>0.08</v>
      </c>
      <c r="AG234" s="54">
        <v>0.14000000000000001</v>
      </c>
      <c r="AH234" s="54">
        <v>28</v>
      </c>
      <c r="AI234" s="54">
        <v>1.3</v>
      </c>
      <c r="AJ234" s="54">
        <v>0.25</v>
      </c>
      <c r="AK234" s="54">
        <v>0</v>
      </c>
      <c r="AL234" s="81">
        <v>0</v>
      </c>
      <c r="AM234" s="81">
        <v>0</v>
      </c>
      <c r="AN234" s="81">
        <v>0</v>
      </c>
      <c r="AO234" s="54">
        <v>26</v>
      </c>
      <c r="AP234" s="54">
        <v>0</v>
      </c>
      <c r="AQ234" s="54">
        <v>156</v>
      </c>
      <c r="AR234" s="54">
        <v>0.01</v>
      </c>
      <c r="AS234" s="54">
        <v>0</v>
      </c>
      <c r="AT234" s="81">
        <v>0</v>
      </c>
      <c r="AU234" s="54">
        <v>0.65</v>
      </c>
      <c r="AV234" s="81">
        <v>0</v>
      </c>
      <c r="AW234" s="81">
        <v>0</v>
      </c>
      <c r="AX234" s="81">
        <v>0</v>
      </c>
      <c r="AY234" s="81">
        <v>0</v>
      </c>
      <c r="AZ234" s="81">
        <v>0</v>
      </c>
      <c r="BA234" s="81">
        <v>0</v>
      </c>
      <c r="BB234" s="81">
        <v>0</v>
      </c>
      <c r="BC234" s="54">
        <v>0.48</v>
      </c>
      <c r="BD234" s="81">
        <v>0</v>
      </c>
      <c r="BE234" s="81">
        <v>0</v>
      </c>
      <c r="BF234" s="54">
        <v>0.45</v>
      </c>
      <c r="BG234" s="81">
        <v>0</v>
      </c>
      <c r="BH234" s="81">
        <v>0</v>
      </c>
      <c r="BI234" s="54">
        <v>0.53</v>
      </c>
      <c r="BJ234" s="54">
        <v>0.53</v>
      </c>
      <c r="BK234" s="54">
        <v>0</v>
      </c>
      <c r="BL234" s="82">
        <v>0</v>
      </c>
      <c r="BM234" s="82">
        <v>0</v>
      </c>
      <c r="BN234" s="82">
        <v>0</v>
      </c>
      <c r="BO234" s="54">
        <v>0</v>
      </c>
      <c r="BP234" s="88">
        <v>0</v>
      </c>
      <c r="BQ234" s="88">
        <v>0</v>
      </c>
      <c r="BR234" s="88">
        <v>0</v>
      </c>
      <c r="BS234" s="88">
        <v>0</v>
      </c>
      <c r="BT234" s="88">
        <v>0</v>
      </c>
      <c r="BU234" s="88">
        <v>0</v>
      </c>
      <c r="BV234" s="88">
        <v>0</v>
      </c>
      <c r="BW234" s="88">
        <v>0</v>
      </c>
      <c r="BX234" s="88">
        <v>0</v>
      </c>
      <c r="BY234" s="88">
        <v>0</v>
      </c>
      <c r="BZ234" s="88">
        <v>0</v>
      </c>
      <c r="CA234" s="88">
        <v>0</v>
      </c>
      <c r="CB234" s="88">
        <v>0</v>
      </c>
      <c r="CC234" s="88">
        <v>0</v>
      </c>
      <c r="CD234" s="88">
        <v>0</v>
      </c>
      <c r="CE234" s="88">
        <v>0</v>
      </c>
      <c r="CF234" s="88">
        <v>0</v>
      </c>
      <c r="CG234" s="88">
        <v>0</v>
      </c>
      <c r="CH234" s="81">
        <v>0</v>
      </c>
      <c r="CI234" s="81">
        <v>0</v>
      </c>
      <c r="CJ234" s="83">
        <v>0</v>
      </c>
      <c r="CK234" s="81">
        <v>0</v>
      </c>
      <c r="CL234" s="81">
        <v>0</v>
      </c>
      <c r="CM234" s="83">
        <v>0</v>
      </c>
      <c r="CN234">
        <f t="shared" si="4603"/>
        <v>6.02</v>
      </c>
      <c r="CO234">
        <f t="shared" si="4604"/>
        <v>25.36</v>
      </c>
      <c r="CP234">
        <f t="shared" si="4605"/>
        <v>7.8E-2</v>
      </c>
      <c r="CQ234">
        <f t="shared" si="4606"/>
        <v>0</v>
      </c>
      <c r="CR234">
        <f t="shared" si="4607"/>
        <v>7.8E-2</v>
      </c>
      <c r="CS234">
        <f t="shared" si="4608"/>
        <v>6.4000000000000001E-2</v>
      </c>
      <c r="CT234">
        <f t="shared" si="4609"/>
        <v>0</v>
      </c>
      <c r="CU234">
        <f t="shared" si="4610"/>
        <v>6.4000000000000001E-2</v>
      </c>
      <c r="CV234">
        <f t="shared" si="4611"/>
        <v>0</v>
      </c>
      <c r="CW234">
        <f t="shared" si="4612"/>
        <v>1.1100000000000001</v>
      </c>
      <c r="CX234">
        <f t="shared" si="4613"/>
        <v>0</v>
      </c>
      <c r="CY234">
        <f t="shared" si="4614"/>
        <v>1.1100000000000001</v>
      </c>
      <c r="CZ234">
        <f t="shared" si="4615"/>
        <v>0.48799999999999999</v>
      </c>
      <c r="DA234">
        <f t="shared" si="4616"/>
        <v>0</v>
      </c>
      <c r="DB234">
        <f t="shared" si="4617"/>
        <v>0.2</v>
      </c>
      <c r="DC234">
        <f t="shared" si="4618"/>
        <v>0.76200000000000001</v>
      </c>
      <c r="DD234">
        <f t="shared" si="4619"/>
        <v>24.56</v>
      </c>
      <c r="DE234">
        <f t="shared" si="4620"/>
        <v>0.52</v>
      </c>
      <c r="DF234">
        <f t="shared" si="4621"/>
        <v>10</v>
      </c>
      <c r="DG234">
        <f t="shared" si="4622"/>
        <v>1.22</v>
      </c>
      <c r="DH234">
        <f t="shared" si="4623"/>
        <v>0.04</v>
      </c>
      <c r="DI234">
        <f t="shared" si="4624"/>
        <v>0</v>
      </c>
      <c r="DJ234">
        <f t="shared" si="4625"/>
        <v>0</v>
      </c>
      <c r="DK234">
        <f t="shared" si="4626"/>
        <v>0</v>
      </c>
      <c r="DL234">
        <f t="shared" si="4627"/>
        <v>0</v>
      </c>
      <c r="DM234">
        <f t="shared" si="4628"/>
        <v>0</v>
      </c>
      <c r="DN234">
        <f t="shared" si="4629"/>
        <v>0</v>
      </c>
      <c r="DO234">
        <f t="shared" si="4630"/>
        <v>0</v>
      </c>
      <c r="DP234">
        <f t="shared" si="4631"/>
        <v>1.6000000000000001E-3</v>
      </c>
      <c r="DQ234">
        <f t="shared" si="4632"/>
        <v>2.8000000000000004E-3</v>
      </c>
      <c r="DR234">
        <f t="shared" si="4633"/>
        <v>0.56000000000000005</v>
      </c>
      <c r="DS234">
        <f t="shared" si="4634"/>
        <v>2.6000000000000002E-2</v>
      </c>
      <c r="DT234">
        <f t="shared" si="4635"/>
        <v>5.0000000000000001E-3</v>
      </c>
      <c r="DU234">
        <f t="shared" si="4636"/>
        <v>0</v>
      </c>
      <c r="DV234">
        <f t="shared" si="4637"/>
        <v>0</v>
      </c>
      <c r="DW234">
        <f t="shared" si="4638"/>
        <v>0</v>
      </c>
      <c r="DX234">
        <f t="shared" si="4639"/>
        <v>0</v>
      </c>
      <c r="DY234">
        <f t="shared" si="4640"/>
        <v>0.52</v>
      </c>
      <c r="DZ234">
        <f t="shared" si="4641"/>
        <v>0</v>
      </c>
      <c r="EA234">
        <f t="shared" si="4642"/>
        <v>3.12</v>
      </c>
      <c r="EB234">
        <f t="shared" si="4643"/>
        <v>2.0000000000000001E-4</v>
      </c>
      <c r="EC234">
        <f t="shared" si="4644"/>
        <v>0</v>
      </c>
      <c r="ED234">
        <f t="shared" si="4645"/>
        <v>0</v>
      </c>
      <c r="EE234">
        <f t="shared" si="4646"/>
        <v>1.3000000000000001E-2</v>
      </c>
      <c r="EF234">
        <f t="shared" si="4647"/>
        <v>0</v>
      </c>
      <c r="EG234">
        <f t="shared" si="4648"/>
        <v>0</v>
      </c>
      <c r="EH234">
        <f t="shared" si="4649"/>
        <v>0</v>
      </c>
      <c r="EI234">
        <f t="shared" si="4650"/>
        <v>0</v>
      </c>
      <c r="EJ234">
        <f t="shared" si="4651"/>
        <v>0</v>
      </c>
      <c r="EK234">
        <f t="shared" si="4652"/>
        <v>0</v>
      </c>
      <c r="EL234">
        <f t="shared" si="4653"/>
        <v>0</v>
      </c>
      <c r="EM234">
        <f t="shared" si="4654"/>
        <v>9.5999999999999992E-3</v>
      </c>
      <c r="EN234">
        <f t="shared" si="4655"/>
        <v>0</v>
      </c>
      <c r="EO234">
        <f t="shared" si="4656"/>
        <v>0</v>
      </c>
      <c r="EP234">
        <f t="shared" si="4657"/>
        <v>9.0000000000000011E-3</v>
      </c>
      <c r="EQ234">
        <f t="shared" si="4658"/>
        <v>0</v>
      </c>
      <c r="ER234">
        <f t="shared" si="4659"/>
        <v>0</v>
      </c>
      <c r="ES234">
        <f t="shared" si="4660"/>
        <v>1.06E-2</v>
      </c>
      <c r="ET234">
        <f t="shared" si="4661"/>
        <v>1.06E-2</v>
      </c>
      <c r="EU234">
        <f t="shared" si="4662"/>
        <v>0</v>
      </c>
      <c r="EV234">
        <f t="shared" si="4663"/>
        <v>0</v>
      </c>
      <c r="EW234">
        <f t="shared" si="4664"/>
        <v>0</v>
      </c>
      <c r="EX234">
        <f t="shared" si="4665"/>
        <v>0</v>
      </c>
      <c r="EY234">
        <f t="shared" si="4666"/>
        <v>0</v>
      </c>
      <c r="EZ234">
        <f t="shared" si="4667"/>
        <v>0</v>
      </c>
      <c r="FA234">
        <f t="shared" si="4668"/>
        <v>0</v>
      </c>
      <c r="FB234">
        <f t="shared" si="4669"/>
        <v>0</v>
      </c>
      <c r="FC234">
        <f t="shared" si="4670"/>
        <v>0</v>
      </c>
      <c r="FD234">
        <f t="shared" si="4671"/>
        <v>0</v>
      </c>
      <c r="FE234">
        <f t="shared" si="4672"/>
        <v>0</v>
      </c>
      <c r="FF234">
        <f t="shared" si="4673"/>
        <v>0</v>
      </c>
      <c r="FG234">
        <f t="shared" si="4674"/>
        <v>0</v>
      </c>
      <c r="FH234">
        <f t="shared" si="4675"/>
        <v>0</v>
      </c>
      <c r="FI234">
        <f t="shared" si="4676"/>
        <v>0</v>
      </c>
      <c r="FJ234">
        <f t="shared" si="4677"/>
        <v>0</v>
      </c>
      <c r="FK234">
        <f t="shared" si="4678"/>
        <v>0</v>
      </c>
      <c r="FL234">
        <f t="shared" si="4679"/>
        <v>0</v>
      </c>
      <c r="FM234">
        <f t="shared" si="4680"/>
        <v>0</v>
      </c>
      <c r="FN234">
        <f t="shared" si="4681"/>
        <v>0</v>
      </c>
      <c r="FO234">
        <f t="shared" si="4682"/>
        <v>0</v>
      </c>
      <c r="FP234">
        <f t="shared" si="4683"/>
        <v>0</v>
      </c>
      <c r="FQ234">
        <f t="shared" si="4684"/>
        <v>0</v>
      </c>
      <c r="FR234">
        <f t="shared" si="4685"/>
        <v>0</v>
      </c>
      <c r="FS234">
        <f t="shared" si="4686"/>
        <v>0</v>
      </c>
      <c r="FT234">
        <f t="shared" si="4687"/>
        <v>0</v>
      </c>
      <c r="FU234">
        <f t="shared" si="4688"/>
        <v>0</v>
      </c>
      <c r="FV234">
        <f t="shared" si="4689"/>
        <v>0</v>
      </c>
      <c r="FW234">
        <f t="shared" si="4690"/>
        <v>0</v>
      </c>
    </row>
    <row r="235" spans="1:179" x14ac:dyDescent="0.35">
      <c r="B235" s="72" t="s">
        <v>453</v>
      </c>
      <c r="C235">
        <v>2</v>
      </c>
      <c r="D235" s="54">
        <v>270</v>
      </c>
      <c r="E235" s="54">
        <v>1132</v>
      </c>
      <c r="F235" s="54">
        <v>10.9</v>
      </c>
      <c r="G235" s="54">
        <v>0</v>
      </c>
      <c r="H235" s="54">
        <v>10.9</v>
      </c>
      <c r="I235" s="54">
        <v>3.3</v>
      </c>
      <c r="J235" s="54">
        <v>0</v>
      </c>
      <c r="K235" s="54">
        <v>3.3</v>
      </c>
      <c r="L235" s="54">
        <v>0</v>
      </c>
      <c r="M235" s="54">
        <v>38.299999999999997</v>
      </c>
      <c r="N235" s="51">
        <v>0.05</v>
      </c>
      <c r="O235" s="54">
        <v>38.299999999999997</v>
      </c>
      <c r="P235" s="54">
        <v>26.5</v>
      </c>
      <c r="Q235" s="54">
        <v>0</v>
      </c>
      <c r="R235" s="54">
        <v>10.5</v>
      </c>
      <c r="S235" s="54">
        <v>28.9</v>
      </c>
      <c r="T235" s="54">
        <v>437</v>
      </c>
      <c r="U235" s="54">
        <v>44</v>
      </c>
      <c r="V235" s="54">
        <v>1259</v>
      </c>
      <c r="W235" s="54">
        <v>173</v>
      </c>
      <c r="X235" s="54">
        <v>1.4</v>
      </c>
      <c r="Y235" s="81">
        <v>0</v>
      </c>
      <c r="Z235" s="81">
        <v>0</v>
      </c>
      <c r="AA235" s="81">
        <v>0</v>
      </c>
      <c r="AB235" s="81">
        <v>0</v>
      </c>
      <c r="AC235" s="81">
        <v>0</v>
      </c>
      <c r="AD235" s="81">
        <v>0</v>
      </c>
      <c r="AE235" s="81">
        <v>0</v>
      </c>
      <c r="AF235" s="54">
        <v>0.11</v>
      </c>
      <c r="AG235" s="54">
        <v>0.24</v>
      </c>
      <c r="AH235" s="54">
        <v>21</v>
      </c>
      <c r="AI235" s="54">
        <v>1.1000000000000001</v>
      </c>
      <c r="AJ235" s="54">
        <v>0.34</v>
      </c>
      <c r="AK235" s="54">
        <v>10</v>
      </c>
      <c r="AL235" s="81">
        <v>0</v>
      </c>
      <c r="AM235" s="81">
        <v>0</v>
      </c>
      <c r="AN235" s="81">
        <v>0</v>
      </c>
      <c r="AO235" s="54">
        <v>19</v>
      </c>
      <c r="AP235" s="54">
        <v>0</v>
      </c>
      <c r="AQ235" s="54">
        <v>114</v>
      </c>
      <c r="AR235" s="54">
        <v>1.03</v>
      </c>
      <c r="AS235" s="54">
        <v>0</v>
      </c>
      <c r="AT235" s="81">
        <v>0</v>
      </c>
      <c r="AU235" s="54">
        <v>0.98</v>
      </c>
      <c r="AV235" s="81">
        <v>0</v>
      </c>
      <c r="AW235" s="81">
        <v>0</v>
      </c>
      <c r="AX235" s="81">
        <v>0</v>
      </c>
      <c r="AY235" s="81">
        <v>0</v>
      </c>
      <c r="AZ235" s="81">
        <v>0</v>
      </c>
      <c r="BA235" s="81">
        <v>0</v>
      </c>
      <c r="BB235" s="81">
        <v>0</v>
      </c>
      <c r="BC235" s="54">
        <v>1.01</v>
      </c>
      <c r="BD235" s="82">
        <v>0</v>
      </c>
      <c r="BE235" s="82">
        <v>0</v>
      </c>
      <c r="BF235" s="54">
        <v>1.01</v>
      </c>
      <c r="BG235" s="82">
        <v>0</v>
      </c>
      <c r="BH235" s="82">
        <v>0</v>
      </c>
      <c r="BI235" s="54">
        <v>1.1299999999999999</v>
      </c>
      <c r="BJ235" s="54">
        <v>0.97</v>
      </c>
      <c r="BK235" s="54">
        <v>0.16</v>
      </c>
      <c r="BL235" s="82">
        <v>0</v>
      </c>
      <c r="BM235" s="82">
        <v>0</v>
      </c>
      <c r="BN235" s="82">
        <v>0</v>
      </c>
      <c r="BO235" s="54">
        <v>0</v>
      </c>
      <c r="BP235" s="88">
        <v>0</v>
      </c>
      <c r="BQ235" s="88">
        <v>0</v>
      </c>
      <c r="BR235" s="88">
        <v>0</v>
      </c>
      <c r="BS235" s="88">
        <v>0</v>
      </c>
      <c r="BT235" s="88">
        <v>0</v>
      </c>
      <c r="BU235" s="88">
        <v>0</v>
      </c>
      <c r="BV235" s="88">
        <v>0</v>
      </c>
      <c r="BW235" s="88">
        <v>0</v>
      </c>
      <c r="BX235" s="88">
        <v>0</v>
      </c>
      <c r="BY235" s="88">
        <v>0</v>
      </c>
      <c r="BZ235" s="88">
        <v>0</v>
      </c>
      <c r="CA235" s="88">
        <v>0</v>
      </c>
      <c r="CB235" s="88">
        <v>0</v>
      </c>
      <c r="CC235" s="88">
        <v>0</v>
      </c>
      <c r="CD235" s="88">
        <v>0</v>
      </c>
      <c r="CE235" s="88">
        <v>0</v>
      </c>
      <c r="CF235" s="88">
        <v>0</v>
      </c>
      <c r="CG235" s="88">
        <v>0</v>
      </c>
      <c r="CH235" s="81">
        <v>0</v>
      </c>
      <c r="CI235" s="81">
        <v>0</v>
      </c>
      <c r="CJ235" s="83">
        <v>0</v>
      </c>
      <c r="CK235" s="81">
        <v>0</v>
      </c>
      <c r="CL235" s="81">
        <v>0</v>
      </c>
      <c r="CM235" s="83">
        <v>0</v>
      </c>
      <c r="CN235">
        <f t="shared" si="4603"/>
        <v>5.4</v>
      </c>
      <c r="CO235">
        <f t="shared" si="4604"/>
        <v>22.64</v>
      </c>
      <c r="CP235">
        <f t="shared" si="4605"/>
        <v>0.218</v>
      </c>
      <c r="CQ235">
        <f t="shared" si="4606"/>
        <v>0</v>
      </c>
      <c r="CR235">
        <f t="shared" si="4607"/>
        <v>0.218</v>
      </c>
      <c r="CS235">
        <f t="shared" si="4608"/>
        <v>6.6000000000000003E-2</v>
      </c>
      <c r="CT235">
        <f t="shared" si="4609"/>
        <v>0</v>
      </c>
      <c r="CU235">
        <f t="shared" si="4610"/>
        <v>6.6000000000000003E-2</v>
      </c>
      <c r="CV235">
        <f t="shared" si="4611"/>
        <v>0</v>
      </c>
      <c r="CW235">
        <f t="shared" si="4612"/>
        <v>0.7659999999999999</v>
      </c>
      <c r="CX235">
        <f t="shared" si="4613"/>
        <v>1E-3</v>
      </c>
      <c r="CY235">
        <f t="shared" si="4614"/>
        <v>0.7659999999999999</v>
      </c>
      <c r="CZ235">
        <f t="shared" si="4615"/>
        <v>0.53</v>
      </c>
      <c r="DA235">
        <f t="shared" si="4616"/>
        <v>0</v>
      </c>
      <c r="DB235">
        <f t="shared" si="4617"/>
        <v>0.21</v>
      </c>
      <c r="DC235">
        <f t="shared" si="4618"/>
        <v>0.57799999999999996</v>
      </c>
      <c r="DD235">
        <f t="shared" si="4619"/>
        <v>8.74</v>
      </c>
      <c r="DE235">
        <f t="shared" si="4620"/>
        <v>0.88</v>
      </c>
      <c r="DF235">
        <f t="shared" si="4621"/>
        <v>25.18</v>
      </c>
      <c r="DG235">
        <f t="shared" si="4622"/>
        <v>3.46</v>
      </c>
      <c r="DH235">
        <f t="shared" si="4623"/>
        <v>2.7999999999999997E-2</v>
      </c>
      <c r="DI235">
        <f t="shared" si="4624"/>
        <v>0</v>
      </c>
      <c r="DJ235">
        <f t="shared" si="4625"/>
        <v>0</v>
      </c>
      <c r="DK235">
        <f t="shared" si="4626"/>
        <v>0</v>
      </c>
      <c r="DL235">
        <f t="shared" si="4627"/>
        <v>0</v>
      </c>
      <c r="DM235">
        <f t="shared" si="4628"/>
        <v>0</v>
      </c>
      <c r="DN235">
        <f t="shared" si="4629"/>
        <v>0</v>
      </c>
      <c r="DO235">
        <f t="shared" si="4630"/>
        <v>0</v>
      </c>
      <c r="DP235">
        <f t="shared" si="4631"/>
        <v>2.2000000000000001E-3</v>
      </c>
      <c r="DQ235">
        <f t="shared" si="4632"/>
        <v>4.7999999999999996E-3</v>
      </c>
      <c r="DR235">
        <f t="shared" si="4633"/>
        <v>0.42</v>
      </c>
      <c r="DS235">
        <f t="shared" si="4634"/>
        <v>2.2000000000000002E-2</v>
      </c>
      <c r="DT235">
        <f t="shared" si="4635"/>
        <v>6.8000000000000005E-3</v>
      </c>
      <c r="DU235">
        <f t="shared" si="4636"/>
        <v>0.2</v>
      </c>
      <c r="DV235">
        <f t="shared" si="4637"/>
        <v>0</v>
      </c>
      <c r="DW235">
        <f t="shared" si="4638"/>
        <v>0</v>
      </c>
      <c r="DX235">
        <f t="shared" si="4639"/>
        <v>0</v>
      </c>
      <c r="DY235">
        <f t="shared" si="4640"/>
        <v>0.38</v>
      </c>
      <c r="DZ235">
        <f t="shared" si="4641"/>
        <v>0</v>
      </c>
      <c r="EA235">
        <f t="shared" si="4642"/>
        <v>2.2799999999999998</v>
      </c>
      <c r="EB235">
        <f t="shared" si="4643"/>
        <v>2.06E-2</v>
      </c>
      <c r="EC235">
        <f t="shared" si="4644"/>
        <v>0</v>
      </c>
      <c r="ED235">
        <f t="shared" si="4645"/>
        <v>0</v>
      </c>
      <c r="EE235">
        <f t="shared" si="4646"/>
        <v>1.9599999999999999E-2</v>
      </c>
      <c r="EF235">
        <f t="shared" si="4647"/>
        <v>0</v>
      </c>
      <c r="EG235">
        <f t="shared" si="4648"/>
        <v>0</v>
      </c>
      <c r="EH235">
        <f t="shared" si="4649"/>
        <v>0</v>
      </c>
      <c r="EI235">
        <f t="shared" si="4650"/>
        <v>0</v>
      </c>
      <c r="EJ235">
        <f t="shared" si="4651"/>
        <v>0</v>
      </c>
      <c r="EK235">
        <f t="shared" si="4652"/>
        <v>0</v>
      </c>
      <c r="EL235">
        <f t="shared" si="4653"/>
        <v>0</v>
      </c>
      <c r="EM235">
        <f t="shared" si="4654"/>
        <v>2.0199999999999999E-2</v>
      </c>
      <c r="EN235">
        <f t="shared" si="4655"/>
        <v>0</v>
      </c>
      <c r="EO235">
        <f t="shared" si="4656"/>
        <v>0</v>
      </c>
      <c r="EP235">
        <f t="shared" si="4657"/>
        <v>2.0199999999999999E-2</v>
      </c>
      <c r="EQ235">
        <f t="shared" si="4658"/>
        <v>0</v>
      </c>
      <c r="ER235">
        <f t="shared" si="4659"/>
        <v>0</v>
      </c>
      <c r="ES235">
        <f t="shared" si="4660"/>
        <v>2.2599999999999999E-2</v>
      </c>
      <c r="ET235">
        <f t="shared" si="4661"/>
        <v>1.9400000000000001E-2</v>
      </c>
      <c r="EU235">
        <f t="shared" si="4662"/>
        <v>3.2000000000000002E-3</v>
      </c>
      <c r="EV235">
        <f t="shared" si="4663"/>
        <v>0</v>
      </c>
      <c r="EW235">
        <f t="shared" si="4664"/>
        <v>0</v>
      </c>
      <c r="EX235">
        <f t="shared" si="4665"/>
        <v>0</v>
      </c>
      <c r="EY235">
        <f t="shared" si="4666"/>
        <v>0</v>
      </c>
      <c r="EZ235">
        <f t="shared" si="4667"/>
        <v>0</v>
      </c>
      <c r="FA235">
        <f t="shared" si="4668"/>
        <v>0</v>
      </c>
      <c r="FB235">
        <f t="shared" si="4669"/>
        <v>0</v>
      </c>
      <c r="FC235">
        <f t="shared" si="4670"/>
        <v>0</v>
      </c>
      <c r="FD235">
        <f t="shared" si="4671"/>
        <v>0</v>
      </c>
      <c r="FE235">
        <f t="shared" si="4672"/>
        <v>0</v>
      </c>
      <c r="FF235">
        <f t="shared" si="4673"/>
        <v>0</v>
      </c>
      <c r="FG235">
        <f t="shared" si="4674"/>
        <v>0</v>
      </c>
      <c r="FH235">
        <f t="shared" si="4675"/>
        <v>0</v>
      </c>
      <c r="FI235">
        <f t="shared" si="4676"/>
        <v>0</v>
      </c>
      <c r="FJ235">
        <f t="shared" si="4677"/>
        <v>0</v>
      </c>
      <c r="FK235">
        <f t="shared" si="4678"/>
        <v>0</v>
      </c>
      <c r="FL235">
        <f t="shared" si="4679"/>
        <v>0</v>
      </c>
      <c r="FM235">
        <f t="shared" si="4680"/>
        <v>0</v>
      </c>
      <c r="FN235">
        <f t="shared" si="4681"/>
        <v>0</v>
      </c>
      <c r="FO235">
        <f t="shared" si="4682"/>
        <v>0</v>
      </c>
      <c r="FP235">
        <f t="shared" si="4683"/>
        <v>0</v>
      </c>
      <c r="FQ235">
        <f t="shared" si="4684"/>
        <v>0</v>
      </c>
      <c r="FR235">
        <f t="shared" si="4685"/>
        <v>0</v>
      </c>
      <c r="FS235">
        <f t="shared" si="4686"/>
        <v>0</v>
      </c>
      <c r="FT235">
        <f t="shared" si="4687"/>
        <v>0</v>
      </c>
      <c r="FU235">
        <f t="shared" si="4688"/>
        <v>0</v>
      </c>
      <c r="FV235">
        <f t="shared" si="4689"/>
        <v>0</v>
      </c>
      <c r="FW235">
        <f t="shared" si="4690"/>
        <v>0</v>
      </c>
    </row>
    <row r="236" spans="1:179" x14ac:dyDescent="0.35">
      <c r="C236">
        <f>SUM(C228:C235)</f>
        <v>100</v>
      </c>
      <c r="CN236">
        <f>SUM(CN228:CN235)</f>
        <v>200.39000000000001</v>
      </c>
      <c r="CO236">
        <f t="shared" ref="CO236:EZ236" si="4691">SUM(CO228:CO235)</f>
        <v>833.31999999999994</v>
      </c>
      <c r="CP236">
        <f t="shared" si="4691"/>
        <v>12.999599999999999</v>
      </c>
      <c r="CQ236">
        <f t="shared" si="4691"/>
        <v>12.305</v>
      </c>
      <c r="CR236">
        <f t="shared" si="4691"/>
        <v>0.6946</v>
      </c>
      <c r="CS236">
        <f t="shared" si="4691"/>
        <v>14.8224</v>
      </c>
      <c r="CT236">
        <f t="shared" si="4691"/>
        <v>4.4049999999999994</v>
      </c>
      <c r="CU236">
        <f t="shared" si="4691"/>
        <v>10.417400000000001</v>
      </c>
      <c r="CV236">
        <f t="shared" si="4691"/>
        <v>63.800000000000004</v>
      </c>
      <c r="CW236">
        <f t="shared" si="4691"/>
        <v>3.8544</v>
      </c>
      <c r="CX236">
        <f t="shared" si="4691"/>
        <v>1.0617999999999999</v>
      </c>
      <c r="CY236">
        <f t="shared" si="4691"/>
        <v>2.7376</v>
      </c>
      <c r="CZ236">
        <f t="shared" si="4691"/>
        <v>2.2149999999999999</v>
      </c>
      <c r="DA236">
        <f t="shared" si="4691"/>
        <v>0</v>
      </c>
      <c r="DB236">
        <f t="shared" si="4691"/>
        <v>66.126999999999995</v>
      </c>
      <c r="DC236">
        <f t="shared" si="4691"/>
        <v>2.4654000000000003</v>
      </c>
      <c r="DD236">
        <f t="shared" si="4691"/>
        <v>64.039999999999992</v>
      </c>
      <c r="DE236">
        <f t="shared" si="4691"/>
        <v>63.410000000000004</v>
      </c>
      <c r="DF236">
        <f t="shared" si="4691"/>
        <v>318.70000000000005</v>
      </c>
      <c r="DG236">
        <f t="shared" si="4691"/>
        <v>92.83</v>
      </c>
      <c r="DH236">
        <f t="shared" si="4691"/>
        <v>1.4785000000000001</v>
      </c>
      <c r="DI236">
        <f t="shared" si="4691"/>
        <v>21.519999999999996</v>
      </c>
      <c r="DJ236">
        <f t="shared" si="4691"/>
        <v>0.13400000000000001</v>
      </c>
      <c r="DK236">
        <f t="shared" si="4691"/>
        <v>7.3339999999999996</v>
      </c>
      <c r="DL236">
        <f t="shared" si="4691"/>
        <v>88.960000000000008</v>
      </c>
      <c r="DM236">
        <f t="shared" si="4691"/>
        <v>4.5199999999999996</v>
      </c>
      <c r="DN236">
        <f t="shared" si="4691"/>
        <v>0.18202000000000002</v>
      </c>
      <c r="DO236">
        <f t="shared" si="4691"/>
        <v>95.18</v>
      </c>
      <c r="DP236">
        <f t="shared" si="4691"/>
        <v>0.10406</v>
      </c>
      <c r="DQ236">
        <f t="shared" si="4691"/>
        <v>0.17394000000000001</v>
      </c>
      <c r="DR236">
        <f t="shared" si="4691"/>
        <v>1.984</v>
      </c>
      <c r="DS236">
        <f t="shared" si="4691"/>
        <v>3.8203999999999998</v>
      </c>
      <c r="DT236">
        <f t="shared" si="4691"/>
        <v>0.21418000000000004</v>
      </c>
      <c r="DU236">
        <f t="shared" si="4691"/>
        <v>9.9999999999999982</v>
      </c>
      <c r="DV236">
        <f t="shared" si="4691"/>
        <v>0.76980000000000004</v>
      </c>
      <c r="DW236">
        <f t="shared" si="4691"/>
        <v>2.1359999999999997</v>
      </c>
      <c r="DX236">
        <f t="shared" si="4691"/>
        <v>0.68</v>
      </c>
      <c r="DY236">
        <f t="shared" si="4691"/>
        <v>40.158333333333346</v>
      </c>
      <c r="DZ236">
        <f t="shared" si="4691"/>
        <v>20.324999999999999</v>
      </c>
      <c r="EA236">
        <f t="shared" si="4691"/>
        <v>119.20000000000002</v>
      </c>
      <c r="EB236">
        <f t="shared" si="4691"/>
        <v>2.8850000000000002</v>
      </c>
      <c r="EC236">
        <f t="shared" si="4691"/>
        <v>7.9000000000000001E-2</v>
      </c>
      <c r="ED236">
        <f t="shared" si="4691"/>
        <v>15.936</v>
      </c>
      <c r="EE236">
        <f t="shared" si="4691"/>
        <v>3.3792800000000005</v>
      </c>
      <c r="EF236">
        <f t="shared" si="4691"/>
        <v>0.17051999999999998</v>
      </c>
      <c r="EG236">
        <f t="shared" si="4691"/>
        <v>6.4399999999999999E-2</v>
      </c>
      <c r="EH236">
        <f t="shared" si="4691"/>
        <v>0.26494000000000001</v>
      </c>
      <c r="EI236">
        <f t="shared" si="4691"/>
        <v>1.9335599999999999</v>
      </c>
      <c r="EJ236">
        <f t="shared" si="4691"/>
        <v>0.79569999999999996</v>
      </c>
      <c r="EK236">
        <f t="shared" si="4691"/>
        <v>7.6020000000000004E-2</v>
      </c>
      <c r="EL236">
        <f t="shared" si="4691"/>
        <v>6.0000000000000002E-5</v>
      </c>
      <c r="EM236">
        <f t="shared" si="4691"/>
        <v>8.8157000000000032</v>
      </c>
      <c r="EN236">
        <f t="shared" si="4691"/>
        <v>5.1900000000000002E-2</v>
      </c>
      <c r="EO236">
        <f t="shared" si="4691"/>
        <v>0.24569999999999997</v>
      </c>
      <c r="EP236">
        <f t="shared" si="4691"/>
        <v>8.4487600000000018</v>
      </c>
      <c r="EQ236">
        <f t="shared" si="4691"/>
        <v>3.576E-2</v>
      </c>
      <c r="ER236">
        <f t="shared" si="4691"/>
        <v>2.8000000000000003E-4</v>
      </c>
      <c r="ES236">
        <f t="shared" si="4691"/>
        <v>1.5399</v>
      </c>
      <c r="ET236">
        <f t="shared" si="4691"/>
        <v>1.0815000000000001</v>
      </c>
      <c r="EU236">
        <f t="shared" si="4691"/>
        <v>0.12875</v>
      </c>
      <c r="EV236">
        <f t="shared" si="4691"/>
        <v>0.13650000000000001</v>
      </c>
      <c r="EW236">
        <f t="shared" si="4691"/>
        <v>1.3000000000000001E-2</v>
      </c>
      <c r="EX236">
        <f t="shared" si="4691"/>
        <v>3.2500000000000001E-2</v>
      </c>
      <c r="EY236">
        <f t="shared" si="4691"/>
        <v>0.15322</v>
      </c>
      <c r="EZ236">
        <f t="shared" si="4691"/>
        <v>137.85350999999997</v>
      </c>
      <c r="FA236">
        <f t="shared" ref="FA236:FW236" si="4692">SUM(FA228:FA235)</f>
        <v>595.3904799999998</v>
      </c>
      <c r="FB236">
        <f t="shared" si="4692"/>
        <v>638.21594000000005</v>
      </c>
      <c r="FC236">
        <f t="shared" si="4692"/>
        <v>1024.4755599999999</v>
      </c>
      <c r="FD236">
        <f t="shared" si="4692"/>
        <v>1104.1115899999998</v>
      </c>
      <c r="FE236">
        <f t="shared" si="4692"/>
        <v>385.18525999999997</v>
      </c>
      <c r="FF236">
        <f t="shared" si="4692"/>
        <v>155.81524999999996</v>
      </c>
      <c r="FG236">
        <f t="shared" si="4692"/>
        <v>510.08664999999996</v>
      </c>
      <c r="FH236">
        <f t="shared" si="4692"/>
        <v>428.46136999999999</v>
      </c>
      <c r="FI236">
        <f t="shared" si="4692"/>
        <v>663.62878000000001</v>
      </c>
      <c r="FJ236">
        <f t="shared" si="4692"/>
        <v>806.10504999999989</v>
      </c>
      <c r="FK236">
        <f t="shared" si="4692"/>
        <v>361.32862</v>
      </c>
      <c r="FL236">
        <f t="shared" si="4692"/>
        <v>753.72551999999996</v>
      </c>
      <c r="FM236">
        <f t="shared" si="4692"/>
        <v>1182.3305800000001</v>
      </c>
      <c r="FN236">
        <f t="shared" si="4692"/>
        <v>1856.4360200000001</v>
      </c>
      <c r="FO236">
        <f t="shared" si="4692"/>
        <v>632.79031999999995</v>
      </c>
      <c r="FP236">
        <f t="shared" si="4692"/>
        <v>544.60167999999999</v>
      </c>
      <c r="FQ236">
        <f t="shared" si="4692"/>
        <v>563.94452000000001</v>
      </c>
      <c r="FR236">
        <f t="shared" si="4692"/>
        <v>3.0199999999999998E-2</v>
      </c>
      <c r="FS236">
        <f t="shared" si="4692"/>
        <v>2.5739999999999999E-2</v>
      </c>
      <c r="FT236">
        <f t="shared" si="4692"/>
        <v>4.1999999999999997E-3</v>
      </c>
      <c r="FU236">
        <f t="shared" si="4692"/>
        <v>1.24E-2</v>
      </c>
      <c r="FV236">
        <f t="shared" si="4692"/>
        <v>0</v>
      </c>
      <c r="FW236">
        <f t="shared" si="4692"/>
        <v>0.39</v>
      </c>
    </row>
    <row r="239" spans="1:179" x14ac:dyDescent="0.35">
      <c r="A239" s="80" t="s">
        <v>473</v>
      </c>
      <c r="B239" s="72" t="s">
        <v>462</v>
      </c>
      <c r="C239">
        <v>60</v>
      </c>
      <c r="D239" s="54">
        <v>24</v>
      </c>
      <c r="E239" s="54">
        <v>103</v>
      </c>
      <c r="F239" s="54">
        <v>2.1</v>
      </c>
      <c r="G239" s="54">
        <v>0</v>
      </c>
      <c r="H239" s="54">
        <v>2.1</v>
      </c>
      <c r="I239" s="54">
        <v>0.1</v>
      </c>
      <c r="J239" s="54">
        <v>0</v>
      </c>
      <c r="K239" s="54">
        <v>0.1</v>
      </c>
      <c r="L239" s="54">
        <v>0</v>
      </c>
      <c r="M239" s="54">
        <v>2.5</v>
      </c>
      <c r="N239" s="54">
        <v>0</v>
      </c>
      <c r="O239" s="54">
        <v>2.5</v>
      </c>
      <c r="P239" s="54">
        <v>2.9</v>
      </c>
      <c r="Q239" s="54">
        <v>0</v>
      </c>
      <c r="R239" s="54">
        <v>92.2</v>
      </c>
      <c r="S239" s="54">
        <v>1.1000000000000001</v>
      </c>
      <c r="T239" s="54">
        <v>60</v>
      </c>
      <c r="U239" s="54">
        <v>23</v>
      </c>
      <c r="V239" s="54">
        <v>260</v>
      </c>
      <c r="W239" s="54">
        <v>29</v>
      </c>
      <c r="X239" s="54">
        <v>0.23</v>
      </c>
      <c r="Y239" s="81">
        <v>0</v>
      </c>
      <c r="Z239" s="81">
        <v>0</v>
      </c>
      <c r="AA239" s="81">
        <v>0</v>
      </c>
      <c r="AB239" s="81">
        <v>0</v>
      </c>
      <c r="AC239" s="81">
        <v>0</v>
      </c>
      <c r="AD239" s="81">
        <v>0</v>
      </c>
      <c r="AE239" s="81">
        <v>0</v>
      </c>
      <c r="AF239" s="54">
        <v>0.06</v>
      </c>
      <c r="AG239" s="54">
        <v>0.04</v>
      </c>
      <c r="AH239" s="54">
        <v>47</v>
      </c>
      <c r="AI239" s="54">
        <v>0.6</v>
      </c>
      <c r="AJ239" s="54">
        <v>0.17</v>
      </c>
      <c r="AK239" s="54">
        <v>59</v>
      </c>
      <c r="AL239" s="81">
        <v>0</v>
      </c>
      <c r="AM239" s="81">
        <v>0</v>
      </c>
      <c r="AN239" s="81">
        <v>0</v>
      </c>
      <c r="AO239" s="54">
        <v>19</v>
      </c>
      <c r="AP239" s="54">
        <v>0</v>
      </c>
      <c r="AQ239" s="54">
        <v>114</v>
      </c>
      <c r="AR239" s="54">
        <v>0.15</v>
      </c>
      <c r="AS239" s="54">
        <v>0</v>
      </c>
      <c r="AT239" s="81">
        <v>0</v>
      </c>
      <c r="AU239" s="54">
        <v>0.01</v>
      </c>
      <c r="AV239" s="81">
        <v>0</v>
      </c>
      <c r="AW239" s="81">
        <v>0</v>
      </c>
      <c r="AX239" s="81">
        <v>0</v>
      </c>
      <c r="AY239" s="81">
        <v>0</v>
      </c>
      <c r="AZ239" s="81">
        <v>0</v>
      </c>
      <c r="BA239" s="81">
        <v>0</v>
      </c>
      <c r="BB239" s="81">
        <v>0</v>
      </c>
      <c r="BC239" s="54">
        <v>0.01</v>
      </c>
      <c r="BD239" s="82">
        <v>0</v>
      </c>
      <c r="BE239" s="82">
        <v>0</v>
      </c>
      <c r="BF239" s="54">
        <v>0.01</v>
      </c>
      <c r="BG239" s="82">
        <v>0</v>
      </c>
      <c r="BH239" s="82">
        <v>0</v>
      </c>
      <c r="BI239" s="54">
        <v>0.05</v>
      </c>
      <c r="BJ239" s="54">
        <v>0.02</v>
      </c>
      <c r="BK239" s="54">
        <v>0.03</v>
      </c>
      <c r="BL239" s="82">
        <v>0</v>
      </c>
      <c r="BM239" s="82">
        <v>0</v>
      </c>
      <c r="BN239" s="82">
        <v>0</v>
      </c>
      <c r="BO239" s="54">
        <v>0</v>
      </c>
      <c r="BP239" s="56">
        <v>22</v>
      </c>
      <c r="BQ239" s="56">
        <v>80</v>
      </c>
      <c r="BR239" s="56">
        <v>66</v>
      </c>
      <c r="BS239" s="56">
        <v>113</v>
      </c>
      <c r="BT239" s="56">
        <v>66</v>
      </c>
      <c r="BU239" s="56">
        <v>22</v>
      </c>
      <c r="BV239" s="56">
        <v>24</v>
      </c>
      <c r="BW239" s="56">
        <v>64</v>
      </c>
      <c r="BX239" s="56">
        <v>39</v>
      </c>
      <c r="BY239" s="56">
        <v>89</v>
      </c>
      <c r="BZ239" s="56">
        <v>177</v>
      </c>
      <c r="CA239" s="56">
        <v>54</v>
      </c>
      <c r="CB239" s="56">
        <v>108</v>
      </c>
      <c r="CC239" s="56">
        <v>139</v>
      </c>
      <c r="CD239" s="56">
        <v>185</v>
      </c>
      <c r="CE239" s="56">
        <v>101</v>
      </c>
      <c r="CF239" s="56">
        <v>77</v>
      </c>
      <c r="CG239" s="56">
        <v>88</v>
      </c>
      <c r="CH239" s="81">
        <v>0</v>
      </c>
      <c r="CI239" s="81">
        <v>0</v>
      </c>
      <c r="CJ239" s="83">
        <v>0</v>
      </c>
      <c r="CK239" s="81">
        <v>0</v>
      </c>
      <c r="CL239" s="81">
        <v>0</v>
      </c>
      <c r="CM239" s="83">
        <v>0</v>
      </c>
      <c r="CN239">
        <f t="shared" ref="CN239" si="4693">($C239*D239)/100</f>
        <v>14.4</v>
      </c>
      <c r="CO239">
        <f t="shared" ref="CO239" si="4694">($C239*E239)/100</f>
        <v>61.8</v>
      </c>
      <c r="CP239">
        <f t="shared" ref="CP239" si="4695">($C239*F239)/100</f>
        <v>1.26</v>
      </c>
      <c r="CQ239">
        <f t="shared" ref="CQ239" si="4696">($C239*G239)/100</f>
        <v>0</v>
      </c>
      <c r="CR239">
        <f t="shared" ref="CR239" si="4697">($C239*H239)/100</f>
        <v>1.26</v>
      </c>
      <c r="CS239">
        <f t="shared" ref="CS239" si="4698">($C239*I239)/100</f>
        <v>0.06</v>
      </c>
      <c r="CT239">
        <f t="shared" ref="CT239" si="4699">($C239*J239)/100</f>
        <v>0</v>
      </c>
      <c r="CU239">
        <f t="shared" ref="CU239" si="4700">($C239*K239)/100</f>
        <v>0.06</v>
      </c>
      <c r="CV239">
        <f t="shared" ref="CV239" si="4701">($C239*L239)/100</f>
        <v>0</v>
      </c>
      <c r="CW239">
        <f t="shared" ref="CW239" si="4702">($C239*M239)/100</f>
        <v>1.5</v>
      </c>
      <c r="CX239">
        <f t="shared" ref="CX239" si="4703">($C239*N239)/100</f>
        <v>0</v>
      </c>
      <c r="CY239">
        <f t="shared" ref="CY239" si="4704">($C239*O239)/100</f>
        <v>1.5</v>
      </c>
      <c r="CZ239">
        <f t="shared" ref="CZ239" si="4705">($C239*P239)/100</f>
        <v>1.74</v>
      </c>
      <c r="DA239">
        <f t="shared" ref="DA239" si="4706">($C239*Q239)/100</f>
        <v>0</v>
      </c>
      <c r="DB239">
        <f t="shared" ref="DB239" si="4707">($C239*R239)/100</f>
        <v>55.32</v>
      </c>
      <c r="DC239">
        <f t="shared" ref="DC239" si="4708">($C239*S239)/100</f>
        <v>0.66</v>
      </c>
      <c r="DD239">
        <f t="shared" ref="DD239" si="4709">($C239*T239)/100</f>
        <v>36</v>
      </c>
      <c r="DE239">
        <f t="shared" ref="DE239" si="4710">($C239*U239)/100</f>
        <v>13.8</v>
      </c>
      <c r="DF239">
        <f t="shared" ref="DF239" si="4711">($C239*V239)/100</f>
        <v>156</v>
      </c>
      <c r="DG239">
        <f t="shared" ref="DG239" si="4712">($C239*W239)/100</f>
        <v>17.399999999999999</v>
      </c>
      <c r="DH239">
        <f t="shared" ref="DH239" si="4713">($C239*X239)/100</f>
        <v>0.13800000000000001</v>
      </c>
      <c r="DI239">
        <f t="shared" ref="DI239" si="4714">($C239*Y239)/100</f>
        <v>0</v>
      </c>
      <c r="DJ239">
        <f t="shared" ref="DJ239" si="4715">($C239*Z239)/100</f>
        <v>0</v>
      </c>
      <c r="DK239">
        <f t="shared" ref="DK239" si="4716">($C239*AA239)/100</f>
        <v>0</v>
      </c>
      <c r="DL239">
        <f t="shared" ref="DL239" si="4717">($C239*AB239)/100</f>
        <v>0</v>
      </c>
      <c r="DM239">
        <f t="shared" ref="DM239" si="4718">($C239*AC239)/100</f>
        <v>0</v>
      </c>
      <c r="DN239">
        <f t="shared" ref="DN239" si="4719">($C239*AD239)/100</f>
        <v>0</v>
      </c>
      <c r="DO239">
        <f t="shared" ref="DO239" si="4720">($C239*AE239)/100</f>
        <v>0</v>
      </c>
      <c r="DP239">
        <f t="shared" ref="DP239" si="4721">($C239*AF239)/100</f>
        <v>3.5999999999999997E-2</v>
      </c>
      <c r="DQ239">
        <f t="shared" ref="DQ239" si="4722">($C239*AG239)/100</f>
        <v>2.4E-2</v>
      </c>
      <c r="DR239">
        <f t="shared" ref="DR239" si="4723">($C239*AH239)/100</f>
        <v>28.2</v>
      </c>
      <c r="DS239">
        <f t="shared" ref="DS239" si="4724">($C239*AI239)/100</f>
        <v>0.36</v>
      </c>
      <c r="DT239">
        <f t="shared" ref="DT239" si="4725">($C239*AJ239)/100</f>
        <v>0.10200000000000001</v>
      </c>
      <c r="DU239">
        <f t="shared" ref="DU239" si="4726">($C239*AK239)/100</f>
        <v>35.4</v>
      </c>
      <c r="DV239">
        <f t="shared" ref="DV239" si="4727">($C239*AL239)/100</f>
        <v>0</v>
      </c>
      <c r="DW239">
        <f t="shared" ref="DW239" si="4728">($C239*AM239)/100</f>
        <v>0</v>
      </c>
      <c r="DX239">
        <f t="shared" ref="DX239" si="4729">($C239*AN239)/100</f>
        <v>0</v>
      </c>
      <c r="DY239">
        <f t="shared" ref="DY239" si="4730">($C239*AO239)/100</f>
        <v>11.4</v>
      </c>
      <c r="DZ239">
        <f t="shared" ref="DZ239" si="4731">($C239*AP239)/100</f>
        <v>0</v>
      </c>
      <c r="EA239">
        <f t="shared" ref="EA239" si="4732">($C239*AQ239)/100</f>
        <v>68.400000000000006</v>
      </c>
      <c r="EB239">
        <f t="shared" ref="EB239" si="4733">($C239*AR239)/100</f>
        <v>0.09</v>
      </c>
      <c r="EC239">
        <f t="shared" ref="EC239" si="4734">($C239*AS239)/100</f>
        <v>0</v>
      </c>
      <c r="ED239">
        <f t="shared" ref="ED239" si="4735">($C239*AT239)/100</f>
        <v>0</v>
      </c>
      <c r="EE239">
        <f t="shared" ref="EE239" si="4736">($C239*AU239)/100</f>
        <v>6.0000000000000001E-3</v>
      </c>
      <c r="EF239">
        <f t="shared" ref="EF239" si="4737">($C239*AV239)/100</f>
        <v>0</v>
      </c>
      <c r="EG239">
        <f t="shared" ref="EG239" si="4738">($C239*AW239)/100</f>
        <v>0</v>
      </c>
      <c r="EH239">
        <f t="shared" ref="EH239" si="4739">($C239*AX239)/100</f>
        <v>0</v>
      </c>
      <c r="EI239">
        <f t="shared" ref="EI239" si="4740">($C239*AY239)/100</f>
        <v>0</v>
      </c>
      <c r="EJ239">
        <f t="shared" ref="EJ239" si="4741">($C239*AZ239)/100</f>
        <v>0</v>
      </c>
      <c r="EK239">
        <f t="shared" ref="EK239" si="4742">($C239*BA239)/100</f>
        <v>0</v>
      </c>
      <c r="EL239">
        <f t="shared" ref="EL239" si="4743">($C239*BB239)/100</f>
        <v>0</v>
      </c>
      <c r="EM239">
        <f t="shared" ref="EM239" si="4744">($C239*BC239)/100</f>
        <v>6.0000000000000001E-3</v>
      </c>
      <c r="EN239">
        <f t="shared" ref="EN239" si="4745">($C239*BD239)/100</f>
        <v>0</v>
      </c>
      <c r="EO239">
        <f t="shared" ref="EO239" si="4746">($C239*BE239)/100</f>
        <v>0</v>
      </c>
      <c r="EP239">
        <f t="shared" ref="EP239" si="4747">($C239*BF239)/100</f>
        <v>6.0000000000000001E-3</v>
      </c>
      <c r="EQ239">
        <f t="shared" ref="EQ239" si="4748">($C239*BG239)/100</f>
        <v>0</v>
      </c>
      <c r="ER239">
        <f t="shared" ref="ER239" si="4749">($C239*BH239)/100</f>
        <v>0</v>
      </c>
      <c r="ES239">
        <f t="shared" ref="ES239" si="4750">($C239*BI239)/100</f>
        <v>0.03</v>
      </c>
      <c r="ET239">
        <f t="shared" ref="ET239" si="4751">($C239*BJ239)/100</f>
        <v>1.2E-2</v>
      </c>
      <c r="EU239">
        <f t="shared" ref="EU239" si="4752">($C239*BK239)/100</f>
        <v>1.7999999999999999E-2</v>
      </c>
      <c r="EV239">
        <f t="shared" ref="EV239" si="4753">($C239*BL239)/100</f>
        <v>0</v>
      </c>
      <c r="EW239">
        <f t="shared" ref="EW239" si="4754">($C239*BM239)/100</f>
        <v>0</v>
      </c>
      <c r="EX239">
        <f t="shared" ref="EX239" si="4755">($C239*BN239)/100</f>
        <v>0</v>
      </c>
      <c r="EY239">
        <f t="shared" ref="EY239" si="4756">($C239*BO239)/100</f>
        <v>0</v>
      </c>
      <c r="EZ239">
        <f t="shared" ref="EZ239" si="4757">($C239*BP239)/100</f>
        <v>13.2</v>
      </c>
      <c r="FA239">
        <f t="shared" ref="FA239" si="4758">($C239*BQ239)/100</f>
        <v>48</v>
      </c>
      <c r="FB239">
        <f t="shared" ref="FB239" si="4759">($C239*BR239)/100</f>
        <v>39.6</v>
      </c>
      <c r="FC239">
        <f t="shared" ref="FC239" si="4760">($C239*BS239)/100</f>
        <v>67.8</v>
      </c>
      <c r="FD239">
        <f t="shared" ref="FD239" si="4761">($C239*BT239)/100</f>
        <v>39.6</v>
      </c>
      <c r="FE239">
        <f t="shared" ref="FE239" si="4762">($C239*BU239)/100</f>
        <v>13.2</v>
      </c>
      <c r="FF239">
        <f t="shared" ref="FF239" si="4763">($C239*BV239)/100</f>
        <v>14.4</v>
      </c>
      <c r="FG239">
        <f t="shared" ref="FG239" si="4764">($C239*BW239)/100</f>
        <v>38.4</v>
      </c>
      <c r="FH239">
        <f t="shared" ref="FH239" si="4765">($C239*BX239)/100</f>
        <v>23.4</v>
      </c>
      <c r="FI239">
        <f t="shared" ref="FI239" si="4766">($C239*BY239)/100</f>
        <v>53.4</v>
      </c>
      <c r="FJ239">
        <f t="shared" ref="FJ239" si="4767">($C239*BZ239)/100</f>
        <v>106.2</v>
      </c>
      <c r="FK239">
        <f t="shared" ref="FK239" si="4768">($C239*CA239)/100</f>
        <v>32.4</v>
      </c>
      <c r="FL239">
        <f t="shared" ref="FL239" si="4769">($C239*CB239)/100</f>
        <v>64.8</v>
      </c>
      <c r="FM239">
        <f t="shared" ref="FM239" si="4770">($C239*CC239)/100</f>
        <v>83.4</v>
      </c>
      <c r="FN239">
        <f t="shared" ref="FN239" si="4771">($C239*CD239)/100</f>
        <v>111</v>
      </c>
      <c r="FO239">
        <f t="shared" ref="FO239" si="4772">($C239*CE239)/100</f>
        <v>60.6</v>
      </c>
      <c r="FP239">
        <f t="shared" ref="FP239" si="4773">($C239*CF239)/100</f>
        <v>46.2</v>
      </c>
      <c r="FQ239">
        <f t="shared" ref="FQ239" si="4774">($C239*CG239)/100</f>
        <v>52.8</v>
      </c>
      <c r="FR239">
        <f t="shared" ref="FR239" si="4775">($C239*CH239)/100</f>
        <v>0</v>
      </c>
      <c r="FS239">
        <f t="shared" ref="FS239" si="4776">($C239*CI239)/100</f>
        <v>0</v>
      </c>
      <c r="FT239">
        <f t="shared" ref="FT239" si="4777">($C239*CJ239)/100</f>
        <v>0</v>
      </c>
      <c r="FU239">
        <f t="shared" ref="FU239" si="4778">($C239*CK239)/100</f>
        <v>0</v>
      </c>
      <c r="FV239">
        <f t="shared" ref="FV239" si="4779">($C239*CL239)/100</f>
        <v>0</v>
      </c>
      <c r="FW239">
        <f t="shared" ref="FW239" si="4780">($C239*CM239)/100</f>
        <v>0</v>
      </c>
    </row>
    <row r="240" spans="1:179" x14ac:dyDescent="0.35">
      <c r="B240" s="72" t="s">
        <v>253</v>
      </c>
      <c r="C240">
        <v>6</v>
      </c>
      <c r="D240" s="54">
        <v>28</v>
      </c>
      <c r="E240" s="54">
        <v>121</v>
      </c>
      <c r="F240" s="54">
        <v>1</v>
      </c>
      <c r="G240" s="54">
        <v>0</v>
      </c>
      <c r="H240" s="54">
        <v>1</v>
      </c>
      <c r="I240" s="54">
        <v>0.1</v>
      </c>
      <c r="J240" s="54">
        <v>0</v>
      </c>
      <c r="K240" s="54">
        <v>0.1</v>
      </c>
      <c r="L240" s="54">
        <v>0</v>
      </c>
      <c r="M240" s="54">
        <v>5.7</v>
      </c>
      <c r="N240" s="54">
        <v>0</v>
      </c>
      <c r="O240" s="54">
        <v>5.7</v>
      </c>
      <c r="P240" s="54">
        <v>1.1000000000000001</v>
      </c>
      <c r="Q240" s="54">
        <v>0</v>
      </c>
      <c r="R240" s="54">
        <v>92.1</v>
      </c>
      <c r="S240" s="54">
        <v>0.4</v>
      </c>
      <c r="T240" s="54">
        <v>25</v>
      </c>
      <c r="U240" s="54">
        <v>10</v>
      </c>
      <c r="V240" s="54">
        <v>140</v>
      </c>
      <c r="W240" s="54">
        <v>35</v>
      </c>
      <c r="X240" s="54">
        <v>0.3</v>
      </c>
      <c r="Y240" s="81">
        <v>0</v>
      </c>
      <c r="Z240" s="81">
        <v>0</v>
      </c>
      <c r="AA240" s="81">
        <v>0</v>
      </c>
      <c r="AB240" s="81">
        <v>0</v>
      </c>
      <c r="AC240" s="81">
        <v>0</v>
      </c>
      <c r="AD240" s="81">
        <v>0</v>
      </c>
      <c r="AE240" s="81">
        <v>0</v>
      </c>
      <c r="AF240" s="54">
        <v>0.02</v>
      </c>
      <c r="AG240" s="54">
        <v>0.03</v>
      </c>
      <c r="AH240" s="54">
        <v>5</v>
      </c>
      <c r="AI240" s="54">
        <v>0.5</v>
      </c>
      <c r="AJ240" s="54">
        <v>0.14000000000000001</v>
      </c>
      <c r="AK240" s="54">
        <v>12</v>
      </c>
      <c r="AL240" s="81">
        <v>0</v>
      </c>
      <c r="AM240" s="81">
        <v>0</v>
      </c>
      <c r="AN240" s="81">
        <v>0</v>
      </c>
      <c r="AO240" s="54">
        <v>0</v>
      </c>
      <c r="AP240" s="54">
        <v>0</v>
      </c>
      <c r="AQ240" s="54">
        <v>0</v>
      </c>
      <c r="AR240" s="54">
        <v>0.22</v>
      </c>
      <c r="AS240" s="54">
        <v>0</v>
      </c>
      <c r="AT240" s="81">
        <v>0</v>
      </c>
      <c r="AU240" s="54">
        <v>0.02</v>
      </c>
      <c r="AV240" s="81">
        <v>0</v>
      </c>
      <c r="AW240" s="81">
        <v>0</v>
      </c>
      <c r="AX240" s="81">
        <v>0</v>
      </c>
      <c r="AY240" s="81">
        <v>0</v>
      </c>
      <c r="AZ240" s="81">
        <v>0</v>
      </c>
      <c r="BA240" s="81">
        <v>0</v>
      </c>
      <c r="BB240" s="81">
        <v>0</v>
      </c>
      <c r="BC240" s="54">
        <v>0.01</v>
      </c>
      <c r="BD240" s="82">
        <v>0</v>
      </c>
      <c r="BE240" s="82">
        <v>0</v>
      </c>
      <c r="BF240" s="54">
        <v>0.01</v>
      </c>
      <c r="BG240" s="82">
        <v>0</v>
      </c>
      <c r="BH240" s="82">
        <v>0</v>
      </c>
      <c r="BI240" s="54">
        <v>0.03</v>
      </c>
      <c r="BJ240" s="54">
        <v>0.03</v>
      </c>
      <c r="BK240" s="51">
        <v>5.0000000000000001E-3</v>
      </c>
      <c r="BL240" s="82">
        <v>0</v>
      </c>
      <c r="BM240" s="82">
        <v>0</v>
      </c>
      <c r="BN240" s="82">
        <v>0</v>
      </c>
      <c r="BO240" s="54">
        <v>0</v>
      </c>
      <c r="BP240" s="56">
        <v>15</v>
      </c>
      <c r="BQ240" s="56">
        <v>24</v>
      </c>
      <c r="BR240" s="56">
        <v>35</v>
      </c>
      <c r="BS240" s="56">
        <v>35</v>
      </c>
      <c r="BT240" s="56">
        <v>47</v>
      </c>
      <c r="BU240" s="56">
        <v>9</v>
      </c>
      <c r="BV240" s="56">
        <v>18</v>
      </c>
      <c r="BW240" s="56">
        <v>26</v>
      </c>
      <c r="BX240" s="56">
        <v>25</v>
      </c>
      <c r="BY240" s="56">
        <v>23</v>
      </c>
      <c r="BZ240" s="56">
        <v>134</v>
      </c>
      <c r="CA240" s="56">
        <v>16</v>
      </c>
      <c r="CB240" s="56">
        <v>28</v>
      </c>
      <c r="CC240" s="56">
        <v>54</v>
      </c>
      <c r="CD240" s="56">
        <v>161</v>
      </c>
      <c r="CE240" s="56">
        <v>41</v>
      </c>
      <c r="CF240" s="56">
        <v>31</v>
      </c>
      <c r="CG240" s="56">
        <v>29</v>
      </c>
      <c r="CH240" s="81">
        <v>0</v>
      </c>
      <c r="CI240" s="81">
        <v>0</v>
      </c>
      <c r="CJ240" s="83">
        <v>0</v>
      </c>
      <c r="CK240" s="81">
        <v>0</v>
      </c>
      <c r="CL240" s="81">
        <v>0</v>
      </c>
      <c r="CM240" s="83">
        <v>0</v>
      </c>
      <c r="CN240">
        <f t="shared" ref="CN240:CN248" si="4781">($C240*D240)/100</f>
        <v>1.68</v>
      </c>
      <c r="CO240">
        <f t="shared" ref="CO240:CO248" si="4782">($C240*E240)/100</f>
        <v>7.26</v>
      </c>
      <c r="CP240">
        <f t="shared" ref="CP240:CP248" si="4783">($C240*F240)/100</f>
        <v>0.06</v>
      </c>
      <c r="CQ240">
        <f t="shared" ref="CQ240:CQ248" si="4784">($C240*G240)/100</f>
        <v>0</v>
      </c>
      <c r="CR240">
        <f t="shared" ref="CR240:CR248" si="4785">($C240*H240)/100</f>
        <v>0.06</v>
      </c>
      <c r="CS240">
        <f t="shared" ref="CS240:CS248" si="4786">($C240*I240)/100</f>
        <v>6.000000000000001E-3</v>
      </c>
      <c r="CT240">
        <f t="shared" ref="CT240:CT248" si="4787">($C240*J240)/100</f>
        <v>0</v>
      </c>
      <c r="CU240">
        <f t="shared" ref="CU240:CU248" si="4788">($C240*K240)/100</f>
        <v>6.000000000000001E-3</v>
      </c>
      <c r="CV240">
        <f t="shared" ref="CV240:CV248" si="4789">($C240*L240)/100</f>
        <v>0</v>
      </c>
      <c r="CW240">
        <f t="shared" ref="CW240:CW248" si="4790">($C240*M240)/100</f>
        <v>0.34200000000000003</v>
      </c>
      <c r="CX240">
        <f t="shared" ref="CX240:CX248" si="4791">($C240*N240)/100</f>
        <v>0</v>
      </c>
      <c r="CY240">
        <f t="shared" ref="CY240:CY248" si="4792">($C240*O240)/100</f>
        <v>0.34200000000000003</v>
      </c>
      <c r="CZ240">
        <f t="shared" ref="CZ240:CZ248" si="4793">($C240*P240)/100</f>
        <v>6.6000000000000003E-2</v>
      </c>
      <c r="DA240">
        <f t="shared" ref="DA240:DA248" si="4794">($C240*Q240)/100</f>
        <v>0</v>
      </c>
      <c r="DB240">
        <f t="shared" ref="DB240:DB248" si="4795">($C240*R240)/100</f>
        <v>5.5259999999999989</v>
      </c>
      <c r="DC240">
        <f t="shared" ref="DC240:DC248" si="4796">($C240*S240)/100</f>
        <v>2.4000000000000004E-2</v>
      </c>
      <c r="DD240">
        <f t="shared" ref="DD240:DD248" si="4797">($C240*T240)/100</f>
        <v>1.5</v>
      </c>
      <c r="DE240">
        <f t="shared" ref="DE240:DE248" si="4798">($C240*U240)/100</f>
        <v>0.6</v>
      </c>
      <c r="DF240">
        <f t="shared" ref="DF240:DF248" si="4799">($C240*V240)/100</f>
        <v>8.4</v>
      </c>
      <c r="DG240">
        <f t="shared" ref="DG240:DG248" si="4800">($C240*W240)/100</f>
        <v>2.1</v>
      </c>
      <c r="DH240">
        <f t="shared" ref="DH240:DH248" si="4801">($C240*X240)/100</f>
        <v>1.7999999999999999E-2</v>
      </c>
      <c r="DI240">
        <f t="shared" ref="DI240:DI248" si="4802">($C240*Y240)/100</f>
        <v>0</v>
      </c>
      <c r="DJ240">
        <f t="shared" ref="DJ240:DJ248" si="4803">($C240*Z240)/100</f>
        <v>0</v>
      </c>
      <c r="DK240">
        <f t="shared" ref="DK240:DK248" si="4804">($C240*AA240)/100</f>
        <v>0</v>
      </c>
      <c r="DL240">
        <f t="shared" ref="DL240:DL248" si="4805">($C240*AB240)/100</f>
        <v>0</v>
      </c>
      <c r="DM240">
        <f t="shared" ref="DM240:DM248" si="4806">($C240*AC240)/100</f>
        <v>0</v>
      </c>
      <c r="DN240">
        <f t="shared" ref="DN240:DN248" si="4807">($C240*AD240)/100</f>
        <v>0</v>
      </c>
      <c r="DO240">
        <f t="shared" ref="DO240:DO248" si="4808">($C240*AE240)/100</f>
        <v>0</v>
      </c>
      <c r="DP240">
        <f t="shared" ref="DP240:DP248" si="4809">($C240*AF240)/100</f>
        <v>1.1999999999999999E-3</v>
      </c>
      <c r="DQ240">
        <f t="shared" ref="DQ240:DQ248" si="4810">($C240*AG240)/100</f>
        <v>1.8E-3</v>
      </c>
      <c r="DR240">
        <f t="shared" ref="DR240:DR248" si="4811">($C240*AH240)/100</f>
        <v>0.3</v>
      </c>
      <c r="DS240">
        <f t="shared" ref="DS240:DS248" si="4812">($C240*AI240)/100</f>
        <v>0.03</v>
      </c>
      <c r="DT240">
        <f t="shared" ref="DT240:DT248" si="4813">($C240*AJ240)/100</f>
        <v>8.4000000000000012E-3</v>
      </c>
      <c r="DU240">
        <f t="shared" ref="DU240:DU248" si="4814">($C240*AK240)/100</f>
        <v>0.72</v>
      </c>
      <c r="DV240">
        <f t="shared" ref="DV240:DV248" si="4815">($C240*AL240)/100</f>
        <v>0</v>
      </c>
      <c r="DW240">
        <f t="shared" ref="DW240:DW248" si="4816">($C240*AM240)/100</f>
        <v>0</v>
      </c>
      <c r="DX240">
        <f t="shared" ref="DX240:DX248" si="4817">($C240*AN240)/100</f>
        <v>0</v>
      </c>
      <c r="DY240">
        <f t="shared" ref="DY240:DY248" si="4818">($C240*AO240)/100</f>
        <v>0</v>
      </c>
      <c r="DZ240">
        <f t="shared" ref="DZ240:DZ248" si="4819">($C240*AP240)/100</f>
        <v>0</v>
      </c>
      <c r="EA240">
        <f t="shared" ref="EA240:EA248" si="4820">($C240*AQ240)/100</f>
        <v>0</v>
      </c>
      <c r="EB240">
        <f t="shared" ref="EB240:EB248" si="4821">($C240*AR240)/100</f>
        <v>1.32E-2</v>
      </c>
      <c r="EC240">
        <f t="shared" ref="EC240:EC248" si="4822">($C240*AS240)/100</f>
        <v>0</v>
      </c>
      <c r="ED240">
        <f t="shared" ref="ED240:ED248" si="4823">($C240*AT240)/100</f>
        <v>0</v>
      </c>
      <c r="EE240">
        <f t="shared" ref="EE240:EE248" si="4824">($C240*AU240)/100</f>
        <v>1.1999999999999999E-3</v>
      </c>
      <c r="EF240">
        <f t="shared" ref="EF240:EF248" si="4825">($C240*AV240)/100</f>
        <v>0</v>
      </c>
      <c r="EG240">
        <f t="shared" ref="EG240:EG248" si="4826">($C240*AW240)/100</f>
        <v>0</v>
      </c>
      <c r="EH240">
        <f t="shared" ref="EH240:EH248" si="4827">($C240*AX240)/100</f>
        <v>0</v>
      </c>
      <c r="EI240">
        <f t="shared" ref="EI240:EI248" si="4828">($C240*AY240)/100</f>
        <v>0</v>
      </c>
      <c r="EJ240">
        <f t="shared" ref="EJ240:EJ248" si="4829">($C240*AZ240)/100</f>
        <v>0</v>
      </c>
      <c r="EK240">
        <f t="shared" ref="EK240:EK248" si="4830">($C240*BA240)/100</f>
        <v>0</v>
      </c>
      <c r="EL240">
        <f t="shared" ref="EL240:EL248" si="4831">($C240*BB240)/100</f>
        <v>0</v>
      </c>
      <c r="EM240">
        <f t="shared" ref="EM240:EM248" si="4832">($C240*BC240)/100</f>
        <v>5.9999999999999995E-4</v>
      </c>
      <c r="EN240">
        <f t="shared" ref="EN240:EN248" si="4833">($C240*BD240)/100</f>
        <v>0</v>
      </c>
      <c r="EO240">
        <f t="shared" ref="EO240:EO248" si="4834">($C240*BE240)/100</f>
        <v>0</v>
      </c>
      <c r="EP240">
        <f t="shared" ref="EP240:EP248" si="4835">($C240*BF240)/100</f>
        <v>5.9999999999999995E-4</v>
      </c>
      <c r="EQ240">
        <f t="shared" ref="EQ240:EQ248" si="4836">($C240*BG240)/100</f>
        <v>0</v>
      </c>
      <c r="ER240">
        <f t="shared" ref="ER240:ER248" si="4837">($C240*BH240)/100</f>
        <v>0</v>
      </c>
      <c r="ES240">
        <f t="shared" ref="ES240:ES248" si="4838">($C240*BI240)/100</f>
        <v>1.8E-3</v>
      </c>
      <c r="ET240">
        <f t="shared" ref="ET240:ET248" si="4839">($C240*BJ240)/100</f>
        <v>1.8E-3</v>
      </c>
      <c r="EU240">
        <f t="shared" ref="EU240:EU248" si="4840">($C240*BK240)/100</f>
        <v>2.9999999999999997E-4</v>
      </c>
      <c r="EV240">
        <f t="shared" ref="EV240:EV248" si="4841">($C240*BL240)/100</f>
        <v>0</v>
      </c>
      <c r="EW240">
        <f t="shared" ref="EW240:EW248" si="4842">($C240*BM240)/100</f>
        <v>0</v>
      </c>
      <c r="EX240">
        <f t="shared" ref="EX240:EX248" si="4843">($C240*BN240)/100</f>
        <v>0</v>
      </c>
      <c r="EY240">
        <f t="shared" ref="EY240:EY248" si="4844">($C240*BO240)/100</f>
        <v>0</v>
      </c>
      <c r="EZ240">
        <f t="shared" ref="EZ240:EZ248" si="4845">($C240*BP240)/100</f>
        <v>0.9</v>
      </c>
      <c r="FA240">
        <f t="shared" ref="FA240:FA248" si="4846">($C240*BQ240)/100</f>
        <v>1.44</v>
      </c>
      <c r="FB240">
        <f t="shared" ref="FB240:FB248" si="4847">($C240*BR240)/100</f>
        <v>2.1</v>
      </c>
      <c r="FC240">
        <f t="shared" ref="FC240:FC248" si="4848">($C240*BS240)/100</f>
        <v>2.1</v>
      </c>
      <c r="FD240">
        <f t="shared" ref="FD240:FD248" si="4849">($C240*BT240)/100</f>
        <v>2.82</v>
      </c>
      <c r="FE240">
        <f t="shared" ref="FE240:FE248" si="4850">($C240*BU240)/100</f>
        <v>0.54</v>
      </c>
      <c r="FF240">
        <f t="shared" ref="FF240:FF248" si="4851">($C240*BV240)/100</f>
        <v>1.08</v>
      </c>
      <c r="FG240">
        <f t="shared" ref="FG240:FG248" si="4852">($C240*BW240)/100</f>
        <v>1.56</v>
      </c>
      <c r="FH240">
        <f t="shared" ref="FH240:FH248" si="4853">($C240*BX240)/100</f>
        <v>1.5</v>
      </c>
      <c r="FI240">
        <f t="shared" ref="FI240:FI248" si="4854">($C240*BY240)/100</f>
        <v>1.38</v>
      </c>
      <c r="FJ240">
        <f t="shared" ref="FJ240:FJ248" si="4855">($C240*BZ240)/100</f>
        <v>8.0399999999999991</v>
      </c>
      <c r="FK240">
        <f t="shared" ref="FK240:FK248" si="4856">($C240*CA240)/100</f>
        <v>0.96</v>
      </c>
      <c r="FL240">
        <f t="shared" ref="FL240:FL248" si="4857">($C240*CB240)/100</f>
        <v>1.68</v>
      </c>
      <c r="FM240">
        <f t="shared" ref="FM240:FM248" si="4858">($C240*CC240)/100</f>
        <v>3.24</v>
      </c>
      <c r="FN240">
        <f t="shared" ref="FN240:FN248" si="4859">($C240*CD240)/100</f>
        <v>9.66</v>
      </c>
      <c r="FO240">
        <f t="shared" ref="FO240:FO248" si="4860">($C240*CE240)/100</f>
        <v>2.46</v>
      </c>
      <c r="FP240">
        <f t="shared" ref="FP240:FP248" si="4861">($C240*CF240)/100</f>
        <v>1.86</v>
      </c>
      <c r="FQ240">
        <f t="shared" ref="FQ240:FQ248" si="4862">($C240*CG240)/100</f>
        <v>1.74</v>
      </c>
      <c r="FR240">
        <f t="shared" ref="FR240:FR248" si="4863">($C240*CH240)/100</f>
        <v>0</v>
      </c>
      <c r="FS240">
        <f t="shared" ref="FS240:FS248" si="4864">($C240*CI240)/100</f>
        <v>0</v>
      </c>
      <c r="FT240">
        <f t="shared" ref="FT240:FT248" si="4865">($C240*CJ240)/100</f>
        <v>0</v>
      </c>
      <c r="FU240">
        <f t="shared" ref="FU240:FU248" si="4866">($C240*CK240)/100</f>
        <v>0</v>
      </c>
      <c r="FV240">
        <f t="shared" ref="FV240:FV248" si="4867">($C240*CL240)/100</f>
        <v>0</v>
      </c>
      <c r="FW240">
        <f t="shared" ref="FW240:FW248" si="4868">($C240*CM240)/100</f>
        <v>0</v>
      </c>
    </row>
    <row r="241" spans="1:179" x14ac:dyDescent="0.35">
      <c r="B241" s="72" t="s">
        <v>355</v>
      </c>
      <c r="C241">
        <v>6</v>
      </c>
      <c r="D241" s="54">
        <v>39</v>
      </c>
      <c r="E241" s="54">
        <v>165</v>
      </c>
      <c r="F241" s="54">
        <v>1.1000000000000001</v>
      </c>
      <c r="G241" s="54">
        <v>0</v>
      </c>
      <c r="H241" s="54">
        <v>1.1000000000000001</v>
      </c>
      <c r="I241" s="54">
        <v>0</v>
      </c>
      <c r="J241" s="54">
        <v>0</v>
      </c>
      <c r="K241" s="54">
        <v>0</v>
      </c>
      <c r="L241" s="54">
        <v>0</v>
      </c>
      <c r="M241" s="54">
        <v>7.6</v>
      </c>
      <c r="N241" s="54">
        <v>0</v>
      </c>
      <c r="O241" s="54">
        <v>7.6</v>
      </c>
      <c r="P241" s="54">
        <v>3.1</v>
      </c>
      <c r="Q241" s="54">
        <v>0</v>
      </c>
      <c r="R241" s="54">
        <v>91.6</v>
      </c>
      <c r="S241" s="54">
        <v>0.7</v>
      </c>
      <c r="T241" s="54">
        <v>44</v>
      </c>
      <c r="U241" s="54">
        <v>95</v>
      </c>
      <c r="V241" s="54">
        <v>220</v>
      </c>
      <c r="W241" s="54">
        <v>37</v>
      </c>
      <c r="X241" s="54">
        <v>0.4</v>
      </c>
      <c r="Y241" s="81">
        <v>0</v>
      </c>
      <c r="Z241" s="81">
        <v>0</v>
      </c>
      <c r="AA241" s="81">
        <v>0</v>
      </c>
      <c r="AB241" s="81">
        <v>0</v>
      </c>
      <c r="AC241" s="81">
        <v>0</v>
      </c>
      <c r="AD241" s="81">
        <v>0</v>
      </c>
      <c r="AE241" s="81">
        <v>0</v>
      </c>
      <c r="AF241" s="54">
        <v>0.04</v>
      </c>
      <c r="AG241" s="54">
        <v>0.04</v>
      </c>
      <c r="AH241" s="54">
        <v>4</v>
      </c>
      <c r="AI241" s="54">
        <v>0.7</v>
      </c>
      <c r="AJ241" s="54">
        <v>0.12</v>
      </c>
      <c r="AK241" s="54">
        <v>10</v>
      </c>
      <c r="AL241" s="81">
        <v>0</v>
      </c>
      <c r="AM241" s="81">
        <v>0</v>
      </c>
      <c r="AN241" s="81">
        <v>0</v>
      </c>
      <c r="AO241" s="54">
        <v>1148</v>
      </c>
      <c r="AP241" s="54">
        <v>0</v>
      </c>
      <c r="AQ241" s="54">
        <v>6888</v>
      </c>
      <c r="AR241" s="54">
        <v>0.46</v>
      </c>
      <c r="AS241" s="54">
        <v>0</v>
      </c>
      <c r="AT241" s="81">
        <v>0</v>
      </c>
      <c r="AU241" s="54">
        <v>0</v>
      </c>
      <c r="AV241" s="54">
        <v>0</v>
      </c>
      <c r="AW241" s="54">
        <v>0</v>
      </c>
      <c r="AX241" s="54">
        <v>0</v>
      </c>
      <c r="AY241" s="54">
        <v>0</v>
      </c>
      <c r="AZ241" s="54">
        <v>0</v>
      </c>
      <c r="BA241" s="54">
        <v>0</v>
      </c>
      <c r="BB241" s="54">
        <v>0</v>
      </c>
      <c r="BC241" s="54">
        <v>0</v>
      </c>
      <c r="BD241" s="54">
        <v>0</v>
      </c>
      <c r="BE241" s="54">
        <v>0</v>
      </c>
      <c r="BF241" s="54">
        <v>0</v>
      </c>
      <c r="BG241" s="54">
        <v>0</v>
      </c>
      <c r="BH241" s="54">
        <v>0</v>
      </c>
      <c r="BI241" s="54">
        <v>0</v>
      </c>
      <c r="BJ241" s="54">
        <v>0</v>
      </c>
      <c r="BK241" s="54">
        <v>0</v>
      </c>
      <c r="BL241" s="54">
        <v>0</v>
      </c>
      <c r="BM241" s="54">
        <v>0</v>
      </c>
      <c r="BN241" s="54">
        <v>0</v>
      </c>
      <c r="BO241" s="54">
        <v>0</v>
      </c>
      <c r="BP241" s="56">
        <v>12</v>
      </c>
      <c r="BQ241" s="56">
        <v>41</v>
      </c>
      <c r="BR241" s="56">
        <v>44</v>
      </c>
      <c r="BS241" s="56">
        <v>46</v>
      </c>
      <c r="BT241" s="56">
        <v>43</v>
      </c>
      <c r="BU241" s="56">
        <v>7</v>
      </c>
      <c r="BV241" s="56">
        <v>9</v>
      </c>
      <c r="BW241" s="56">
        <v>34</v>
      </c>
      <c r="BX241" s="56">
        <v>21</v>
      </c>
      <c r="BY241" s="56">
        <v>47</v>
      </c>
      <c r="BZ241" s="56">
        <v>46</v>
      </c>
      <c r="CA241" s="56">
        <v>17</v>
      </c>
      <c r="CB241" s="56">
        <v>63</v>
      </c>
      <c r="CC241" s="56">
        <v>146</v>
      </c>
      <c r="CD241" s="56">
        <v>216</v>
      </c>
      <c r="CE241" s="56">
        <v>32</v>
      </c>
      <c r="CF241" s="56">
        <v>31</v>
      </c>
      <c r="CG241" s="56">
        <v>37</v>
      </c>
      <c r="CH241" s="81">
        <v>0</v>
      </c>
      <c r="CI241" s="81">
        <v>0</v>
      </c>
      <c r="CJ241" s="83">
        <v>0</v>
      </c>
      <c r="CK241" s="81">
        <v>0</v>
      </c>
      <c r="CL241" s="81">
        <v>0</v>
      </c>
      <c r="CM241" s="83">
        <v>0</v>
      </c>
      <c r="CN241">
        <f t="shared" si="4781"/>
        <v>2.34</v>
      </c>
      <c r="CO241">
        <f t="shared" si="4782"/>
        <v>9.9</v>
      </c>
      <c r="CP241">
        <f t="shared" si="4783"/>
        <v>6.6000000000000003E-2</v>
      </c>
      <c r="CQ241">
        <f t="shared" si="4784"/>
        <v>0</v>
      </c>
      <c r="CR241">
        <f t="shared" si="4785"/>
        <v>6.6000000000000003E-2</v>
      </c>
      <c r="CS241">
        <f t="shared" si="4786"/>
        <v>0</v>
      </c>
      <c r="CT241">
        <f t="shared" si="4787"/>
        <v>0</v>
      </c>
      <c r="CU241">
        <f t="shared" si="4788"/>
        <v>0</v>
      </c>
      <c r="CV241">
        <f t="shared" si="4789"/>
        <v>0</v>
      </c>
      <c r="CW241">
        <f t="shared" si="4790"/>
        <v>0.45599999999999996</v>
      </c>
      <c r="CX241">
        <f t="shared" si="4791"/>
        <v>0</v>
      </c>
      <c r="CY241">
        <f t="shared" si="4792"/>
        <v>0.45599999999999996</v>
      </c>
      <c r="CZ241">
        <f t="shared" si="4793"/>
        <v>0.18600000000000003</v>
      </c>
      <c r="DA241">
        <f t="shared" si="4794"/>
        <v>0</v>
      </c>
      <c r="DB241">
        <f t="shared" si="4795"/>
        <v>5.4959999999999987</v>
      </c>
      <c r="DC241">
        <f t="shared" si="4796"/>
        <v>4.1999999999999996E-2</v>
      </c>
      <c r="DD241">
        <f t="shared" si="4797"/>
        <v>2.64</v>
      </c>
      <c r="DE241">
        <f t="shared" si="4798"/>
        <v>5.7</v>
      </c>
      <c r="DF241">
        <f t="shared" si="4799"/>
        <v>13.2</v>
      </c>
      <c r="DG241">
        <f t="shared" si="4800"/>
        <v>2.2200000000000002</v>
      </c>
      <c r="DH241">
        <f t="shared" si="4801"/>
        <v>2.4000000000000004E-2</v>
      </c>
      <c r="DI241">
        <f t="shared" si="4802"/>
        <v>0</v>
      </c>
      <c r="DJ241">
        <f t="shared" si="4803"/>
        <v>0</v>
      </c>
      <c r="DK241">
        <f t="shared" si="4804"/>
        <v>0</v>
      </c>
      <c r="DL241">
        <f t="shared" si="4805"/>
        <v>0</v>
      </c>
      <c r="DM241">
        <f t="shared" si="4806"/>
        <v>0</v>
      </c>
      <c r="DN241">
        <f t="shared" si="4807"/>
        <v>0</v>
      </c>
      <c r="DO241">
        <f t="shared" si="4808"/>
        <v>0</v>
      </c>
      <c r="DP241">
        <f t="shared" si="4809"/>
        <v>2.3999999999999998E-3</v>
      </c>
      <c r="DQ241">
        <f t="shared" si="4810"/>
        <v>2.3999999999999998E-3</v>
      </c>
      <c r="DR241">
        <f t="shared" si="4811"/>
        <v>0.24</v>
      </c>
      <c r="DS241">
        <f t="shared" si="4812"/>
        <v>4.1999999999999996E-2</v>
      </c>
      <c r="DT241">
        <f t="shared" si="4813"/>
        <v>7.1999999999999998E-3</v>
      </c>
      <c r="DU241">
        <f t="shared" si="4814"/>
        <v>0.6</v>
      </c>
      <c r="DV241">
        <f t="shared" si="4815"/>
        <v>0</v>
      </c>
      <c r="DW241">
        <f t="shared" si="4816"/>
        <v>0</v>
      </c>
      <c r="DX241">
        <f t="shared" si="4817"/>
        <v>0</v>
      </c>
      <c r="DY241">
        <f t="shared" si="4818"/>
        <v>68.88</v>
      </c>
      <c r="DZ241">
        <f t="shared" si="4819"/>
        <v>0</v>
      </c>
      <c r="EA241">
        <f t="shared" si="4820"/>
        <v>413.28</v>
      </c>
      <c r="EB241">
        <f t="shared" si="4821"/>
        <v>2.7600000000000003E-2</v>
      </c>
      <c r="EC241">
        <f t="shared" si="4822"/>
        <v>0</v>
      </c>
      <c r="ED241">
        <f t="shared" si="4823"/>
        <v>0</v>
      </c>
      <c r="EE241">
        <f t="shared" si="4824"/>
        <v>0</v>
      </c>
      <c r="EF241">
        <f t="shared" si="4825"/>
        <v>0</v>
      </c>
      <c r="EG241">
        <f t="shared" si="4826"/>
        <v>0</v>
      </c>
      <c r="EH241">
        <f t="shared" si="4827"/>
        <v>0</v>
      </c>
      <c r="EI241">
        <f t="shared" si="4828"/>
        <v>0</v>
      </c>
      <c r="EJ241">
        <f t="shared" si="4829"/>
        <v>0</v>
      </c>
      <c r="EK241">
        <f t="shared" si="4830"/>
        <v>0</v>
      </c>
      <c r="EL241">
        <f t="shared" si="4831"/>
        <v>0</v>
      </c>
      <c r="EM241">
        <f t="shared" si="4832"/>
        <v>0</v>
      </c>
      <c r="EN241">
        <f t="shared" si="4833"/>
        <v>0</v>
      </c>
      <c r="EO241">
        <f t="shared" si="4834"/>
        <v>0</v>
      </c>
      <c r="EP241">
        <f t="shared" si="4835"/>
        <v>0</v>
      </c>
      <c r="EQ241">
        <f t="shared" si="4836"/>
        <v>0</v>
      </c>
      <c r="ER241">
        <f t="shared" si="4837"/>
        <v>0</v>
      </c>
      <c r="ES241">
        <f t="shared" si="4838"/>
        <v>0</v>
      </c>
      <c r="ET241">
        <f t="shared" si="4839"/>
        <v>0</v>
      </c>
      <c r="EU241">
        <f t="shared" si="4840"/>
        <v>0</v>
      </c>
      <c r="EV241">
        <f t="shared" si="4841"/>
        <v>0</v>
      </c>
      <c r="EW241">
        <f t="shared" si="4842"/>
        <v>0</v>
      </c>
      <c r="EX241">
        <f t="shared" si="4843"/>
        <v>0</v>
      </c>
      <c r="EY241">
        <f t="shared" si="4844"/>
        <v>0</v>
      </c>
      <c r="EZ241">
        <f t="shared" si="4845"/>
        <v>0.72</v>
      </c>
      <c r="FA241">
        <f t="shared" si="4846"/>
        <v>2.46</v>
      </c>
      <c r="FB241">
        <f t="shared" si="4847"/>
        <v>2.64</v>
      </c>
      <c r="FC241">
        <f t="shared" si="4848"/>
        <v>2.76</v>
      </c>
      <c r="FD241">
        <f t="shared" si="4849"/>
        <v>2.58</v>
      </c>
      <c r="FE241">
        <f t="shared" si="4850"/>
        <v>0.42</v>
      </c>
      <c r="FF241">
        <f t="shared" si="4851"/>
        <v>0.54</v>
      </c>
      <c r="FG241">
        <f t="shared" si="4852"/>
        <v>2.04</v>
      </c>
      <c r="FH241">
        <f t="shared" si="4853"/>
        <v>1.26</v>
      </c>
      <c r="FI241">
        <f t="shared" si="4854"/>
        <v>2.82</v>
      </c>
      <c r="FJ241">
        <f t="shared" si="4855"/>
        <v>2.76</v>
      </c>
      <c r="FK241">
        <f t="shared" si="4856"/>
        <v>1.02</v>
      </c>
      <c r="FL241">
        <f t="shared" si="4857"/>
        <v>3.78</v>
      </c>
      <c r="FM241">
        <f t="shared" si="4858"/>
        <v>8.76</v>
      </c>
      <c r="FN241">
        <f t="shared" si="4859"/>
        <v>12.96</v>
      </c>
      <c r="FO241">
        <f t="shared" si="4860"/>
        <v>1.92</v>
      </c>
      <c r="FP241">
        <f t="shared" si="4861"/>
        <v>1.86</v>
      </c>
      <c r="FQ241">
        <f t="shared" si="4862"/>
        <v>2.2200000000000002</v>
      </c>
      <c r="FR241">
        <f t="shared" si="4863"/>
        <v>0</v>
      </c>
      <c r="FS241">
        <f t="shared" si="4864"/>
        <v>0</v>
      </c>
      <c r="FT241">
        <f t="shared" si="4865"/>
        <v>0</v>
      </c>
      <c r="FU241">
        <f t="shared" si="4866"/>
        <v>0</v>
      </c>
      <c r="FV241">
        <f t="shared" si="4867"/>
        <v>0</v>
      </c>
      <c r="FW241">
        <f t="shared" si="4868"/>
        <v>0</v>
      </c>
    </row>
    <row r="242" spans="1:179" x14ac:dyDescent="0.35">
      <c r="B242" s="72" t="s">
        <v>474</v>
      </c>
      <c r="C242" s="35">
        <v>10</v>
      </c>
      <c r="D242" s="54">
        <v>18</v>
      </c>
      <c r="E242" s="54">
        <v>76</v>
      </c>
      <c r="F242" s="54">
        <v>0.8</v>
      </c>
      <c r="G242" s="54">
        <v>0</v>
      </c>
      <c r="H242" s="54">
        <v>0.8</v>
      </c>
      <c r="I242" s="54">
        <v>0.1</v>
      </c>
      <c r="J242" s="54">
        <v>0</v>
      </c>
      <c r="K242" s="54">
        <v>0.1</v>
      </c>
      <c r="L242" s="54">
        <v>0</v>
      </c>
      <c r="M242" s="54">
        <v>2.9</v>
      </c>
      <c r="N242" s="51">
        <v>0.05</v>
      </c>
      <c r="O242" s="54">
        <v>2.9</v>
      </c>
      <c r="P242" s="54">
        <v>1.5</v>
      </c>
      <c r="Q242" s="54">
        <v>0</v>
      </c>
      <c r="R242" s="54">
        <v>93</v>
      </c>
      <c r="S242" s="54">
        <v>0.4</v>
      </c>
      <c r="T242" s="54">
        <v>30</v>
      </c>
      <c r="U242" s="54">
        <v>27</v>
      </c>
      <c r="V242" s="54">
        <v>220</v>
      </c>
      <c r="W242" s="54">
        <v>25</v>
      </c>
      <c r="X242" s="54">
        <v>0.3</v>
      </c>
      <c r="Y242" s="81">
        <v>0</v>
      </c>
      <c r="Z242" s="81">
        <v>0</v>
      </c>
      <c r="AA242" s="81">
        <v>0</v>
      </c>
      <c r="AB242" s="81">
        <v>0</v>
      </c>
      <c r="AC242" s="81">
        <v>0</v>
      </c>
      <c r="AD242" s="81">
        <v>0</v>
      </c>
      <c r="AE242" s="81">
        <v>0</v>
      </c>
      <c r="AF242" s="54">
        <v>0.03</v>
      </c>
      <c r="AG242" s="54">
        <v>0.02</v>
      </c>
      <c r="AH242" s="54">
        <v>24</v>
      </c>
      <c r="AI242" s="54">
        <v>0.5</v>
      </c>
      <c r="AJ242" s="54">
        <v>7.0000000000000007E-2</v>
      </c>
      <c r="AK242" s="54">
        <v>38</v>
      </c>
      <c r="AL242" s="81">
        <v>0</v>
      </c>
      <c r="AM242" s="81">
        <v>0</v>
      </c>
      <c r="AN242" s="81">
        <v>0</v>
      </c>
      <c r="AO242" s="54">
        <v>0</v>
      </c>
      <c r="AP242" s="54">
        <v>0</v>
      </c>
      <c r="AQ242" s="54">
        <v>0</v>
      </c>
      <c r="AR242" s="54">
        <v>0</v>
      </c>
      <c r="AS242" s="54">
        <v>0</v>
      </c>
      <c r="AT242" s="81">
        <v>0</v>
      </c>
      <c r="AU242" s="54">
        <v>0.03</v>
      </c>
      <c r="AV242" s="81">
        <v>0</v>
      </c>
      <c r="AW242" s="81">
        <v>0</v>
      </c>
      <c r="AX242" s="81">
        <v>0</v>
      </c>
      <c r="AY242" s="81">
        <v>0</v>
      </c>
      <c r="AZ242" s="81">
        <v>0</v>
      </c>
      <c r="BA242" s="81">
        <v>0</v>
      </c>
      <c r="BB242" s="81">
        <v>0</v>
      </c>
      <c r="BC242" s="54">
        <v>0.02</v>
      </c>
      <c r="BD242" s="82">
        <v>0</v>
      </c>
      <c r="BE242" s="82">
        <v>0</v>
      </c>
      <c r="BF242" s="54">
        <v>0.02</v>
      </c>
      <c r="BG242" s="82">
        <v>0</v>
      </c>
      <c r="BH242" s="82">
        <v>0</v>
      </c>
      <c r="BI242" s="54">
        <v>0.05</v>
      </c>
      <c r="BJ242" s="54">
        <v>0.02</v>
      </c>
      <c r="BK242" s="54">
        <v>0.03</v>
      </c>
      <c r="BL242" s="82">
        <v>0</v>
      </c>
      <c r="BM242" s="82">
        <v>0</v>
      </c>
      <c r="BN242" s="82">
        <v>0</v>
      </c>
      <c r="BO242" s="54">
        <v>0</v>
      </c>
      <c r="BP242" s="56">
        <v>4</v>
      </c>
      <c r="BQ242" s="56">
        <v>33</v>
      </c>
      <c r="BR242" s="56">
        <v>35</v>
      </c>
      <c r="BS242" s="56">
        <v>41</v>
      </c>
      <c r="BT242" s="56">
        <v>40</v>
      </c>
      <c r="BU242" s="56">
        <v>8</v>
      </c>
      <c r="BV242" s="56">
        <v>7</v>
      </c>
      <c r="BW242" s="56">
        <v>27</v>
      </c>
      <c r="BX242" s="56">
        <v>15</v>
      </c>
      <c r="BY242" s="56">
        <v>37</v>
      </c>
      <c r="BZ242" s="56">
        <v>47</v>
      </c>
      <c r="CA242" s="56">
        <v>15</v>
      </c>
      <c r="CB242" s="56">
        <v>25</v>
      </c>
      <c r="CC242" s="56">
        <v>55</v>
      </c>
      <c r="CD242" s="56">
        <v>151</v>
      </c>
      <c r="CE242" s="56">
        <v>25</v>
      </c>
      <c r="CF242" s="56">
        <v>20</v>
      </c>
      <c r="CG242" s="56">
        <v>24</v>
      </c>
      <c r="CH242" s="81">
        <v>0</v>
      </c>
      <c r="CI242" s="81">
        <v>0</v>
      </c>
      <c r="CJ242" s="83">
        <v>0</v>
      </c>
      <c r="CK242" s="81">
        <v>0</v>
      </c>
      <c r="CL242" s="81">
        <v>0</v>
      </c>
      <c r="CM242" s="83">
        <v>0</v>
      </c>
      <c r="CN242">
        <f t="shared" si="4781"/>
        <v>1.8</v>
      </c>
      <c r="CO242">
        <f t="shared" si="4782"/>
        <v>7.6</v>
      </c>
      <c r="CP242">
        <f t="shared" si="4783"/>
        <v>0.08</v>
      </c>
      <c r="CQ242">
        <f t="shared" si="4784"/>
        <v>0</v>
      </c>
      <c r="CR242">
        <f t="shared" si="4785"/>
        <v>0.08</v>
      </c>
      <c r="CS242">
        <f t="shared" si="4786"/>
        <v>0.01</v>
      </c>
      <c r="CT242">
        <f t="shared" si="4787"/>
        <v>0</v>
      </c>
      <c r="CU242">
        <f t="shared" si="4788"/>
        <v>0.01</v>
      </c>
      <c r="CV242">
        <f t="shared" si="4789"/>
        <v>0</v>
      </c>
      <c r="CW242">
        <f t="shared" si="4790"/>
        <v>0.28999999999999998</v>
      </c>
      <c r="CX242">
        <f t="shared" si="4791"/>
        <v>5.0000000000000001E-3</v>
      </c>
      <c r="CY242">
        <f t="shared" si="4792"/>
        <v>0.28999999999999998</v>
      </c>
      <c r="CZ242">
        <f t="shared" si="4793"/>
        <v>0.15</v>
      </c>
      <c r="DA242">
        <f t="shared" si="4794"/>
        <v>0</v>
      </c>
      <c r="DB242">
        <f t="shared" si="4795"/>
        <v>9.3000000000000007</v>
      </c>
      <c r="DC242">
        <f t="shared" si="4796"/>
        <v>0.04</v>
      </c>
      <c r="DD242">
        <f t="shared" si="4797"/>
        <v>3</v>
      </c>
      <c r="DE242">
        <f t="shared" si="4798"/>
        <v>2.7</v>
      </c>
      <c r="DF242">
        <f t="shared" si="4799"/>
        <v>22</v>
      </c>
      <c r="DG242">
        <f t="shared" si="4800"/>
        <v>2.5</v>
      </c>
      <c r="DH242">
        <f t="shared" si="4801"/>
        <v>0.03</v>
      </c>
      <c r="DI242">
        <f t="shared" si="4802"/>
        <v>0</v>
      </c>
      <c r="DJ242">
        <f t="shared" si="4803"/>
        <v>0</v>
      </c>
      <c r="DK242">
        <f t="shared" si="4804"/>
        <v>0</v>
      </c>
      <c r="DL242">
        <f t="shared" si="4805"/>
        <v>0</v>
      </c>
      <c r="DM242">
        <f t="shared" si="4806"/>
        <v>0</v>
      </c>
      <c r="DN242">
        <f t="shared" si="4807"/>
        <v>0</v>
      </c>
      <c r="DO242">
        <f t="shared" si="4808"/>
        <v>0</v>
      </c>
      <c r="DP242">
        <f t="shared" si="4809"/>
        <v>3.0000000000000001E-3</v>
      </c>
      <c r="DQ242">
        <f t="shared" si="4810"/>
        <v>2E-3</v>
      </c>
      <c r="DR242">
        <f t="shared" si="4811"/>
        <v>2.4</v>
      </c>
      <c r="DS242">
        <f t="shared" si="4812"/>
        <v>0.05</v>
      </c>
      <c r="DT242">
        <f t="shared" si="4813"/>
        <v>7.000000000000001E-3</v>
      </c>
      <c r="DU242">
        <f t="shared" si="4814"/>
        <v>3.8</v>
      </c>
      <c r="DV242">
        <f t="shared" si="4815"/>
        <v>0</v>
      </c>
      <c r="DW242">
        <f t="shared" si="4816"/>
        <v>0</v>
      </c>
      <c r="DX242">
        <f t="shared" si="4817"/>
        <v>0</v>
      </c>
      <c r="DY242">
        <f t="shared" si="4818"/>
        <v>0</v>
      </c>
      <c r="DZ242">
        <f t="shared" si="4819"/>
        <v>0</v>
      </c>
      <c r="EA242">
        <f t="shared" si="4820"/>
        <v>0</v>
      </c>
      <c r="EB242">
        <f t="shared" si="4821"/>
        <v>0</v>
      </c>
      <c r="EC242">
        <f t="shared" si="4822"/>
        <v>0</v>
      </c>
      <c r="ED242">
        <f t="shared" si="4823"/>
        <v>0</v>
      </c>
      <c r="EE242">
        <f t="shared" si="4824"/>
        <v>3.0000000000000001E-3</v>
      </c>
      <c r="EF242">
        <f t="shared" si="4825"/>
        <v>0</v>
      </c>
      <c r="EG242">
        <f t="shared" si="4826"/>
        <v>0</v>
      </c>
      <c r="EH242">
        <f t="shared" si="4827"/>
        <v>0</v>
      </c>
      <c r="EI242">
        <f t="shared" si="4828"/>
        <v>0</v>
      </c>
      <c r="EJ242">
        <f t="shared" si="4829"/>
        <v>0</v>
      </c>
      <c r="EK242">
        <f t="shared" si="4830"/>
        <v>0</v>
      </c>
      <c r="EL242">
        <f t="shared" si="4831"/>
        <v>0</v>
      </c>
      <c r="EM242">
        <f t="shared" si="4832"/>
        <v>2E-3</v>
      </c>
      <c r="EN242">
        <f t="shared" si="4833"/>
        <v>0</v>
      </c>
      <c r="EO242">
        <f t="shared" si="4834"/>
        <v>0</v>
      </c>
      <c r="EP242">
        <f t="shared" si="4835"/>
        <v>2E-3</v>
      </c>
      <c r="EQ242">
        <f t="shared" si="4836"/>
        <v>0</v>
      </c>
      <c r="ER242">
        <f t="shared" si="4837"/>
        <v>0</v>
      </c>
      <c r="ES242">
        <f t="shared" si="4838"/>
        <v>5.0000000000000001E-3</v>
      </c>
      <c r="ET242">
        <f t="shared" si="4839"/>
        <v>2E-3</v>
      </c>
      <c r="EU242">
        <f t="shared" si="4840"/>
        <v>3.0000000000000001E-3</v>
      </c>
      <c r="EV242">
        <f t="shared" si="4841"/>
        <v>0</v>
      </c>
      <c r="EW242">
        <f t="shared" si="4842"/>
        <v>0</v>
      </c>
      <c r="EX242">
        <f t="shared" si="4843"/>
        <v>0</v>
      </c>
      <c r="EY242">
        <f t="shared" si="4844"/>
        <v>0</v>
      </c>
      <c r="EZ242">
        <f t="shared" si="4845"/>
        <v>0.4</v>
      </c>
      <c r="FA242">
        <f t="shared" si="4846"/>
        <v>3.3</v>
      </c>
      <c r="FB242">
        <f t="shared" si="4847"/>
        <v>3.5</v>
      </c>
      <c r="FC242">
        <f t="shared" si="4848"/>
        <v>4.0999999999999996</v>
      </c>
      <c r="FD242">
        <f t="shared" si="4849"/>
        <v>4</v>
      </c>
      <c r="FE242">
        <f t="shared" si="4850"/>
        <v>0.8</v>
      </c>
      <c r="FF242">
        <f t="shared" si="4851"/>
        <v>0.7</v>
      </c>
      <c r="FG242">
        <f t="shared" si="4852"/>
        <v>2.7</v>
      </c>
      <c r="FH242">
        <f t="shared" si="4853"/>
        <v>1.5</v>
      </c>
      <c r="FI242">
        <f t="shared" si="4854"/>
        <v>3.7</v>
      </c>
      <c r="FJ242">
        <f t="shared" si="4855"/>
        <v>4.7</v>
      </c>
      <c r="FK242">
        <f t="shared" si="4856"/>
        <v>1.5</v>
      </c>
      <c r="FL242">
        <f t="shared" si="4857"/>
        <v>2.5</v>
      </c>
      <c r="FM242">
        <f t="shared" si="4858"/>
        <v>5.5</v>
      </c>
      <c r="FN242">
        <f t="shared" si="4859"/>
        <v>15.1</v>
      </c>
      <c r="FO242">
        <f t="shared" si="4860"/>
        <v>2.5</v>
      </c>
      <c r="FP242">
        <f t="shared" si="4861"/>
        <v>2</v>
      </c>
      <c r="FQ242">
        <f t="shared" si="4862"/>
        <v>2.4</v>
      </c>
      <c r="FR242">
        <f t="shared" si="4863"/>
        <v>0</v>
      </c>
      <c r="FS242">
        <f t="shared" si="4864"/>
        <v>0</v>
      </c>
      <c r="FT242">
        <f t="shared" si="4865"/>
        <v>0</v>
      </c>
      <c r="FU242">
        <f t="shared" si="4866"/>
        <v>0</v>
      </c>
      <c r="FV242">
        <f t="shared" si="4867"/>
        <v>0</v>
      </c>
      <c r="FW242">
        <f t="shared" si="4868"/>
        <v>0</v>
      </c>
    </row>
    <row r="243" spans="1:179" x14ac:dyDescent="0.35">
      <c r="B243" s="73" t="s">
        <v>406</v>
      </c>
      <c r="C243">
        <v>2</v>
      </c>
      <c r="D243" s="48">
        <v>80</v>
      </c>
      <c r="E243" s="48">
        <v>333</v>
      </c>
      <c r="F243" s="48">
        <v>1.82</v>
      </c>
      <c r="G243" s="49">
        <v>0</v>
      </c>
      <c r="H243" s="49">
        <v>1.82</v>
      </c>
      <c r="I243" s="48">
        <v>0.75</v>
      </c>
      <c r="J243" s="49">
        <v>0</v>
      </c>
      <c r="K243" s="49">
        <v>0.75</v>
      </c>
      <c r="L243" s="48">
        <v>0</v>
      </c>
      <c r="M243" s="50">
        <v>5.0999999999999996</v>
      </c>
      <c r="N243" s="50">
        <v>3.4</v>
      </c>
      <c r="O243" s="48">
        <v>1.7</v>
      </c>
      <c r="P243" s="48">
        <v>2</v>
      </c>
      <c r="Q243" s="48">
        <v>0</v>
      </c>
      <c r="R243" s="48">
        <v>78.900000000000006</v>
      </c>
      <c r="S243" s="48">
        <v>0.6</v>
      </c>
      <c r="T243" s="48">
        <v>16</v>
      </c>
      <c r="U243" s="48">
        <v>13</v>
      </c>
      <c r="V243" s="48">
        <v>415</v>
      </c>
      <c r="W243" s="48">
        <v>34</v>
      </c>
      <c r="X243" s="48">
        <v>0.34</v>
      </c>
      <c r="Y243" s="48">
        <v>43</v>
      </c>
      <c r="Z243" s="48">
        <v>0.22600000000000001</v>
      </c>
      <c r="AA243" s="48">
        <v>0.7</v>
      </c>
      <c r="AB243" s="50">
        <v>73</v>
      </c>
      <c r="AC243" s="50">
        <v>0.69</v>
      </c>
      <c r="AD243" s="48">
        <v>0.22900000000000001</v>
      </c>
      <c r="AE243" s="46">
        <v>0.5</v>
      </c>
      <c r="AF243" s="48">
        <v>2.5000000000000001E-2</v>
      </c>
      <c r="AG243" s="48">
        <v>3.4000000000000002E-2</v>
      </c>
      <c r="AH243" s="48">
        <v>5</v>
      </c>
      <c r="AI243" s="48">
        <v>0.75</v>
      </c>
      <c r="AJ243" s="48">
        <v>0.16</v>
      </c>
      <c r="AK243" s="48">
        <v>11</v>
      </c>
      <c r="AL243" s="48">
        <v>0.20300000000000001</v>
      </c>
      <c r="AM243" s="46">
        <v>0.05</v>
      </c>
      <c r="AN243" s="48">
        <v>0</v>
      </c>
      <c r="AO243" s="48">
        <v>0</v>
      </c>
      <c r="AP243" s="48">
        <v>0</v>
      </c>
      <c r="AQ243" s="48">
        <v>0</v>
      </c>
      <c r="AR243" s="48">
        <v>0.26</v>
      </c>
      <c r="AS243" s="48">
        <v>0</v>
      </c>
      <c r="AT243" s="48">
        <v>0.1</v>
      </c>
      <c r="AU243" s="48">
        <v>0.20300000000000001</v>
      </c>
      <c r="AV243" s="44">
        <v>7.0000000000000001E-3</v>
      </c>
      <c r="AW243" s="48">
        <v>3.9E-2</v>
      </c>
      <c r="AX243" s="48">
        <v>1.7999999999999999E-2</v>
      </c>
      <c r="AY243" s="48">
        <v>0.12</v>
      </c>
      <c r="AZ243" s="48">
        <v>1.7000000000000001E-2</v>
      </c>
      <c r="BA243" s="43">
        <v>1.0000000000000009E-3</v>
      </c>
      <c r="BB243" s="43">
        <v>1.0000000000000009E-3</v>
      </c>
      <c r="BC243" s="48">
        <v>0.154</v>
      </c>
      <c r="BD243" s="43">
        <v>7.0000000000000001E-3</v>
      </c>
      <c r="BE243" s="48">
        <v>2.1000000000000001E-2</v>
      </c>
      <c r="BF243" s="48">
        <v>0.11899999999999999</v>
      </c>
      <c r="BG243" s="48">
        <v>7.0000000000000001E-3</v>
      </c>
      <c r="BH243" s="48">
        <v>0</v>
      </c>
      <c r="BI243" s="48">
        <v>0.154</v>
      </c>
      <c r="BJ243" s="43">
        <v>0</v>
      </c>
      <c r="BK243" s="43">
        <v>0</v>
      </c>
      <c r="BL243" s="48">
        <v>0</v>
      </c>
      <c r="BM243" s="48">
        <v>0</v>
      </c>
      <c r="BN243" s="48">
        <v>0</v>
      </c>
      <c r="BO243" s="44">
        <v>0.154</v>
      </c>
      <c r="BP243" s="48">
        <v>1.2E-2</v>
      </c>
      <c r="BQ243" s="48">
        <v>3.5999999999999997E-2</v>
      </c>
      <c r="BR243" s="48">
        <v>5.0999999999999997E-2</v>
      </c>
      <c r="BS243" s="48">
        <v>7.3999999999999996E-2</v>
      </c>
      <c r="BT243" s="48">
        <v>5.7000000000000002E-2</v>
      </c>
      <c r="BU243" s="48">
        <v>1.2999999999999999E-2</v>
      </c>
      <c r="BV243" s="48">
        <v>8.0000000000000002E-3</v>
      </c>
      <c r="BW243" s="48">
        <v>4.4999999999999998E-2</v>
      </c>
      <c r="BX243" s="48">
        <v>0.02</v>
      </c>
      <c r="BY243" s="48">
        <v>7.2999999999999995E-2</v>
      </c>
      <c r="BZ243" s="48">
        <v>4.2999999999999997E-2</v>
      </c>
      <c r="CA243" s="48">
        <v>0.03</v>
      </c>
      <c r="CB243" s="48">
        <v>3.1E-2</v>
      </c>
      <c r="CC243" s="48">
        <v>0.20799999999999999</v>
      </c>
      <c r="CD243" s="48">
        <v>0.16200000000000001</v>
      </c>
      <c r="CE243" s="48">
        <v>4.2999999999999997E-2</v>
      </c>
      <c r="CF243" s="48">
        <v>4.1000000000000002E-2</v>
      </c>
      <c r="CG243" s="48">
        <v>4.4999999999999998E-2</v>
      </c>
      <c r="CH243" s="50">
        <v>0.8</v>
      </c>
      <c r="CI243" s="50">
        <v>0.9</v>
      </c>
      <c r="CJ243" s="47">
        <v>0</v>
      </c>
      <c r="CK243" s="50">
        <v>0</v>
      </c>
      <c r="CL243" s="50">
        <v>0</v>
      </c>
      <c r="CM243" s="47">
        <v>0</v>
      </c>
      <c r="CN243">
        <f t="shared" si="4781"/>
        <v>1.6</v>
      </c>
      <c r="CO243">
        <f t="shared" si="4782"/>
        <v>6.66</v>
      </c>
      <c r="CP243">
        <f t="shared" si="4783"/>
        <v>3.6400000000000002E-2</v>
      </c>
      <c r="CQ243">
        <f t="shared" si="4784"/>
        <v>0</v>
      </c>
      <c r="CR243">
        <f t="shared" si="4785"/>
        <v>3.6400000000000002E-2</v>
      </c>
      <c r="CS243">
        <f t="shared" si="4786"/>
        <v>1.4999999999999999E-2</v>
      </c>
      <c r="CT243">
        <f t="shared" si="4787"/>
        <v>0</v>
      </c>
      <c r="CU243">
        <f t="shared" si="4788"/>
        <v>1.4999999999999999E-2</v>
      </c>
      <c r="CV243">
        <f t="shared" si="4789"/>
        <v>0</v>
      </c>
      <c r="CW243">
        <f t="shared" si="4790"/>
        <v>0.10199999999999999</v>
      </c>
      <c r="CX243">
        <f t="shared" si="4791"/>
        <v>6.8000000000000005E-2</v>
      </c>
      <c r="CY243">
        <f t="shared" si="4792"/>
        <v>3.4000000000000002E-2</v>
      </c>
      <c r="CZ243">
        <f t="shared" si="4793"/>
        <v>0.04</v>
      </c>
      <c r="DA243">
        <f t="shared" si="4794"/>
        <v>0</v>
      </c>
      <c r="DB243">
        <f t="shared" si="4795"/>
        <v>1.5780000000000001</v>
      </c>
      <c r="DC243">
        <f t="shared" si="4796"/>
        <v>1.2E-2</v>
      </c>
      <c r="DD243">
        <f t="shared" si="4797"/>
        <v>0.32</v>
      </c>
      <c r="DE243">
        <f t="shared" si="4798"/>
        <v>0.26</v>
      </c>
      <c r="DF243">
        <f t="shared" si="4799"/>
        <v>8.3000000000000007</v>
      </c>
      <c r="DG243">
        <f t="shared" si="4800"/>
        <v>0.68</v>
      </c>
      <c r="DH243">
        <f t="shared" si="4801"/>
        <v>6.8000000000000005E-3</v>
      </c>
      <c r="DI243">
        <f t="shared" si="4802"/>
        <v>0.86</v>
      </c>
      <c r="DJ243">
        <f t="shared" si="4803"/>
        <v>4.5199999999999997E-3</v>
      </c>
      <c r="DK243">
        <f t="shared" si="4804"/>
        <v>1.3999999999999999E-2</v>
      </c>
      <c r="DL243">
        <f t="shared" si="4805"/>
        <v>1.46</v>
      </c>
      <c r="DM243">
        <f t="shared" si="4806"/>
        <v>1.38E-2</v>
      </c>
      <c r="DN243">
        <f t="shared" si="4807"/>
        <v>4.5799999999999999E-3</v>
      </c>
      <c r="DO243">
        <f t="shared" si="4808"/>
        <v>0.01</v>
      </c>
      <c r="DP243">
        <f t="shared" si="4809"/>
        <v>5.0000000000000001E-4</v>
      </c>
      <c r="DQ243">
        <f t="shared" si="4810"/>
        <v>6.8000000000000005E-4</v>
      </c>
      <c r="DR243">
        <f t="shared" si="4811"/>
        <v>0.1</v>
      </c>
      <c r="DS243">
        <f t="shared" si="4812"/>
        <v>1.4999999999999999E-2</v>
      </c>
      <c r="DT243">
        <f t="shared" si="4813"/>
        <v>3.2000000000000002E-3</v>
      </c>
      <c r="DU243">
        <f t="shared" si="4814"/>
        <v>0.22</v>
      </c>
      <c r="DV243">
        <f t="shared" si="4815"/>
        <v>4.0600000000000002E-3</v>
      </c>
      <c r="DW243">
        <f t="shared" si="4816"/>
        <v>1E-3</v>
      </c>
      <c r="DX243">
        <f t="shared" si="4817"/>
        <v>0</v>
      </c>
      <c r="DY243">
        <f t="shared" si="4818"/>
        <v>0</v>
      </c>
      <c r="DZ243">
        <f t="shared" si="4819"/>
        <v>0</v>
      </c>
      <c r="EA243">
        <f t="shared" si="4820"/>
        <v>0</v>
      </c>
      <c r="EB243">
        <f t="shared" si="4821"/>
        <v>5.1999999999999998E-3</v>
      </c>
      <c r="EC243">
        <f t="shared" si="4822"/>
        <v>0</v>
      </c>
      <c r="ED243">
        <f t="shared" si="4823"/>
        <v>2E-3</v>
      </c>
      <c r="EE243">
        <f t="shared" si="4824"/>
        <v>4.0600000000000002E-3</v>
      </c>
      <c r="EF243">
        <f t="shared" si="4825"/>
        <v>1.4000000000000001E-4</v>
      </c>
      <c r="EG243">
        <f t="shared" si="4826"/>
        <v>7.7999999999999999E-4</v>
      </c>
      <c r="EH243">
        <f t="shared" si="4827"/>
        <v>3.5999999999999997E-4</v>
      </c>
      <c r="EI243">
        <f t="shared" si="4828"/>
        <v>2.3999999999999998E-3</v>
      </c>
      <c r="EJ243">
        <f t="shared" si="4829"/>
        <v>3.4000000000000002E-4</v>
      </c>
      <c r="EK243">
        <f t="shared" si="4830"/>
        <v>2.0000000000000019E-5</v>
      </c>
      <c r="EL243">
        <f t="shared" si="4831"/>
        <v>2.0000000000000019E-5</v>
      </c>
      <c r="EM243">
        <f t="shared" si="4832"/>
        <v>3.0799999999999998E-3</v>
      </c>
      <c r="EN243">
        <f t="shared" si="4833"/>
        <v>1.4000000000000001E-4</v>
      </c>
      <c r="EO243">
        <f t="shared" si="4834"/>
        <v>4.2000000000000002E-4</v>
      </c>
      <c r="EP243">
        <f t="shared" si="4835"/>
        <v>2.3799999999999997E-3</v>
      </c>
      <c r="EQ243">
        <f t="shared" si="4836"/>
        <v>1.4000000000000001E-4</v>
      </c>
      <c r="ER243">
        <f t="shared" si="4837"/>
        <v>0</v>
      </c>
      <c r="ES243">
        <f t="shared" si="4838"/>
        <v>3.0799999999999998E-3</v>
      </c>
      <c r="ET243">
        <f t="shared" si="4839"/>
        <v>0</v>
      </c>
      <c r="EU243">
        <f t="shared" si="4840"/>
        <v>0</v>
      </c>
      <c r="EV243">
        <f t="shared" si="4841"/>
        <v>0</v>
      </c>
      <c r="EW243">
        <f t="shared" si="4842"/>
        <v>0</v>
      </c>
      <c r="EX243">
        <f t="shared" si="4843"/>
        <v>0</v>
      </c>
      <c r="EY243">
        <f t="shared" si="4844"/>
        <v>3.0799999999999998E-3</v>
      </c>
      <c r="EZ243">
        <f t="shared" si="4845"/>
        <v>2.4000000000000001E-4</v>
      </c>
      <c r="FA243">
        <f t="shared" si="4846"/>
        <v>7.1999999999999994E-4</v>
      </c>
      <c r="FB243">
        <f t="shared" si="4847"/>
        <v>1.0199999999999999E-3</v>
      </c>
      <c r="FC243">
        <f t="shared" si="4848"/>
        <v>1.48E-3</v>
      </c>
      <c r="FD243">
        <f t="shared" si="4849"/>
        <v>1.14E-3</v>
      </c>
      <c r="FE243">
        <f t="shared" si="4850"/>
        <v>2.5999999999999998E-4</v>
      </c>
      <c r="FF243">
        <f t="shared" si="4851"/>
        <v>1.6000000000000001E-4</v>
      </c>
      <c r="FG243">
        <f t="shared" si="4852"/>
        <v>8.9999999999999998E-4</v>
      </c>
      <c r="FH243">
        <f t="shared" si="4853"/>
        <v>4.0000000000000002E-4</v>
      </c>
      <c r="FI243">
        <f t="shared" si="4854"/>
        <v>1.4599999999999999E-3</v>
      </c>
      <c r="FJ243">
        <f t="shared" si="4855"/>
        <v>8.5999999999999998E-4</v>
      </c>
      <c r="FK243">
        <f t="shared" si="4856"/>
        <v>5.9999999999999995E-4</v>
      </c>
      <c r="FL243">
        <f t="shared" si="4857"/>
        <v>6.2E-4</v>
      </c>
      <c r="FM243">
        <f t="shared" si="4858"/>
        <v>4.1599999999999996E-3</v>
      </c>
      <c r="FN243">
        <f t="shared" si="4859"/>
        <v>3.2400000000000003E-3</v>
      </c>
      <c r="FO243">
        <f t="shared" si="4860"/>
        <v>8.5999999999999998E-4</v>
      </c>
      <c r="FP243">
        <f t="shared" si="4861"/>
        <v>8.1999999999999998E-4</v>
      </c>
      <c r="FQ243">
        <f t="shared" si="4862"/>
        <v>8.9999999999999998E-4</v>
      </c>
      <c r="FR243">
        <f t="shared" si="4863"/>
        <v>1.6E-2</v>
      </c>
      <c r="FS243">
        <f t="shared" si="4864"/>
        <v>1.8000000000000002E-2</v>
      </c>
      <c r="FT243">
        <f t="shared" si="4865"/>
        <v>0</v>
      </c>
      <c r="FU243">
        <f t="shared" si="4866"/>
        <v>0</v>
      </c>
      <c r="FV243">
        <f t="shared" si="4867"/>
        <v>0</v>
      </c>
      <c r="FW243">
        <f t="shared" si="4868"/>
        <v>0</v>
      </c>
    </row>
    <row r="244" spans="1:179" x14ac:dyDescent="0.35">
      <c r="B244" s="72" t="s">
        <v>463</v>
      </c>
      <c r="C244">
        <v>1</v>
      </c>
      <c r="D244" s="54">
        <v>27</v>
      </c>
      <c r="E244" s="54">
        <v>112</v>
      </c>
      <c r="F244" s="54">
        <v>2.8</v>
      </c>
      <c r="G244" s="54">
        <v>0</v>
      </c>
      <c r="H244" s="54">
        <v>2.8</v>
      </c>
      <c r="I244" s="54">
        <v>0.6</v>
      </c>
      <c r="J244" s="54">
        <v>0</v>
      </c>
      <c r="K244" s="54">
        <v>0.6</v>
      </c>
      <c r="L244" s="54">
        <v>0</v>
      </c>
      <c r="M244" s="54">
        <v>1.7</v>
      </c>
      <c r="N244" s="51">
        <v>0.05</v>
      </c>
      <c r="O244" s="54">
        <v>1.7</v>
      </c>
      <c r="P244" s="54">
        <v>1.9</v>
      </c>
      <c r="Q244" s="54">
        <v>0</v>
      </c>
      <c r="R244" s="54">
        <v>91</v>
      </c>
      <c r="S244" s="54">
        <v>1.6</v>
      </c>
      <c r="T244" s="54">
        <v>85</v>
      </c>
      <c r="U244" s="54">
        <v>5</v>
      </c>
      <c r="V244" s="54">
        <v>230</v>
      </c>
      <c r="W244" s="54">
        <v>50</v>
      </c>
      <c r="X244" s="54">
        <v>0.4</v>
      </c>
      <c r="Y244" s="54">
        <v>30</v>
      </c>
      <c r="Z244" s="54">
        <v>0.16</v>
      </c>
      <c r="AA244" s="51">
        <v>0.05</v>
      </c>
      <c r="AB244" s="54">
        <v>74</v>
      </c>
      <c r="AC244" s="54">
        <v>4.2</v>
      </c>
      <c r="AD244" s="54">
        <v>0.373</v>
      </c>
      <c r="AE244" s="54">
        <v>50</v>
      </c>
      <c r="AF244" s="54">
        <v>0.1</v>
      </c>
      <c r="AG244" s="54">
        <v>0.18</v>
      </c>
      <c r="AH244" s="54">
        <v>45</v>
      </c>
      <c r="AI244" s="54">
        <v>0.7</v>
      </c>
      <c r="AJ244" s="54">
        <v>0.2</v>
      </c>
      <c r="AK244" s="54">
        <v>105</v>
      </c>
      <c r="AL244" s="54">
        <v>0.18</v>
      </c>
      <c r="AM244" s="54">
        <v>0.4</v>
      </c>
      <c r="AN244" s="54">
        <v>0</v>
      </c>
      <c r="AO244" s="54">
        <v>383</v>
      </c>
      <c r="AP244" s="54">
        <v>0</v>
      </c>
      <c r="AQ244" s="54">
        <v>2300</v>
      </c>
      <c r="AR244" s="54">
        <v>1.6</v>
      </c>
      <c r="AS244" s="54">
        <v>0</v>
      </c>
      <c r="AT244" s="54">
        <v>380</v>
      </c>
      <c r="AU244" s="54">
        <v>0.12</v>
      </c>
      <c r="AV244" s="81">
        <v>0</v>
      </c>
      <c r="AW244" s="81">
        <v>0</v>
      </c>
      <c r="AX244" s="81">
        <v>0</v>
      </c>
      <c r="AY244" s="81">
        <v>0</v>
      </c>
      <c r="AZ244" s="81">
        <v>0</v>
      </c>
      <c r="BA244" s="81">
        <v>0</v>
      </c>
      <c r="BB244" s="81">
        <v>0</v>
      </c>
      <c r="BC244" s="54">
        <v>0.08</v>
      </c>
      <c r="BD244" s="82">
        <v>0</v>
      </c>
      <c r="BE244" s="82">
        <v>0</v>
      </c>
      <c r="BF244" s="54">
        <v>0.08</v>
      </c>
      <c r="BG244" s="82">
        <v>0</v>
      </c>
      <c r="BH244" s="82">
        <v>0</v>
      </c>
      <c r="BI244" s="54">
        <v>0.22</v>
      </c>
      <c r="BJ244" s="54">
        <v>0.21</v>
      </c>
      <c r="BK244" s="54">
        <v>0.01</v>
      </c>
      <c r="BL244" s="82">
        <v>0</v>
      </c>
      <c r="BM244" s="82">
        <v>0</v>
      </c>
      <c r="BN244" s="82">
        <v>0</v>
      </c>
      <c r="BO244" s="54">
        <v>0</v>
      </c>
      <c r="BP244" s="56">
        <v>32</v>
      </c>
      <c r="BQ244" s="56">
        <v>110</v>
      </c>
      <c r="BR244" s="56">
        <v>119</v>
      </c>
      <c r="BS244" s="56">
        <v>167</v>
      </c>
      <c r="BT244" s="56">
        <v>140</v>
      </c>
      <c r="BU244" s="56">
        <v>31</v>
      </c>
      <c r="BV244" s="88">
        <v>0</v>
      </c>
      <c r="BW244" s="56">
        <v>90</v>
      </c>
      <c r="BX244" s="56">
        <v>81</v>
      </c>
      <c r="BY244" s="56">
        <v>124</v>
      </c>
      <c r="BZ244" s="56">
        <v>203</v>
      </c>
      <c r="CA244" s="56">
        <v>49</v>
      </c>
      <c r="CB244" s="56">
        <v>127</v>
      </c>
      <c r="CC244" s="56">
        <v>259</v>
      </c>
      <c r="CD244" s="56">
        <v>580</v>
      </c>
      <c r="CE244" s="56">
        <v>139</v>
      </c>
      <c r="CF244" s="56">
        <v>185</v>
      </c>
      <c r="CG244" s="56">
        <v>127</v>
      </c>
      <c r="CH244" s="54">
        <v>0.8</v>
      </c>
      <c r="CI244" s="54">
        <v>0.9</v>
      </c>
      <c r="CJ244" s="54">
        <v>0</v>
      </c>
      <c r="CK244" s="51">
        <v>0.05</v>
      </c>
      <c r="CL244" s="54">
        <v>0</v>
      </c>
      <c r="CM244" s="54">
        <v>0</v>
      </c>
      <c r="CN244">
        <f t="shared" si="4781"/>
        <v>0.27</v>
      </c>
      <c r="CO244">
        <f t="shared" si="4782"/>
        <v>1.1200000000000001</v>
      </c>
      <c r="CP244">
        <f t="shared" si="4783"/>
        <v>2.7999999999999997E-2</v>
      </c>
      <c r="CQ244">
        <f t="shared" si="4784"/>
        <v>0</v>
      </c>
      <c r="CR244">
        <f t="shared" si="4785"/>
        <v>2.7999999999999997E-2</v>
      </c>
      <c r="CS244">
        <f t="shared" si="4786"/>
        <v>6.0000000000000001E-3</v>
      </c>
      <c r="CT244">
        <f t="shared" si="4787"/>
        <v>0</v>
      </c>
      <c r="CU244">
        <f t="shared" si="4788"/>
        <v>6.0000000000000001E-3</v>
      </c>
      <c r="CV244">
        <f t="shared" si="4789"/>
        <v>0</v>
      </c>
      <c r="CW244">
        <f t="shared" si="4790"/>
        <v>1.7000000000000001E-2</v>
      </c>
      <c r="CX244">
        <f t="shared" si="4791"/>
        <v>5.0000000000000001E-4</v>
      </c>
      <c r="CY244">
        <f t="shared" si="4792"/>
        <v>1.7000000000000001E-2</v>
      </c>
      <c r="CZ244">
        <f t="shared" si="4793"/>
        <v>1.9E-2</v>
      </c>
      <c r="DA244">
        <f t="shared" si="4794"/>
        <v>0</v>
      </c>
      <c r="DB244">
        <f t="shared" si="4795"/>
        <v>0.91</v>
      </c>
      <c r="DC244">
        <f t="shared" si="4796"/>
        <v>1.6E-2</v>
      </c>
      <c r="DD244">
        <f t="shared" si="4797"/>
        <v>0.85</v>
      </c>
      <c r="DE244">
        <f t="shared" si="4798"/>
        <v>0.05</v>
      </c>
      <c r="DF244">
        <f t="shared" si="4799"/>
        <v>2.2999999999999998</v>
      </c>
      <c r="DG244">
        <f t="shared" si="4800"/>
        <v>0.5</v>
      </c>
      <c r="DH244">
        <f t="shared" si="4801"/>
        <v>4.0000000000000001E-3</v>
      </c>
      <c r="DI244">
        <f t="shared" si="4802"/>
        <v>0.3</v>
      </c>
      <c r="DJ244">
        <f t="shared" si="4803"/>
        <v>1.6000000000000001E-3</v>
      </c>
      <c r="DK244">
        <f t="shared" si="4804"/>
        <v>5.0000000000000001E-4</v>
      </c>
      <c r="DL244">
        <f t="shared" si="4805"/>
        <v>0.74</v>
      </c>
      <c r="DM244">
        <f t="shared" si="4806"/>
        <v>4.2000000000000003E-2</v>
      </c>
      <c r="DN244">
        <f t="shared" si="4807"/>
        <v>3.7299999999999998E-3</v>
      </c>
      <c r="DO244">
        <f t="shared" si="4808"/>
        <v>0.5</v>
      </c>
      <c r="DP244">
        <f t="shared" si="4809"/>
        <v>1E-3</v>
      </c>
      <c r="DQ244">
        <f t="shared" si="4810"/>
        <v>1.8E-3</v>
      </c>
      <c r="DR244">
        <f t="shared" si="4811"/>
        <v>0.45</v>
      </c>
      <c r="DS244">
        <f t="shared" si="4812"/>
        <v>6.9999999999999993E-3</v>
      </c>
      <c r="DT244">
        <f t="shared" si="4813"/>
        <v>2E-3</v>
      </c>
      <c r="DU244">
        <f t="shared" si="4814"/>
        <v>1.05</v>
      </c>
      <c r="DV244">
        <f t="shared" si="4815"/>
        <v>1.8E-3</v>
      </c>
      <c r="DW244">
        <f t="shared" si="4816"/>
        <v>4.0000000000000001E-3</v>
      </c>
      <c r="DX244">
        <f t="shared" si="4817"/>
        <v>0</v>
      </c>
      <c r="DY244">
        <f t="shared" si="4818"/>
        <v>3.83</v>
      </c>
      <c r="DZ244">
        <f t="shared" si="4819"/>
        <v>0</v>
      </c>
      <c r="EA244">
        <f t="shared" si="4820"/>
        <v>23</v>
      </c>
      <c r="EB244">
        <f t="shared" si="4821"/>
        <v>1.6E-2</v>
      </c>
      <c r="EC244">
        <f t="shared" si="4822"/>
        <v>0</v>
      </c>
      <c r="ED244">
        <f t="shared" si="4823"/>
        <v>3.8</v>
      </c>
      <c r="EE244">
        <f t="shared" si="4824"/>
        <v>1.1999999999999999E-3</v>
      </c>
      <c r="EF244">
        <f t="shared" si="4825"/>
        <v>0</v>
      </c>
      <c r="EG244">
        <f t="shared" si="4826"/>
        <v>0</v>
      </c>
      <c r="EH244">
        <f t="shared" si="4827"/>
        <v>0</v>
      </c>
      <c r="EI244">
        <f t="shared" si="4828"/>
        <v>0</v>
      </c>
      <c r="EJ244">
        <f t="shared" si="4829"/>
        <v>0</v>
      </c>
      <c r="EK244">
        <f t="shared" si="4830"/>
        <v>0</v>
      </c>
      <c r="EL244">
        <f t="shared" si="4831"/>
        <v>0</v>
      </c>
      <c r="EM244">
        <f t="shared" si="4832"/>
        <v>8.0000000000000004E-4</v>
      </c>
      <c r="EN244">
        <f t="shared" si="4833"/>
        <v>0</v>
      </c>
      <c r="EO244">
        <f t="shared" si="4834"/>
        <v>0</v>
      </c>
      <c r="EP244">
        <f t="shared" si="4835"/>
        <v>8.0000000000000004E-4</v>
      </c>
      <c r="EQ244">
        <f t="shared" si="4836"/>
        <v>0</v>
      </c>
      <c r="ER244">
        <f t="shared" si="4837"/>
        <v>0</v>
      </c>
      <c r="ES244">
        <f t="shared" si="4838"/>
        <v>2.2000000000000001E-3</v>
      </c>
      <c r="ET244">
        <f t="shared" si="4839"/>
        <v>2.0999999999999999E-3</v>
      </c>
      <c r="EU244">
        <f t="shared" si="4840"/>
        <v>1E-4</v>
      </c>
      <c r="EV244">
        <f t="shared" si="4841"/>
        <v>0</v>
      </c>
      <c r="EW244">
        <f t="shared" si="4842"/>
        <v>0</v>
      </c>
      <c r="EX244">
        <f t="shared" si="4843"/>
        <v>0</v>
      </c>
      <c r="EY244">
        <f t="shared" si="4844"/>
        <v>0</v>
      </c>
      <c r="EZ244">
        <f t="shared" si="4845"/>
        <v>0.32</v>
      </c>
      <c r="FA244">
        <f t="shared" si="4846"/>
        <v>1.1000000000000001</v>
      </c>
      <c r="FB244">
        <f t="shared" si="4847"/>
        <v>1.19</v>
      </c>
      <c r="FC244">
        <f t="shared" si="4848"/>
        <v>1.67</v>
      </c>
      <c r="FD244">
        <f t="shared" si="4849"/>
        <v>1.4</v>
      </c>
      <c r="FE244">
        <f t="shared" si="4850"/>
        <v>0.31</v>
      </c>
      <c r="FF244">
        <f t="shared" si="4851"/>
        <v>0</v>
      </c>
      <c r="FG244">
        <f t="shared" si="4852"/>
        <v>0.9</v>
      </c>
      <c r="FH244">
        <f t="shared" si="4853"/>
        <v>0.81</v>
      </c>
      <c r="FI244">
        <f t="shared" si="4854"/>
        <v>1.24</v>
      </c>
      <c r="FJ244">
        <f t="shared" si="4855"/>
        <v>2.0299999999999998</v>
      </c>
      <c r="FK244">
        <f t="shared" si="4856"/>
        <v>0.49</v>
      </c>
      <c r="FL244">
        <f t="shared" si="4857"/>
        <v>1.27</v>
      </c>
      <c r="FM244">
        <f t="shared" si="4858"/>
        <v>2.59</v>
      </c>
      <c r="FN244">
        <f t="shared" si="4859"/>
        <v>5.8</v>
      </c>
      <c r="FO244">
        <f t="shared" si="4860"/>
        <v>1.39</v>
      </c>
      <c r="FP244">
        <f t="shared" si="4861"/>
        <v>1.85</v>
      </c>
      <c r="FQ244">
        <f t="shared" si="4862"/>
        <v>1.27</v>
      </c>
      <c r="FR244">
        <f t="shared" si="4863"/>
        <v>8.0000000000000002E-3</v>
      </c>
      <c r="FS244">
        <f t="shared" si="4864"/>
        <v>9.0000000000000011E-3</v>
      </c>
      <c r="FT244">
        <f t="shared" si="4865"/>
        <v>0</v>
      </c>
      <c r="FU244">
        <f t="shared" si="4866"/>
        <v>5.0000000000000001E-4</v>
      </c>
      <c r="FV244">
        <f t="shared" si="4867"/>
        <v>0</v>
      </c>
      <c r="FW244">
        <f t="shared" si="4868"/>
        <v>0</v>
      </c>
    </row>
    <row r="245" spans="1:179" x14ac:dyDescent="0.35">
      <c r="B245" s="72" t="s">
        <v>233</v>
      </c>
      <c r="C245">
        <v>5</v>
      </c>
      <c r="D245" s="54">
        <v>45</v>
      </c>
      <c r="E245" s="54">
        <v>190</v>
      </c>
      <c r="F245" s="54">
        <v>0.9</v>
      </c>
      <c r="G245" s="54">
        <v>0</v>
      </c>
      <c r="H245" s="54">
        <v>0.9</v>
      </c>
      <c r="I245" s="54">
        <v>0.6</v>
      </c>
      <c r="J245" s="54">
        <v>0</v>
      </c>
      <c r="K245" s="54">
        <v>0.6</v>
      </c>
      <c r="L245" s="54">
        <v>0</v>
      </c>
      <c r="M245" s="54">
        <v>8.4</v>
      </c>
      <c r="N245" s="54">
        <v>0</v>
      </c>
      <c r="O245" s="54">
        <v>8.4</v>
      </c>
      <c r="P245" s="54">
        <v>2.2999999999999998</v>
      </c>
      <c r="Q245" s="54">
        <v>0</v>
      </c>
      <c r="R245" s="54">
        <v>80</v>
      </c>
      <c r="S245" s="54">
        <v>1.5</v>
      </c>
      <c r="T245" s="54">
        <v>14</v>
      </c>
      <c r="U245" s="54">
        <v>2</v>
      </c>
      <c r="V245" s="54">
        <v>347</v>
      </c>
      <c r="W245" s="54">
        <v>63</v>
      </c>
      <c r="X245" s="54">
        <v>0.56000000000000005</v>
      </c>
      <c r="Y245" s="81">
        <v>0</v>
      </c>
      <c r="Z245" s="81">
        <v>0</v>
      </c>
      <c r="AA245" s="81">
        <v>0</v>
      </c>
      <c r="AB245" s="81">
        <v>0</v>
      </c>
      <c r="AC245" s="81">
        <v>0</v>
      </c>
      <c r="AD245" s="81">
        <v>0</v>
      </c>
      <c r="AE245" s="81">
        <v>0</v>
      </c>
      <c r="AF245" s="54">
        <v>0.14000000000000001</v>
      </c>
      <c r="AG245" s="54">
        <v>0.02</v>
      </c>
      <c r="AH245" s="54">
        <v>5</v>
      </c>
      <c r="AI245" s="54">
        <v>1.3</v>
      </c>
      <c r="AJ245" s="54">
        <v>0.21</v>
      </c>
      <c r="AK245" s="54">
        <v>3</v>
      </c>
      <c r="AL245" s="81">
        <v>0</v>
      </c>
      <c r="AM245" s="81">
        <v>0</v>
      </c>
      <c r="AN245" s="81">
        <v>0</v>
      </c>
      <c r="AO245" s="54">
        <v>5</v>
      </c>
      <c r="AP245" s="54">
        <v>0</v>
      </c>
      <c r="AQ245" s="54">
        <v>30</v>
      </c>
      <c r="AR245" s="54">
        <v>0.01</v>
      </c>
      <c r="AS245" s="54">
        <v>0</v>
      </c>
      <c r="AT245" s="81">
        <v>0</v>
      </c>
      <c r="AU245" s="54">
        <v>0.11</v>
      </c>
      <c r="AV245" s="81">
        <v>0</v>
      </c>
      <c r="AW245" s="81">
        <v>0</v>
      </c>
      <c r="AX245" s="81">
        <v>0</v>
      </c>
      <c r="AY245" s="81">
        <v>0</v>
      </c>
      <c r="AZ245" s="81">
        <v>0</v>
      </c>
      <c r="BA245" s="81">
        <v>0</v>
      </c>
      <c r="BB245" s="81">
        <v>0</v>
      </c>
      <c r="BC245" s="54">
        <v>0.01</v>
      </c>
      <c r="BD245" s="82">
        <v>0</v>
      </c>
      <c r="BE245" s="82">
        <v>0</v>
      </c>
      <c r="BF245" s="54">
        <v>0.01</v>
      </c>
      <c r="BG245" s="82">
        <v>0</v>
      </c>
      <c r="BH245" s="82">
        <v>0</v>
      </c>
      <c r="BI245" s="54">
        <v>0.3</v>
      </c>
      <c r="BJ245" s="54">
        <v>0.27</v>
      </c>
      <c r="BK245" s="54">
        <v>0.02</v>
      </c>
      <c r="BL245" s="82">
        <v>0</v>
      </c>
      <c r="BM245" s="82">
        <v>0</v>
      </c>
      <c r="BN245" s="82">
        <v>0</v>
      </c>
      <c r="BO245" s="54">
        <v>0.01</v>
      </c>
      <c r="BP245" s="56">
        <v>9</v>
      </c>
      <c r="BQ245" s="56">
        <v>22</v>
      </c>
      <c r="BR245" s="56">
        <v>31</v>
      </c>
      <c r="BS245" s="56">
        <v>44</v>
      </c>
      <c r="BT245" s="56">
        <v>39</v>
      </c>
      <c r="BU245" s="56">
        <v>11</v>
      </c>
      <c r="BV245" s="56">
        <v>9</v>
      </c>
      <c r="BW245" s="56">
        <v>26</v>
      </c>
      <c r="BX245" s="56">
        <v>11</v>
      </c>
      <c r="BY245" s="56">
        <v>41</v>
      </c>
      <c r="BZ245" s="56">
        <v>90</v>
      </c>
      <c r="CA245" s="56">
        <v>16</v>
      </c>
      <c r="CB245" s="56">
        <v>19</v>
      </c>
      <c r="CC245" s="56">
        <v>69</v>
      </c>
      <c r="CD245" s="56">
        <v>114</v>
      </c>
      <c r="CE245" s="56">
        <v>28</v>
      </c>
      <c r="CF245" s="56">
        <v>14</v>
      </c>
      <c r="CG245" s="56">
        <v>27</v>
      </c>
      <c r="CH245" s="81">
        <v>0</v>
      </c>
      <c r="CI245" s="81">
        <v>0</v>
      </c>
      <c r="CJ245" s="83">
        <v>0</v>
      </c>
      <c r="CK245" s="81">
        <v>0</v>
      </c>
      <c r="CL245" s="81">
        <v>0</v>
      </c>
      <c r="CM245" s="83">
        <v>0</v>
      </c>
      <c r="CN245">
        <f t="shared" si="4781"/>
        <v>2.25</v>
      </c>
      <c r="CO245">
        <f t="shared" si="4782"/>
        <v>9.5</v>
      </c>
      <c r="CP245">
        <f t="shared" si="4783"/>
        <v>4.4999999999999998E-2</v>
      </c>
      <c r="CQ245">
        <f t="shared" si="4784"/>
        <v>0</v>
      </c>
      <c r="CR245">
        <f t="shared" si="4785"/>
        <v>4.4999999999999998E-2</v>
      </c>
      <c r="CS245">
        <f t="shared" si="4786"/>
        <v>0.03</v>
      </c>
      <c r="CT245">
        <f t="shared" si="4787"/>
        <v>0</v>
      </c>
      <c r="CU245">
        <f t="shared" si="4788"/>
        <v>0.03</v>
      </c>
      <c r="CV245">
        <f t="shared" si="4789"/>
        <v>0</v>
      </c>
      <c r="CW245">
        <f t="shared" si="4790"/>
        <v>0.42</v>
      </c>
      <c r="CX245">
        <f t="shared" si="4791"/>
        <v>0</v>
      </c>
      <c r="CY245">
        <f t="shared" si="4792"/>
        <v>0.42</v>
      </c>
      <c r="CZ245">
        <f t="shared" si="4793"/>
        <v>0.115</v>
      </c>
      <c r="DA245">
        <f t="shared" si="4794"/>
        <v>0</v>
      </c>
      <c r="DB245">
        <f t="shared" si="4795"/>
        <v>4</v>
      </c>
      <c r="DC245">
        <f t="shared" si="4796"/>
        <v>7.4999999999999997E-2</v>
      </c>
      <c r="DD245">
        <f t="shared" si="4797"/>
        <v>0.7</v>
      </c>
      <c r="DE245">
        <f t="shared" si="4798"/>
        <v>0.1</v>
      </c>
      <c r="DF245">
        <f t="shared" si="4799"/>
        <v>17.350000000000001</v>
      </c>
      <c r="DG245">
        <f t="shared" si="4800"/>
        <v>3.15</v>
      </c>
      <c r="DH245">
        <f t="shared" si="4801"/>
        <v>2.8000000000000004E-2</v>
      </c>
      <c r="DI245">
        <f t="shared" si="4802"/>
        <v>0</v>
      </c>
      <c r="DJ245">
        <f t="shared" si="4803"/>
        <v>0</v>
      </c>
      <c r="DK245">
        <f t="shared" si="4804"/>
        <v>0</v>
      </c>
      <c r="DL245">
        <f t="shared" si="4805"/>
        <v>0</v>
      </c>
      <c r="DM245">
        <f t="shared" si="4806"/>
        <v>0</v>
      </c>
      <c r="DN245">
        <f t="shared" si="4807"/>
        <v>0</v>
      </c>
      <c r="DO245">
        <f t="shared" si="4808"/>
        <v>0</v>
      </c>
      <c r="DP245">
        <f t="shared" si="4809"/>
        <v>7.000000000000001E-3</v>
      </c>
      <c r="DQ245">
        <f t="shared" si="4810"/>
        <v>1E-3</v>
      </c>
      <c r="DR245">
        <f t="shared" si="4811"/>
        <v>0.25</v>
      </c>
      <c r="DS245">
        <f t="shared" si="4812"/>
        <v>6.5000000000000002E-2</v>
      </c>
      <c r="DT245">
        <f t="shared" si="4813"/>
        <v>1.0500000000000001E-2</v>
      </c>
      <c r="DU245">
        <f t="shared" si="4814"/>
        <v>0.15</v>
      </c>
      <c r="DV245">
        <f t="shared" si="4815"/>
        <v>0</v>
      </c>
      <c r="DW245">
        <f t="shared" si="4816"/>
        <v>0</v>
      </c>
      <c r="DX245">
        <f t="shared" si="4817"/>
        <v>0</v>
      </c>
      <c r="DY245">
        <f t="shared" si="4818"/>
        <v>0.25</v>
      </c>
      <c r="DZ245">
        <f t="shared" si="4819"/>
        <v>0</v>
      </c>
      <c r="EA245">
        <f t="shared" si="4820"/>
        <v>1.5</v>
      </c>
      <c r="EB245">
        <f t="shared" si="4821"/>
        <v>5.0000000000000001E-4</v>
      </c>
      <c r="EC245">
        <f t="shared" si="4822"/>
        <v>0</v>
      </c>
      <c r="ED245">
        <f t="shared" si="4823"/>
        <v>0</v>
      </c>
      <c r="EE245">
        <f t="shared" si="4824"/>
        <v>5.5000000000000005E-3</v>
      </c>
      <c r="EF245">
        <f t="shared" si="4825"/>
        <v>0</v>
      </c>
      <c r="EG245">
        <f t="shared" si="4826"/>
        <v>0</v>
      </c>
      <c r="EH245">
        <f t="shared" si="4827"/>
        <v>0</v>
      </c>
      <c r="EI245">
        <f t="shared" si="4828"/>
        <v>0</v>
      </c>
      <c r="EJ245">
        <f t="shared" si="4829"/>
        <v>0</v>
      </c>
      <c r="EK245">
        <f t="shared" si="4830"/>
        <v>0</v>
      </c>
      <c r="EL245">
        <f t="shared" si="4831"/>
        <v>0</v>
      </c>
      <c r="EM245">
        <f t="shared" si="4832"/>
        <v>5.0000000000000001E-4</v>
      </c>
      <c r="EN245">
        <f t="shared" si="4833"/>
        <v>0</v>
      </c>
      <c r="EO245">
        <f t="shared" si="4834"/>
        <v>0</v>
      </c>
      <c r="EP245">
        <f t="shared" si="4835"/>
        <v>5.0000000000000001E-4</v>
      </c>
      <c r="EQ245">
        <f t="shared" si="4836"/>
        <v>0</v>
      </c>
      <c r="ER245">
        <f t="shared" si="4837"/>
        <v>0</v>
      </c>
      <c r="ES245">
        <f t="shared" si="4838"/>
        <v>1.4999999999999999E-2</v>
      </c>
      <c r="ET245">
        <f t="shared" si="4839"/>
        <v>1.3500000000000002E-2</v>
      </c>
      <c r="EU245">
        <f t="shared" si="4840"/>
        <v>1E-3</v>
      </c>
      <c r="EV245">
        <f t="shared" si="4841"/>
        <v>0</v>
      </c>
      <c r="EW245">
        <f t="shared" si="4842"/>
        <v>0</v>
      </c>
      <c r="EX245">
        <f t="shared" si="4843"/>
        <v>0</v>
      </c>
      <c r="EY245">
        <f t="shared" si="4844"/>
        <v>5.0000000000000001E-4</v>
      </c>
      <c r="EZ245">
        <f t="shared" si="4845"/>
        <v>0.45</v>
      </c>
      <c r="FA245">
        <f t="shared" si="4846"/>
        <v>1.1000000000000001</v>
      </c>
      <c r="FB245">
        <f t="shared" si="4847"/>
        <v>1.55</v>
      </c>
      <c r="FC245">
        <f t="shared" si="4848"/>
        <v>2.2000000000000002</v>
      </c>
      <c r="FD245">
        <f t="shared" si="4849"/>
        <v>1.95</v>
      </c>
      <c r="FE245">
        <f t="shared" si="4850"/>
        <v>0.55000000000000004</v>
      </c>
      <c r="FF245">
        <f t="shared" si="4851"/>
        <v>0.45</v>
      </c>
      <c r="FG245">
        <f t="shared" si="4852"/>
        <v>1.3</v>
      </c>
      <c r="FH245">
        <f t="shared" si="4853"/>
        <v>0.55000000000000004</v>
      </c>
      <c r="FI245">
        <f t="shared" si="4854"/>
        <v>2.0499999999999998</v>
      </c>
      <c r="FJ245">
        <f t="shared" si="4855"/>
        <v>4.5</v>
      </c>
      <c r="FK245">
        <f t="shared" si="4856"/>
        <v>0.8</v>
      </c>
      <c r="FL245">
        <f t="shared" si="4857"/>
        <v>0.95</v>
      </c>
      <c r="FM245">
        <f t="shared" si="4858"/>
        <v>3.45</v>
      </c>
      <c r="FN245">
        <f t="shared" si="4859"/>
        <v>5.7</v>
      </c>
      <c r="FO245">
        <f t="shared" si="4860"/>
        <v>1.4</v>
      </c>
      <c r="FP245">
        <f t="shared" si="4861"/>
        <v>0.7</v>
      </c>
      <c r="FQ245">
        <f t="shared" si="4862"/>
        <v>1.35</v>
      </c>
      <c r="FR245">
        <f t="shared" si="4863"/>
        <v>0</v>
      </c>
      <c r="FS245">
        <f t="shared" si="4864"/>
        <v>0</v>
      </c>
      <c r="FT245">
        <f t="shared" si="4865"/>
        <v>0</v>
      </c>
      <c r="FU245">
        <f t="shared" si="4866"/>
        <v>0</v>
      </c>
      <c r="FV245">
        <f t="shared" si="4867"/>
        <v>0</v>
      </c>
      <c r="FW245">
        <f t="shared" si="4868"/>
        <v>0</v>
      </c>
    </row>
    <row r="246" spans="1:179" x14ac:dyDescent="0.35">
      <c r="B246" s="72" t="s">
        <v>446</v>
      </c>
      <c r="C246">
        <v>1</v>
      </c>
      <c r="D246" s="6">
        <v>392</v>
      </c>
      <c r="E246" s="6">
        <v>1672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104.5</v>
      </c>
      <c r="N246" s="6">
        <v>0</v>
      </c>
      <c r="O246" s="6">
        <v>104.5</v>
      </c>
      <c r="P246" s="6">
        <v>0</v>
      </c>
      <c r="Q246" s="6">
        <v>0</v>
      </c>
      <c r="R246" s="6">
        <v>0.5</v>
      </c>
      <c r="S246" s="6">
        <v>0.3</v>
      </c>
      <c r="T246" s="6">
        <v>1</v>
      </c>
      <c r="U246" s="6">
        <v>1</v>
      </c>
      <c r="V246" s="6">
        <v>2</v>
      </c>
      <c r="W246" s="6">
        <v>1</v>
      </c>
      <c r="X246" s="6">
        <v>0.1</v>
      </c>
      <c r="Y246" s="6">
        <v>2</v>
      </c>
      <c r="Z246" s="6">
        <v>0.12</v>
      </c>
      <c r="AA246" s="51">
        <v>0.05</v>
      </c>
      <c r="AB246" s="51">
        <v>0.5</v>
      </c>
      <c r="AC246" s="51">
        <v>0.5</v>
      </c>
      <c r="AD246" s="51">
        <v>5.0000000000000001E-3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6">
        <v>0</v>
      </c>
      <c r="BM246" s="6">
        <v>0</v>
      </c>
      <c r="BN246" s="6">
        <v>0</v>
      </c>
      <c r="BO246" s="6">
        <v>0</v>
      </c>
      <c r="BP246" s="7">
        <v>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s="7">
        <v>0</v>
      </c>
      <c r="BW246" s="7">
        <v>0</v>
      </c>
      <c r="BX246" s="7">
        <v>0</v>
      </c>
      <c r="BY246" s="7">
        <v>0</v>
      </c>
      <c r="BZ246" s="7">
        <v>0</v>
      </c>
      <c r="CA246" s="7">
        <v>0</v>
      </c>
      <c r="CB246" s="7">
        <v>0</v>
      </c>
      <c r="CC246" s="7">
        <v>0</v>
      </c>
      <c r="CD246" s="7">
        <v>0</v>
      </c>
      <c r="CE246" s="7">
        <v>0</v>
      </c>
      <c r="CF246" s="7">
        <v>0</v>
      </c>
      <c r="CG246" s="7">
        <v>0</v>
      </c>
      <c r="CH246" s="6">
        <v>0</v>
      </c>
      <c r="CI246" s="6">
        <v>0</v>
      </c>
      <c r="CJ246" s="6">
        <v>0</v>
      </c>
      <c r="CK246" s="6">
        <v>104.5</v>
      </c>
      <c r="CL246" s="6">
        <v>0</v>
      </c>
      <c r="CM246" s="6">
        <v>0</v>
      </c>
      <c r="CN246">
        <f t="shared" si="4781"/>
        <v>3.92</v>
      </c>
      <c r="CO246">
        <f t="shared" si="4782"/>
        <v>16.72</v>
      </c>
      <c r="CP246">
        <f t="shared" si="4783"/>
        <v>0</v>
      </c>
      <c r="CQ246">
        <f t="shared" si="4784"/>
        <v>0</v>
      </c>
      <c r="CR246">
        <f t="shared" si="4785"/>
        <v>0</v>
      </c>
      <c r="CS246">
        <f t="shared" si="4786"/>
        <v>0</v>
      </c>
      <c r="CT246">
        <f t="shared" si="4787"/>
        <v>0</v>
      </c>
      <c r="CU246">
        <f t="shared" si="4788"/>
        <v>0</v>
      </c>
      <c r="CV246">
        <f t="shared" si="4789"/>
        <v>0</v>
      </c>
      <c r="CW246">
        <f t="shared" si="4790"/>
        <v>1.0449999999999999</v>
      </c>
      <c r="CX246">
        <f t="shared" si="4791"/>
        <v>0</v>
      </c>
      <c r="CY246">
        <f t="shared" si="4792"/>
        <v>1.0449999999999999</v>
      </c>
      <c r="CZ246">
        <f t="shared" si="4793"/>
        <v>0</v>
      </c>
      <c r="DA246">
        <f t="shared" si="4794"/>
        <v>0</v>
      </c>
      <c r="DB246">
        <f t="shared" si="4795"/>
        <v>5.0000000000000001E-3</v>
      </c>
      <c r="DC246">
        <f t="shared" si="4796"/>
        <v>3.0000000000000001E-3</v>
      </c>
      <c r="DD246">
        <f t="shared" si="4797"/>
        <v>0.01</v>
      </c>
      <c r="DE246">
        <f t="shared" si="4798"/>
        <v>0.01</v>
      </c>
      <c r="DF246">
        <f t="shared" si="4799"/>
        <v>0.02</v>
      </c>
      <c r="DG246">
        <f t="shared" si="4800"/>
        <v>0.01</v>
      </c>
      <c r="DH246">
        <f t="shared" si="4801"/>
        <v>1E-3</v>
      </c>
      <c r="DI246">
        <f t="shared" si="4802"/>
        <v>0.02</v>
      </c>
      <c r="DJ246">
        <f t="shared" si="4803"/>
        <v>1.1999999999999999E-3</v>
      </c>
      <c r="DK246">
        <f t="shared" si="4804"/>
        <v>5.0000000000000001E-4</v>
      </c>
      <c r="DL246">
        <f t="shared" si="4805"/>
        <v>5.0000000000000001E-3</v>
      </c>
      <c r="DM246">
        <f t="shared" si="4806"/>
        <v>5.0000000000000001E-3</v>
      </c>
      <c r="DN246">
        <f t="shared" si="4807"/>
        <v>5.0000000000000002E-5</v>
      </c>
      <c r="DO246">
        <f t="shared" si="4808"/>
        <v>0</v>
      </c>
      <c r="DP246">
        <f t="shared" si="4809"/>
        <v>0</v>
      </c>
      <c r="DQ246">
        <f t="shared" si="4810"/>
        <v>0</v>
      </c>
      <c r="DR246">
        <f t="shared" si="4811"/>
        <v>0</v>
      </c>
      <c r="DS246">
        <f t="shared" si="4812"/>
        <v>0</v>
      </c>
      <c r="DT246">
        <f t="shared" si="4813"/>
        <v>0</v>
      </c>
      <c r="DU246">
        <f t="shared" si="4814"/>
        <v>0</v>
      </c>
      <c r="DV246">
        <f t="shared" si="4815"/>
        <v>0</v>
      </c>
      <c r="DW246">
        <f t="shared" si="4816"/>
        <v>0</v>
      </c>
      <c r="DX246">
        <f t="shared" si="4817"/>
        <v>0</v>
      </c>
      <c r="DY246">
        <f t="shared" si="4818"/>
        <v>0</v>
      </c>
      <c r="DZ246">
        <f t="shared" si="4819"/>
        <v>0</v>
      </c>
      <c r="EA246">
        <f t="shared" si="4820"/>
        <v>0</v>
      </c>
      <c r="EB246">
        <f t="shared" si="4821"/>
        <v>0</v>
      </c>
      <c r="EC246">
        <f t="shared" si="4822"/>
        <v>0</v>
      </c>
      <c r="ED246">
        <f t="shared" si="4823"/>
        <v>0</v>
      </c>
      <c r="EE246">
        <f t="shared" si="4824"/>
        <v>0</v>
      </c>
      <c r="EF246">
        <f t="shared" si="4825"/>
        <v>0</v>
      </c>
      <c r="EG246">
        <f t="shared" si="4826"/>
        <v>0</v>
      </c>
      <c r="EH246">
        <f t="shared" si="4827"/>
        <v>0</v>
      </c>
      <c r="EI246">
        <f t="shared" si="4828"/>
        <v>0</v>
      </c>
      <c r="EJ246">
        <f t="shared" si="4829"/>
        <v>0</v>
      </c>
      <c r="EK246">
        <f t="shared" si="4830"/>
        <v>0</v>
      </c>
      <c r="EL246">
        <f t="shared" si="4831"/>
        <v>0</v>
      </c>
      <c r="EM246">
        <f t="shared" si="4832"/>
        <v>0</v>
      </c>
      <c r="EN246">
        <f t="shared" si="4833"/>
        <v>0</v>
      </c>
      <c r="EO246">
        <f t="shared" si="4834"/>
        <v>0</v>
      </c>
      <c r="EP246">
        <f t="shared" si="4835"/>
        <v>0</v>
      </c>
      <c r="EQ246">
        <f t="shared" si="4836"/>
        <v>0</v>
      </c>
      <c r="ER246">
        <f t="shared" si="4837"/>
        <v>0</v>
      </c>
      <c r="ES246">
        <f t="shared" si="4838"/>
        <v>0</v>
      </c>
      <c r="ET246">
        <f t="shared" si="4839"/>
        <v>0</v>
      </c>
      <c r="EU246">
        <f t="shared" si="4840"/>
        <v>0</v>
      </c>
      <c r="EV246">
        <f t="shared" si="4841"/>
        <v>0</v>
      </c>
      <c r="EW246">
        <f t="shared" si="4842"/>
        <v>0</v>
      </c>
      <c r="EX246">
        <f t="shared" si="4843"/>
        <v>0</v>
      </c>
      <c r="EY246">
        <f t="shared" si="4844"/>
        <v>0</v>
      </c>
      <c r="EZ246">
        <f t="shared" si="4845"/>
        <v>0</v>
      </c>
      <c r="FA246">
        <f t="shared" si="4846"/>
        <v>0</v>
      </c>
      <c r="FB246">
        <f t="shared" si="4847"/>
        <v>0</v>
      </c>
      <c r="FC246">
        <f t="shared" si="4848"/>
        <v>0</v>
      </c>
      <c r="FD246">
        <f t="shared" si="4849"/>
        <v>0</v>
      </c>
      <c r="FE246">
        <f t="shared" si="4850"/>
        <v>0</v>
      </c>
      <c r="FF246">
        <f t="shared" si="4851"/>
        <v>0</v>
      </c>
      <c r="FG246">
        <f t="shared" si="4852"/>
        <v>0</v>
      </c>
      <c r="FH246">
        <f t="shared" si="4853"/>
        <v>0</v>
      </c>
      <c r="FI246">
        <f t="shared" si="4854"/>
        <v>0</v>
      </c>
      <c r="FJ246">
        <f t="shared" si="4855"/>
        <v>0</v>
      </c>
      <c r="FK246">
        <f t="shared" si="4856"/>
        <v>0</v>
      </c>
      <c r="FL246">
        <f t="shared" si="4857"/>
        <v>0</v>
      </c>
      <c r="FM246">
        <f t="shared" si="4858"/>
        <v>0</v>
      </c>
      <c r="FN246">
        <f t="shared" si="4859"/>
        <v>0</v>
      </c>
      <c r="FO246">
        <f t="shared" si="4860"/>
        <v>0</v>
      </c>
      <c r="FP246">
        <f t="shared" si="4861"/>
        <v>0</v>
      </c>
      <c r="FQ246">
        <f t="shared" si="4862"/>
        <v>0</v>
      </c>
      <c r="FR246">
        <f t="shared" si="4863"/>
        <v>0</v>
      </c>
      <c r="FS246">
        <f t="shared" si="4864"/>
        <v>0</v>
      </c>
      <c r="FT246">
        <f t="shared" si="4865"/>
        <v>0</v>
      </c>
      <c r="FU246">
        <f t="shared" si="4866"/>
        <v>1.0449999999999999</v>
      </c>
      <c r="FV246">
        <f t="shared" si="4867"/>
        <v>0</v>
      </c>
      <c r="FW246">
        <f t="shared" si="4868"/>
        <v>0</v>
      </c>
    </row>
    <row r="247" spans="1:179" x14ac:dyDescent="0.35">
      <c r="B247" s="72" t="s">
        <v>475</v>
      </c>
      <c r="C247">
        <v>1</v>
      </c>
      <c r="D247" s="6">
        <v>332</v>
      </c>
      <c r="E247" s="6">
        <v>1416</v>
      </c>
      <c r="F247" s="6">
        <v>7.3</v>
      </c>
      <c r="G247" s="6">
        <v>0</v>
      </c>
      <c r="H247" s="6">
        <v>7.3</v>
      </c>
      <c r="I247" s="6">
        <v>0.5</v>
      </c>
      <c r="J247" s="6">
        <v>0</v>
      </c>
      <c r="K247" s="6">
        <v>0.5</v>
      </c>
      <c r="L247" s="6">
        <v>0</v>
      </c>
      <c r="M247" s="6">
        <v>79.099999999999994</v>
      </c>
      <c r="N247" s="6">
        <v>79.099999999999994</v>
      </c>
      <c r="O247" s="51">
        <v>0.05</v>
      </c>
      <c r="P247" s="6">
        <v>1</v>
      </c>
      <c r="Q247" s="6">
        <v>0</v>
      </c>
      <c r="R247" s="6">
        <v>12.3</v>
      </c>
      <c r="S247" s="6">
        <v>0.4</v>
      </c>
      <c r="T247" s="6">
        <v>7</v>
      </c>
      <c r="U247" s="6">
        <v>4</v>
      </c>
      <c r="V247" s="6">
        <v>104</v>
      </c>
      <c r="W247" s="6">
        <v>90</v>
      </c>
      <c r="X247" s="6">
        <v>0.8</v>
      </c>
      <c r="Y247" s="6">
        <v>23</v>
      </c>
      <c r="Z247" s="6">
        <v>0.2</v>
      </c>
      <c r="AA247" s="6">
        <v>15.1</v>
      </c>
      <c r="AB247" s="51">
        <v>0.5</v>
      </c>
      <c r="AC247" s="51">
        <v>0.5</v>
      </c>
      <c r="AD247" s="6">
        <v>1.2</v>
      </c>
      <c r="AE247" s="6">
        <v>50</v>
      </c>
      <c r="AF247" s="6">
        <v>0.05</v>
      </c>
      <c r="AG247" s="6">
        <v>0.04</v>
      </c>
      <c r="AH247" s="6">
        <v>0</v>
      </c>
      <c r="AI247" s="6">
        <v>1.4</v>
      </c>
      <c r="AJ247" s="6">
        <v>0.2</v>
      </c>
      <c r="AK247" s="6">
        <v>4</v>
      </c>
      <c r="AL247" s="6">
        <v>0.82</v>
      </c>
      <c r="AM247" s="6">
        <v>1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0.13</v>
      </c>
      <c r="AV247" s="6">
        <v>0</v>
      </c>
      <c r="AW247" s="6">
        <v>0</v>
      </c>
      <c r="AX247" s="6">
        <v>0</v>
      </c>
      <c r="AY247" s="6">
        <v>0.11</v>
      </c>
      <c r="AZ247" s="6">
        <v>0.02</v>
      </c>
      <c r="BA247" s="6">
        <v>0</v>
      </c>
      <c r="BB247" s="6">
        <v>0</v>
      </c>
      <c r="BC247" s="6">
        <v>0.16</v>
      </c>
      <c r="BD247" s="6">
        <v>0</v>
      </c>
      <c r="BE247" s="6">
        <v>0</v>
      </c>
      <c r="BF247" s="6">
        <v>0.16</v>
      </c>
      <c r="BG247" s="6">
        <v>0</v>
      </c>
      <c r="BH247" s="6">
        <v>0</v>
      </c>
      <c r="BI247" s="6">
        <v>0.23</v>
      </c>
      <c r="BJ247" s="6">
        <v>0.21</v>
      </c>
      <c r="BK247" s="6">
        <v>0.01</v>
      </c>
      <c r="BL247" s="6">
        <v>0</v>
      </c>
      <c r="BM247" s="6">
        <v>0</v>
      </c>
      <c r="BN247" s="6">
        <v>0</v>
      </c>
      <c r="BO247" s="6">
        <v>0.01</v>
      </c>
      <c r="BP247" s="7">
        <v>91.522388059701498</v>
      </c>
      <c r="BQ247" s="7">
        <v>268.02985074626901</v>
      </c>
      <c r="BR247" s="7">
        <v>333.402985074627</v>
      </c>
      <c r="BS247" s="7">
        <v>642.83582089552203</v>
      </c>
      <c r="BT247" s="7">
        <v>280.01492537313402</v>
      </c>
      <c r="BU247" s="7">
        <v>162.34328358209001</v>
      </c>
      <c r="BV247" s="7">
        <v>117.671641791045</v>
      </c>
      <c r="BW247" s="7">
        <v>392.23880597014897</v>
      </c>
      <c r="BX247" s="7">
        <v>248.41791044776099</v>
      </c>
      <c r="BY247" s="7">
        <v>477.22388059701501</v>
      </c>
      <c r="BZ247" s="7">
        <v>591.62686567164201</v>
      </c>
      <c r="CA247" s="7">
        <v>179.77611940298499</v>
      </c>
      <c r="CB247" s="7">
        <v>436.91044776119401</v>
      </c>
      <c r="CC247" s="7">
        <v>715.83582089552203</v>
      </c>
      <c r="CD247" s="7">
        <v>1475.2537313432799</v>
      </c>
      <c r="CE247" s="7">
        <v>337.76119402985103</v>
      </c>
      <c r="CF247" s="7">
        <v>362.82089552238801</v>
      </c>
      <c r="CG247" s="7">
        <v>379.16417910447802</v>
      </c>
      <c r="CH247" s="6">
        <v>0</v>
      </c>
      <c r="CI247" s="6">
        <v>0</v>
      </c>
      <c r="CJ247" s="6">
        <v>0</v>
      </c>
      <c r="CK247" s="6">
        <v>0</v>
      </c>
      <c r="CL247" s="6">
        <v>0</v>
      </c>
      <c r="CM247" s="6">
        <v>0</v>
      </c>
      <c r="CN247">
        <f t="shared" si="4781"/>
        <v>3.32</v>
      </c>
      <c r="CO247">
        <f t="shared" si="4782"/>
        <v>14.16</v>
      </c>
      <c r="CP247">
        <f t="shared" si="4783"/>
        <v>7.2999999999999995E-2</v>
      </c>
      <c r="CQ247">
        <f t="shared" si="4784"/>
        <v>0</v>
      </c>
      <c r="CR247">
        <f t="shared" si="4785"/>
        <v>7.2999999999999995E-2</v>
      </c>
      <c r="CS247">
        <f t="shared" si="4786"/>
        <v>5.0000000000000001E-3</v>
      </c>
      <c r="CT247">
        <f t="shared" si="4787"/>
        <v>0</v>
      </c>
      <c r="CU247">
        <f t="shared" si="4788"/>
        <v>5.0000000000000001E-3</v>
      </c>
      <c r="CV247">
        <f t="shared" si="4789"/>
        <v>0</v>
      </c>
      <c r="CW247">
        <f t="shared" si="4790"/>
        <v>0.79099999999999993</v>
      </c>
      <c r="CX247">
        <f t="shared" si="4791"/>
        <v>0.79099999999999993</v>
      </c>
      <c r="CY247">
        <f t="shared" si="4792"/>
        <v>5.0000000000000001E-4</v>
      </c>
      <c r="CZ247">
        <f t="shared" si="4793"/>
        <v>0.01</v>
      </c>
      <c r="DA247">
        <f t="shared" si="4794"/>
        <v>0</v>
      </c>
      <c r="DB247">
        <f t="shared" si="4795"/>
        <v>0.12300000000000001</v>
      </c>
      <c r="DC247">
        <f t="shared" si="4796"/>
        <v>4.0000000000000001E-3</v>
      </c>
      <c r="DD247">
        <f t="shared" si="4797"/>
        <v>7.0000000000000007E-2</v>
      </c>
      <c r="DE247">
        <f t="shared" si="4798"/>
        <v>0.04</v>
      </c>
      <c r="DF247">
        <f t="shared" si="4799"/>
        <v>1.04</v>
      </c>
      <c r="DG247">
        <f t="shared" si="4800"/>
        <v>0.9</v>
      </c>
      <c r="DH247">
        <f t="shared" si="4801"/>
        <v>8.0000000000000002E-3</v>
      </c>
      <c r="DI247">
        <f t="shared" si="4802"/>
        <v>0.23</v>
      </c>
      <c r="DJ247">
        <f t="shared" si="4803"/>
        <v>2E-3</v>
      </c>
      <c r="DK247">
        <f t="shared" si="4804"/>
        <v>0.151</v>
      </c>
      <c r="DL247">
        <f t="shared" si="4805"/>
        <v>5.0000000000000001E-3</v>
      </c>
      <c r="DM247">
        <f t="shared" si="4806"/>
        <v>5.0000000000000001E-3</v>
      </c>
      <c r="DN247">
        <f t="shared" si="4807"/>
        <v>1.2E-2</v>
      </c>
      <c r="DO247">
        <f t="shared" si="4808"/>
        <v>0.5</v>
      </c>
      <c r="DP247">
        <f t="shared" si="4809"/>
        <v>5.0000000000000001E-4</v>
      </c>
      <c r="DQ247">
        <f t="shared" si="4810"/>
        <v>4.0000000000000002E-4</v>
      </c>
      <c r="DR247">
        <f t="shared" si="4811"/>
        <v>0</v>
      </c>
      <c r="DS247">
        <f t="shared" si="4812"/>
        <v>1.3999999999999999E-2</v>
      </c>
      <c r="DT247">
        <f t="shared" si="4813"/>
        <v>2E-3</v>
      </c>
      <c r="DU247">
        <f t="shared" si="4814"/>
        <v>0.04</v>
      </c>
      <c r="DV247">
        <f t="shared" si="4815"/>
        <v>8.199999999999999E-3</v>
      </c>
      <c r="DW247">
        <f t="shared" si="4816"/>
        <v>0.01</v>
      </c>
      <c r="DX247">
        <f t="shared" si="4817"/>
        <v>0</v>
      </c>
      <c r="DY247">
        <f t="shared" si="4818"/>
        <v>0</v>
      </c>
      <c r="DZ247">
        <f t="shared" si="4819"/>
        <v>0</v>
      </c>
      <c r="EA247">
        <f t="shared" si="4820"/>
        <v>0</v>
      </c>
      <c r="EB247">
        <f t="shared" si="4821"/>
        <v>0</v>
      </c>
      <c r="EC247">
        <f t="shared" si="4822"/>
        <v>0</v>
      </c>
      <c r="ED247">
        <f t="shared" si="4823"/>
        <v>0</v>
      </c>
      <c r="EE247">
        <f t="shared" si="4824"/>
        <v>1.2999999999999999E-3</v>
      </c>
      <c r="EF247">
        <f t="shared" si="4825"/>
        <v>0</v>
      </c>
      <c r="EG247">
        <f t="shared" si="4826"/>
        <v>0</v>
      </c>
      <c r="EH247">
        <f t="shared" si="4827"/>
        <v>0</v>
      </c>
      <c r="EI247">
        <f t="shared" si="4828"/>
        <v>1.1000000000000001E-3</v>
      </c>
      <c r="EJ247">
        <f t="shared" si="4829"/>
        <v>2.0000000000000001E-4</v>
      </c>
      <c r="EK247">
        <f t="shared" si="4830"/>
        <v>0</v>
      </c>
      <c r="EL247">
        <f t="shared" si="4831"/>
        <v>0</v>
      </c>
      <c r="EM247">
        <f t="shared" si="4832"/>
        <v>1.6000000000000001E-3</v>
      </c>
      <c r="EN247">
        <f t="shared" si="4833"/>
        <v>0</v>
      </c>
      <c r="EO247">
        <f t="shared" si="4834"/>
        <v>0</v>
      </c>
      <c r="EP247">
        <f t="shared" si="4835"/>
        <v>1.6000000000000001E-3</v>
      </c>
      <c r="EQ247">
        <f t="shared" si="4836"/>
        <v>0</v>
      </c>
      <c r="ER247">
        <f t="shared" si="4837"/>
        <v>0</v>
      </c>
      <c r="ES247">
        <f t="shared" si="4838"/>
        <v>2.3E-3</v>
      </c>
      <c r="ET247">
        <f t="shared" si="4839"/>
        <v>2.0999999999999999E-3</v>
      </c>
      <c r="EU247">
        <f t="shared" si="4840"/>
        <v>1E-4</v>
      </c>
      <c r="EV247">
        <f t="shared" si="4841"/>
        <v>0</v>
      </c>
      <c r="EW247">
        <f t="shared" si="4842"/>
        <v>0</v>
      </c>
      <c r="EX247">
        <f t="shared" si="4843"/>
        <v>0</v>
      </c>
      <c r="EY247">
        <f t="shared" si="4844"/>
        <v>1E-4</v>
      </c>
      <c r="EZ247">
        <f t="shared" si="4845"/>
        <v>0.91522388059701498</v>
      </c>
      <c r="FA247">
        <f t="shared" si="4846"/>
        <v>2.6802985074626902</v>
      </c>
      <c r="FB247">
        <f t="shared" si="4847"/>
        <v>3.33402985074627</v>
      </c>
      <c r="FC247">
        <f t="shared" si="4848"/>
        <v>6.4283582089552205</v>
      </c>
      <c r="FD247">
        <f t="shared" si="4849"/>
        <v>2.8001492537313402</v>
      </c>
      <c r="FE247">
        <f t="shared" si="4850"/>
        <v>1.6234328358209</v>
      </c>
      <c r="FF247">
        <f t="shared" si="4851"/>
        <v>1.1767164179104501</v>
      </c>
      <c r="FG247">
        <f t="shared" si="4852"/>
        <v>3.9223880597014897</v>
      </c>
      <c r="FH247">
        <f t="shared" si="4853"/>
        <v>2.4841791044776098</v>
      </c>
      <c r="FI247">
        <f t="shared" si="4854"/>
        <v>4.7722388059701499</v>
      </c>
      <c r="FJ247">
        <f t="shared" si="4855"/>
        <v>5.9162686567164204</v>
      </c>
      <c r="FK247">
        <f t="shared" si="4856"/>
        <v>1.7977611940298499</v>
      </c>
      <c r="FL247">
        <f t="shared" si="4857"/>
        <v>4.3691044776119403</v>
      </c>
      <c r="FM247">
        <f t="shared" si="4858"/>
        <v>7.15835820895522</v>
      </c>
      <c r="FN247">
        <f t="shared" si="4859"/>
        <v>14.7525373134328</v>
      </c>
      <c r="FO247">
        <f t="shared" si="4860"/>
        <v>3.3776119402985101</v>
      </c>
      <c r="FP247">
        <f t="shared" si="4861"/>
        <v>3.6282089552238803</v>
      </c>
      <c r="FQ247">
        <f t="shared" si="4862"/>
        <v>3.7916417910447802</v>
      </c>
      <c r="FR247">
        <f t="shared" si="4863"/>
        <v>0</v>
      </c>
      <c r="FS247">
        <f t="shared" si="4864"/>
        <v>0</v>
      </c>
      <c r="FT247">
        <f t="shared" si="4865"/>
        <v>0</v>
      </c>
      <c r="FU247">
        <f t="shared" si="4866"/>
        <v>0</v>
      </c>
      <c r="FV247">
        <f t="shared" si="4867"/>
        <v>0</v>
      </c>
      <c r="FW247">
        <f t="shared" si="4868"/>
        <v>0</v>
      </c>
    </row>
    <row r="248" spans="1:179" x14ac:dyDescent="0.35">
      <c r="B248" s="71" t="s">
        <v>247</v>
      </c>
      <c r="C248">
        <v>8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99.9</v>
      </c>
      <c r="S248" s="51">
        <v>0.05</v>
      </c>
      <c r="T248" s="6">
        <v>10</v>
      </c>
      <c r="U248" s="6">
        <v>2</v>
      </c>
      <c r="V248" s="51">
        <v>0.5</v>
      </c>
      <c r="W248" s="51">
        <v>0.5</v>
      </c>
      <c r="X248" s="51">
        <v>5.0000000000000001E-3</v>
      </c>
      <c r="Y248" s="6">
        <v>3</v>
      </c>
      <c r="Z248" s="51">
        <v>5.0000000000000001E-3</v>
      </c>
      <c r="AA248" s="6">
        <v>1</v>
      </c>
      <c r="AB248" s="51">
        <v>0.5</v>
      </c>
      <c r="AC248" s="51">
        <v>0.5</v>
      </c>
      <c r="AD248" s="51">
        <v>5.0000000000000001E-3</v>
      </c>
      <c r="AE248" s="51">
        <v>0.5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0</v>
      </c>
      <c r="BE248" s="6">
        <v>0</v>
      </c>
      <c r="BF248" s="6">
        <v>0</v>
      </c>
      <c r="BG248" s="6">
        <v>0</v>
      </c>
      <c r="BH248" s="6">
        <v>0</v>
      </c>
      <c r="BI248" s="6">
        <v>0</v>
      </c>
      <c r="BJ248" s="6">
        <v>0</v>
      </c>
      <c r="BK248" s="6">
        <v>0</v>
      </c>
      <c r="BL248" s="6">
        <v>0</v>
      </c>
      <c r="BM248" s="6">
        <v>0</v>
      </c>
      <c r="BN248" s="6">
        <v>0</v>
      </c>
      <c r="BO248" s="6">
        <v>0</v>
      </c>
      <c r="BP248" s="7">
        <v>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s="7">
        <v>0</v>
      </c>
      <c r="BW248" s="7">
        <v>0</v>
      </c>
      <c r="BX248" s="7">
        <v>0</v>
      </c>
      <c r="BY248" s="7">
        <v>0</v>
      </c>
      <c r="BZ248" s="7">
        <v>0</v>
      </c>
      <c r="CA248" s="7">
        <v>0</v>
      </c>
      <c r="CB248" s="7">
        <v>0</v>
      </c>
      <c r="CC248" s="7">
        <v>0</v>
      </c>
      <c r="CD248" s="7">
        <v>0</v>
      </c>
      <c r="CE248" s="7">
        <v>0</v>
      </c>
      <c r="CF248" s="7">
        <v>0</v>
      </c>
      <c r="CG248" s="7">
        <v>0</v>
      </c>
      <c r="CH248" s="6">
        <v>0</v>
      </c>
      <c r="CI248" s="6">
        <v>0</v>
      </c>
      <c r="CJ248" s="6">
        <v>0</v>
      </c>
      <c r="CK248" s="6">
        <v>0</v>
      </c>
      <c r="CL248" s="6">
        <v>0</v>
      </c>
      <c r="CM248" s="6">
        <v>0</v>
      </c>
      <c r="CN248">
        <f t="shared" si="4781"/>
        <v>0</v>
      </c>
      <c r="CO248">
        <f t="shared" si="4782"/>
        <v>0</v>
      </c>
      <c r="CP248">
        <f t="shared" si="4783"/>
        <v>0</v>
      </c>
      <c r="CQ248">
        <f t="shared" si="4784"/>
        <v>0</v>
      </c>
      <c r="CR248">
        <f t="shared" si="4785"/>
        <v>0</v>
      </c>
      <c r="CS248">
        <f t="shared" si="4786"/>
        <v>0</v>
      </c>
      <c r="CT248">
        <f t="shared" si="4787"/>
        <v>0</v>
      </c>
      <c r="CU248">
        <f t="shared" si="4788"/>
        <v>0</v>
      </c>
      <c r="CV248">
        <f t="shared" si="4789"/>
        <v>0</v>
      </c>
      <c r="CW248">
        <f t="shared" si="4790"/>
        <v>0</v>
      </c>
      <c r="CX248">
        <f t="shared" si="4791"/>
        <v>0</v>
      </c>
      <c r="CY248">
        <f t="shared" si="4792"/>
        <v>0</v>
      </c>
      <c r="CZ248">
        <f t="shared" si="4793"/>
        <v>0</v>
      </c>
      <c r="DA248">
        <f t="shared" si="4794"/>
        <v>0</v>
      </c>
      <c r="DB248">
        <f t="shared" si="4795"/>
        <v>7.9920000000000009</v>
      </c>
      <c r="DC248">
        <f t="shared" si="4796"/>
        <v>4.0000000000000001E-3</v>
      </c>
      <c r="DD248">
        <f t="shared" si="4797"/>
        <v>0.8</v>
      </c>
      <c r="DE248">
        <f t="shared" si="4798"/>
        <v>0.16</v>
      </c>
      <c r="DF248">
        <f t="shared" si="4799"/>
        <v>0.04</v>
      </c>
      <c r="DG248">
        <f t="shared" si="4800"/>
        <v>0.04</v>
      </c>
      <c r="DH248">
        <f t="shared" si="4801"/>
        <v>4.0000000000000002E-4</v>
      </c>
      <c r="DI248">
        <f t="shared" si="4802"/>
        <v>0.24</v>
      </c>
      <c r="DJ248">
        <f t="shared" si="4803"/>
        <v>4.0000000000000002E-4</v>
      </c>
      <c r="DK248">
        <f t="shared" si="4804"/>
        <v>0.08</v>
      </c>
      <c r="DL248">
        <f t="shared" si="4805"/>
        <v>0.04</v>
      </c>
      <c r="DM248">
        <f t="shared" si="4806"/>
        <v>0.04</v>
      </c>
      <c r="DN248">
        <f t="shared" si="4807"/>
        <v>4.0000000000000002E-4</v>
      </c>
      <c r="DO248">
        <f t="shared" si="4808"/>
        <v>0.04</v>
      </c>
      <c r="DP248">
        <f t="shared" si="4809"/>
        <v>0</v>
      </c>
      <c r="DQ248">
        <f t="shared" si="4810"/>
        <v>0</v>
      </c>
      <c r="DR248">
        <f t="shared" si="4811"/>
        <v>0</v>
      </c>
      <c r="DS248">
        <f t="shared" si="4812"/>
        <v>0</v>
      </c>
      <c r="DT248">
        <f t="shared" si="4813"/>
        <v>0</v>
      </c>
      <c r="DU248">
        <f t="shared" si="4814"/>
        <v>0</v>
      </c>
      <c r="DV248">
        <f t="shared" si="4815"/>
        <v>0</v>
      </c>
      <c r="DW248">
        <f t="shared" si="4816"/>
        <v>0</v>
      </c>
      <c r="DX248">
        <f t="shared" si="4817"/>
        <v>0</v>
      </c>
      <c r="DY248">
        <f t="shared" si="4818"/>
        <v>0</v>
      </c>
      <c r="DZ248">
        <f t="shared" si="4819"/>
        <v>0</v>
      </c>
      <c r="EA248">
        <f t="shared" si="4820"/>
        <v>0</v>
      </c>
      <c r="EB248">
        <f t="shared" si="4821"/>
        <v>0</v>
      </c>
      <c r="EC248">
        <f t="shared" si="4822"/>
        <v>0</v>
      </c>
      <c r="ED248">
        <f t="shared" si="4823"/>
        <v>0</v>
      </c>
      <c r="EE248">
        <f t="shared" si="4824"/>
        <v>0</v>
      </c>
      <c r="EF248">
        <f t="shared" si="4825"/>
        <v>0</v>
      </c>
      <c r="EG248">
        <f t="shared" si="4826"/>
        <v>0</v>
      </c>
      <c r="EH248">
        <f t="shared" si="4827"/>
        <v>0</v>
      </c>
      <c r="EI248">
        <f t="shared" si="4828"/>
        <v>0</v>
      </c>
      <c r="EJ248">
        <f t="shared" si="4829"/>
        <v>0</v>
      </c>
      <c r="EK248">
        <f t="shared" si="4830"/>
        <v>0</v>
      </c>
      <c r="EL248">
        <f t="shared" si="4831"/>
        <v>0</v>
      </c>
      <c r="EM248">
        <f t="shared" si="4832"/>
        <v>0</v>
      </c>
      <c r="EN248">
        <f t="shared" si="4833"/>
        <v>0</v>
      </c>
      <c r="EO248">
        <f t="shared" si="4834"/>
        <v>0</v>
      </c>
      <c r="EP248">
        <f t="shared" si="4835"/>
        <v>0</v>
      </c>
      <c r="EQ248">
        <f t="shared" si="4836"/>
        <v>0</v>
      </c>
      <c r="ER248">
        <f t="shared" si="4837"/>
        <v>0</v>
      </c>
      <c r="ES248">
        <f t="shared" si="4838"/>
        <v>0</v>
      </c>
      <c r="ET248">
        <f t="shared" si="4839"/>
        <v>0</v>
      </c>
      <c r="EU248">
        <f t="shared" si="4840"/>
        <v>0</v>
      </c>
      <c r="EV248">
        <f t="shared" si="4841"/>
        <v>0</v>
      </c>
      <c r="EW248">
        <f t="shared" si="4842"/>
        <v>0</v>
      </c>
      <c r="EX248">
        <f t="shared" si="4843"/>
        <v>0</v>
      </c>
      <c r="EY248">
        <f t="shared" si="4844"/>
        <v>0</v>
      </c>
      <c r="EZ248">
        <f t="shared" si="4845"/>
        <v>0</v>
      </c>
      <c r="FA248">
        <f t="shared" si="4846"/>
        <v>0</v>
      </c>
      <c r="FB248">
        <f t="shared" si="4847"/>
        <v>0</v>
      </c>
      <c r="FC248">
        <f t="shared" si="4848"/>
        <v>0</v>
      </c>
      <c r="FD248">
        <f t="shared" si="4849"/>
        <v>0</v>
      </c>
      <c r="FE248">
        <f t="shared" si="4850"/>
        <v>0</v>
      </c>
      <c r="FF248">
        <f t="shared" si="4851"/>
        <v>0</v>
      </c>
      <c r="FG248">
        <f t="shared" si="4852"/>
        <v>0</v>
      </c>
      <c r="FH248">
        <f t="shared" si="4853"/>
        <v>0</v>
      </c>
      <c r="FI248">
        <f t="shared" si="4854"/>
        <v>0</v>
      </c>
      <c r="FJ248">
        <f t="shared" si="4855"/>
        <v>0</v>
      </c>
      <c r="FK248">
        <f t="shared" si="4856"/>
        <v>0</v>
      </c>
      <c r="FL248">
        <f t="shared" si="4857"/>
        <v>0</v>
      </c>
      <c r="FM248">
        <f t="shared" si="4858"/>
        <v>0</v>
      </c>
      <c r="FN248">
        <f t="shared" si="4859"/>
        <v>0</v>
      </c>
      <c r="FO248">
        <f t="shared" si="4860"/>
        <v>0</v>
      </c>
      <c r="FP248">
        <f t="shared" si="4861"/>
        <v>0</v>
      </c>
      <c r="FQ248">
        <f t="shared" si="4862"/>
        <v>0</v>
      </c>
      <c r="FR248">
        <f t="shared" si="4863"/>
        <v>0</v>
      </c>
      <c r="FS248">
        <f t="shared" si="4864"/>
        <v>0</v>
      </c>
      <c r="FT248">
        <f t="shared" si="4865"/>
        <v>0</v>
      </c>
      <c r="FU248">
        <f t="shared" si="4866"/>
        <v>0</v>
      </c>
      <c r="FV248">
        <f t="shared" si="4867"/>
        <v>0</v>
      </c>
      <c r="FW248">
        <f t="shared" si="4868"/>
        <v>0</v>
      </c>
    </row>
    <row r="249" spans="1:179" x14ac:dyDescent="0.35">
      <c r="C249">
        <f>SUM(C239:C248)</f>
        <v>100</v>
      </c>
      <c r="CN249">
        <f>SUM(CN239:CN248)</f>
        <v>31.580000000000005</v>
      </c>
      <c r="CO249">
        <f t="shared" ref="CO249:EZ249" si="4869">SUM(CO239:CO248)</f>
        <v>134.72</v>
      </c>
      <c r="CP249">
        <f t="shared" si="4869"/>
        <v>1.6484000000000001</v>
      </c>
      <c r="CQ249">
        <f t="shared" si="4869"/>
        <v>0</v>
      </c>
      <c r="CR249">
        <f t="shared" si="4869"/>
        <v>1.6484000000000001</v>
      </c>
      <c r="CS249">
        <f t="shared" si="4869"/>
        <v>0.13200000000000001</v>
      </c>
      <c r="CT249">
        <f t="shared" si="4869"/>
        <v>0</v>
      </c>
      <c r="CU249">
        <f t="shared" si="4869"/>
        <v>0.13200000000000001</v>
      </c>
      <c r="CV249">
        <f t="shared" si="4869"/>
        <v>0</v>
      </c>
      <c r="CW249">
        <f t="shared" si="4869"/>
        <v>4.9629999999999992</v>
      </c>
      <c r="CX249">
        <f t="shared" si="4869"/>
        <v>0.86449999999999994</v>
      </c>
      <c r="CY249">
        <f t="shared" si="4869"/>
        <v>4.1044999999999989</v>
      </c>
      <c r="CZ249">
        <f t="shared" si="4869"/>
        <v>2.3260000000000001</v>
      </c>
      <c r="DA249">
        <f t="shared" si="4869"/>
        <v>0</v>
      </c>
      <c r="DB249">
        <f t="shared" si="4869"/>
        <v>90.25</v>
      </c>
      <c r="DC249">
        <f t="shared" si="4869"/>
        <v>0.88000000000000012</v>
      </c>
      <c r="DD249">
        <f t="shared" si="4869"/>
        <v>45.89</v>
      </c>
      <c r="DE249">
        <f t="shared" si="4869"/>
        <v>23.420000000000005</v>
      </c>
      <c r="DF249">
        <f t="shared" si="4869"/>
        <v>228.65</v>
      </c>
      <c r="DG249">
        <f t="shared" si="4869"/>
        <v>29.499999999999996</v>
      </c>
      <c r="DH249">
        <f t="shared" si="4869"/>
        <v>0.25819999999999999</v>
      </c>
      <c r="DI249">
        <f t="shared" si="4869"/>
        <v>1.65</v>
      </c>
      <c r="DJ249">
        <f t="shared" si="4869"/>
        <v>9.7199999999999977E-3</v>
      </c>
      <c r="DK249">
        <f t="shared" si="4869"/>
        <v>0.246</v>
      </c>
      <c r="DL249">
        <f t="shared" si="4869"/>
        <v>2.25</v>
      </c>
      <c r="DM249">
        <f t="shared" si="4869"/>
        <v>0.10580000000000001</v>
      </c>
      <c r="DN249">
        <f t="shared" si="4869"/>
        <v>2.0760000000000001E-2</v>
      </c>
      <c r="DO249">
        <f t="shared" si="4869"/>
        <v>1.05</v>
      </c>
      <c r="DP249">
        <f t="shared" si="4869"/>
        <v>5.16E-2</v>
      </c>
      <c r="DQ249">
        <f t="shared" si="4869"/>
        <v>3.4079999999999999E-2</v>
      </c>
      <c r="DR249">
        <f t="shared" si="4869"/>
        <v>31.939999999999998</v>
      </c>
      <c r="DS249">
        <f t="shared" si="4869"/>
        <v>0.58299999999999996</v>
      </c>
      <c r="DT249">
        <f t="shared" si="4869"/>
        <v>0.14230000000000004</v>
      </c>
      <c r="DU249">
        <f t="shared" si="4869"/>
        <v>41.97999999999999</v>
      </c>
      <c r="DV249">
        <f t="shared" si="4869"/>
        <v>1.406E-2</v>
      </c>
      <c r="DW249">
        <f t="shared" si="4869"/>
        <v>1.4999999999999999E-2</v>
      </c>
      <c r="DX249">
        <f t="shared" si="4869"/>
        <v>0</v>
      </c>
      <c r="DY249">
        <f t="shared" si="4869"/>
        <v>84.36</v>
      </c>
      <c r="DZ249">
        <f t="shared" si="4869"/>
        <v>0</v>
      </c>
      <c r="EA249">
        <f t="shared" si="4869"/>
        <v>506.17999999999995</v>
      </c>
      <c r="EB249">
        <f t="shared" si="4869"/>
        <v>0.15250000000000002</v>
      </c>
      <c r="EC249">
        <f t="shared" si="4869"/>
        <v>0</v>
      </c>
      <c r="ED249">
        <f t="shared" si="4869"/>
        <v>3.8019999999999996</v>
      </c>
      <c r="EE249">
        <f t="shared" si="4869"/>
        <v>2.2260000000000002E-2</v>
      </c>
      <c r="EF249">
        <f t="shared" si="4869"/>
        <v>1.4000000000000001E-4</v>
      </c>
      <c r="EG249">
        <f t="shared" si="4869"/>
        <v>7.7999999999999999E-4</v>
      </c>
      <c r="EH249">
        <f t="shared" si="4869"/>
        <v>3.5999999999999997E-4</v>
      </c>
      <c r="EI249">
        <f t="shared" si="4869"/>
        <v>3.4999999999999996E-3</v>
      </c>
      <c r="EJ249">
        <f t="shared" si="4869"/>
        <v>5.4000000000000001E-4</v>
      </c>
      <c r="EK249">
        <f t="shared" si="4869"/>
        <v>2.0000000000000019E-5</v>
      </c>
      <c r="EL249">
        <f t="shared" si="4869"/>
        <v>2.0000000000000019E-5</v>
      </c>
      <c r="EM249">
        <f t="shared" si="4869"/>
        <v>1.4580000000000001E-2</v>
      </c>
      <c r="EN249">
        <f t="shared" si="4869"/>
        <v>1.4000000000000001E-4</v>
      </c>
      <c r="EO249">
        <f t="shared" si="4869"/>
        <v>4.2000000000000002E-4</v>
      </c>
      <c r="EP249">
        <f t="shared" si="4869"/>
        <v>1.3880000000000002E-2</v>
      </c>
      <c r="EQ249">
        <f t="shared" si="4869"/>
        <v>1.4000000000000001E-4</v>
      </c>
      <c r="ER249">
        <f t="shared" si="4869"/>
        <v>0</v>
      </c>
      <c r="ES249">
        <f t="shared" si="4869"/>
        <v>5.9380000000000002E-2</v>
      </c>
      <c r="ET249">
        <f t="shared" si="4869"/>
        <v>3.3500000000000002E-2</v>
      </c>
      <c r="EU249">
        <f t="shared" si="4869"/>
        <v>2.2499999999999999E-2</v>
      </c>
      <c r="EV249">
        <f t="shared" si="4869"/>
        <v>0</v>
      </c>
      <c r="EW249">
        <f t="shared" si="4869"/>
        <v>0</v>
      </c>
      <c r="EX249">
        <f t="shared" si="4869"/>
        <v>0</v>
      </c>
      <c r="EY249">
        <f t="shared" si="4869"/>
        <v>3.6799999999999997E-3</v>
      </c>
      <c r="EZ249">
        <f t="shared" si="4869"/>
        <v>16.905463880597015</v>
      </c>
      <c r="FA249">
        <f t="shared" ref="FA249:FW249" si="4870">SUM(FA239:FA248)</f>
        <v>60.081018507462687</v>
      </c>
      <c r="FB249">
        <f t="shared" si="4870"/>
        <v>53.915049850746264</v>
      </c>
      <c r="FC249">
        <f t="shared" si="4870"/>
        <v>87.059838208955213</v>
      </c>
      <c r="FD249">
        <f t="shared" si="4870"/>
        <v>55.151289253731342</v>
      </c>
      <c r="FE249">
        <f t="shared" si="4870"/>
        <v>17.443692835820901</v>
      </c>
      <c r="FF249">
        <f t="shared" si="4870"/>
        <v>18.346876417910451</v>
      </c>
      <c r="FG249">
        <f t="shared" si="4870"/>
        <v>50.82328805970149</v>
      </c>
      <c r="FH249">
        <f t="shared" si="4870"/>
        <v>31.504579104477607</v>
      </c>
      <c r="FI249">
        <f t="shared" si="4870"/>
        <v>69.363698805970159</v>
      </c>
      <c r="FJ249">
        <f t="shared" si="4870"/>
        <v>134.14712865671643</v>
      </c>
      <c r="FK249">
        <f t="shared" si="4870"/>
        <v>38.968361194029853</v>
      </c>
      <c r="FL249">
        <f t="shared" si="4870"/>
        <v>79.349724477611943</v>
      </c>
      <c r="FM249">
        <f t="shared" si="4870"/>
        <v>114.10251820895523</v>
      </c>
      <c r="FN249">
        <f t="shared" si="4870"/>
        <v>174.97577731343281</v>
      </c>
      <c r="FO249">
        <f t="shared" si="4870"/>
        <v>73.648471940298521</v>
      </c>
      <c r="FP249">
        <f t="shared" si="4870"/>
        <v>58.099028955223886</v>
      </c>
      <c r="FQ249">
        <f t="shared" si="4870"/>
        <v>65.572541791044785</v>
      </c>
      <c r="FR249">
        <f t="shared" si="4870"/>
        <v>2.4E-2</v>
      </c>
      <c r="FS249">
        <f t="shared" si="4870"/>
        <v>2.7000000000000003E-2</v>
      </c>
      <c r="FT249">
        <f t="shared" si="4870"/>
        <v>0</v>
      </c>
      <c r="FU249">
        <f t="shared" si="4870"/>
        <v>1.0454999999999999</v>
      </c>
      <c r="FV249">
        <f t="shared" si="4870"/>
        <v>0</v>
      </c>
      <c r="FW249">
        <f t="shared" si="4870"/>
        <v>0</v>
      </c>
    </row>
    <row r="252" spans="1:179" x14ac:dyDescent="0.35">
      <c r="A252" s="80" t="s">
        <v>476</v>
      </c>
      <c r="B252" s="72" t="s">
        <v>477</v>
      </c>
      <c r="C252">
        <v>35</v>
      </c>
      <c r="D252" s="6">
        <v>105</v>
      </c>
      <c r="E252" s="6">
        <v>445</v>
      </c>
      <c r="F252" s="6">
        <v>3.4</v>
      </c>
      <c r="G252" s="6">
        <v>0</v>
      </c>
      <c r="H252" s="6">
        <v>3.4</v>
      </c>
      <c r="I252" s="6">
        <v>1.3</v>
      </c>
      <c r="J252" s="6">
        <v>0</v>
      </c>
      <c r="K252" s="6">
        <v>1.3</v>
      </c>
      <c r="L252" s="6">
        <v>0</v>
      </c>
      <c r="M252" s="6">
        <v>20.5</v>
      </c>
      <c r="N252" s="6">
        <v>15.2</v>
      </c>
      <c r="O252" s="6">
        <v>5.3</v>
      </c>
      <c r="P252" s="6">
        <v>1.4</v>
      </c>
      <c r="Q252" s="6">
        <v>0</v>
      </c>
      <c r="R252" s="6">
        <v>70.3</v>
      </c>
      <c r="S252" s="6">
        <v>0.5</v>
      </c>
      <c r="T252" s="6">
        <v>4</v>
      </c>
      <c r="U252" s="6">
        <v>270</v>
      </c>
      <c r="V252" s="6">
        <v>220</v>
      </c>
      <c r="W252" s="6">
        <v>79</v>
      </c>
      <c r="X252" s="6">
        <v>0.45</v>
      </c>
      <c r="Y252" s="6">
        <v>16</v>
      </c>
      <c r="Z252" s="6">
        <v>0.05</v>
      </c>
      <c r="AA252" s="6">
        <v>0.7</v>
      </c>
      <c r="AB252" s="6">
        <v>84</v>
      </c>
      <c r="AC252" s="51">
        <v>0.5</v>
      </c>
      <c r="AD252" s="6">
        <v>0.1</v>
      </c>
      <c r="AE252" s="6">
        <v>19</v>
      </c>
      <c r="AF252" s="6">
        <v>0.25</v>
      </c>
      <c r="AG252" s="6">
        <v>0.18</v>
      </c>
      <c r="AH252" s="6">
        <v>7</v>
      </c>
      <c r="AI252" s="6">
        <v>0.86</v>
      </c>
      <c r="AJ252" s="6">
        <v>0.13</v>
      </c>
      <c r="AK252" s="6">
        <v>45</v>
      </c>
      <c r="AL252" s="6">
        <v>0.12</v>
      </c>
      <c r="AM252" s="6">
        <v>1.1000000000000001</v>
      </c>
      <c r="AN252" s="6">
        <v>0</v>
      </c>
      <c r="AO252" s="6">
        <v>24</v>
      </c>
      <c r="AP252" s="6">
        <v>0</v>
      </c>
      <c r="AQ252" s="6">
        <v>144</v>
      </c>
      <c r="AR252" s="6">
        <v>0.5</v>
      </c>
      <c r="AS252" s="6">
        <v>0</v>
      </c>
      <c r="AT252" s="6">
        <v>0.4</v>
      </c>
      <c r="AU252" s="6">
        <v>0.2</v>
      </c>
      <c r="AV252" s="6">
        <v>0</v>
      </c>
      <c r="AW252" s="6">
        <v>0</v>
      </c>
      <c r="AX252" s="6">
        <v>0.1</v>
      </c>
      <c r="AY252" s="6">
        <v>0.03</v>
      </c>
      <c r="AZ252" s="6">
        <v>0.03</v>
      </c>
      <c r="BA252" s="6">
        <v>0.03</v>
      </c>
      <c r="BB252" s="6">
        <v>0</v>
      </c>
      <c r="BC252" s="6">
        <v>0.3</v>
      </c>
      <c r="BD252" s="6">
        <v>0</v>
      </c>
      <c r="BE252" s="6">
        <v>0</v>
      </c>
      <c r="BF252" s="6">
        <v>0.3</v>
      </c>
      <c r="BG252" s="6">
        <v>0</v>
      </c>
      <c r="BH252" s="6">
        <v>0</v>
      </c>
      <c r="BI252" s="6">
        <v>0.56999999999999995</v>
      </c>
      <c r="BJ252" s="6">
        <v>0.49</v>
      </c>
      <c r="BK252" s="6">
        <v>0.09</v>
      </c>
      <c r="BL252" s="6">
        <v>0</v>
      </c>
      <c r="BM252" s="6">
        <v>0</v>
      </c>
      <c r="BN252" s="6">
        <v>0</v>
      </c>
      <c r="BO252" s="6">
        <v>0</v>
      </c>
      <c r="BP252" s="7">
        <v>23.2826086956522</v>
      </c>
      <c r="BQ252" s="7">
        <v>126.39130434782599</v>
      </c>
      <c r="BR252" s="7">
        <v>131.934782608696</v>
      </c>
      <c r="BS252" s="7">
        <v>431.65217391304299</v>
      </c>
      <c r="BT252" s="7">
        <v>96.456521739130395</v>
      </c>
      <c r="BU252" s="7">
        <v>71.695652173913004</v>
      </c>
      <c r="BV252" s="7">
        <v>75.391304347826093</v>
      </c>
      <c r="BW252" s="7">
        <v>177.76086956521701</v>
      </c>
      <c r="BX252" s="7">
        <v>129.71739130434801</v>
      </c>
      <c r="BY252" s="7">
        <v>178.130434782609</v>
      </c>
      <c r="BZ252" s="7">
        <v>158.91304347826099</v>
      </c>
      <c r="CA252" s="7">
        <v>99.043478260869605</v>
      </c>
      <c r="CB252" s="7">
        <v>266.08695652173901</v>
      </c>
      <c r="CC252" s="7">
        <v>221.369565217391</v>
      </c>
      <c r="CD252" s="7">
        <v>672.60869565217399</v>
      </c>
      <c r="CE252" s="7">
        <v>128.23913043478299</v>
      </c>
      <c r="CF252" s="7">
        <v>325.21739130434798</v>
      </c>
      <c r="CG252" s="7">
        <v>175.54347826086999</v>
      </c>
      <c r="CH252" s="6">
        <v>0.2</v>
      </c>
      <c r="CI252" s="6">
        <v>0.1</v>
      </c>
      <c r="CJ252" s="6">
        <v>0</v>
      </c>
      <c r="CK252" s="6">
        <v>5</v>
      </c>
      <c r="CL252" s="51">
        <v>0.05</v>
      </c>
      <c r="CM252" s="6">
        <v>0</v>
      </c>
      <c r="CN252">
        <f t="shared" ref="CN252:CN256" si="4871">($C252*D252)/100</f>
        <v>36.75</v>
      </c>
      <c r="CO252">
        <f t="shared" ref="CO252:CO256" si="4872">($C252*E252)/100</f>
        <v>155.75</v>
      </c>
      <c r="CP252">
        <f t="shared" ref="CP252:CP256" si="4873">($C252*F252)/100</f>
        <v>1.19</v>
      </c>
      <c r="CQ252">
        <f t="shared" ref="CQ252:CQ256" si="4874">($C252*G252)/100</f>
        <v>0</v>
      </c>
      <c r="CR252">
        <f t="shared" ref="CR252:CR256" si="4875">($C252*H252)/100</f>
        <v>1.19</v>
      </c>
      <c r="CS252">
        <f t="shared" ref="CS252:CS256" si="4876">($C252*I252)/100</f>
        <v>0.45500000000000002</v>
      </c>
      <c r="CT252">
        <f t="shared" ref="CT252:CT256" si="4877">($C252*J252)/100</f>
        <v>0</v>
      </c>
      <c r="CU252">
        <f t="shared" ref="CU252:CU256" si="4878">($C252*K252)/100</f>
        <v>0.45500000000000002</v>
      </c>
      <c r="CV252">
        <f t="shared" ref="CV252:CV256" si="4879">($C252*L252)/100</f>
        <v>0</v>
      </c>
      <c r="CW252">
        <f t="shared" ref="CW252:CW256" si="4880">($C252*M252)/100</f>
        <v>7.1749999999999998</v>
      </c>
      <c r="CX252">
        <f t="shared" ref="CX252:CX256" si="4881">($C252*N252)/100</f>
        <v>5.32</v>
      </c>
      <c r="CY252">
        <f t="shared" ref="CY252:CY256" si="4882">($C252*O252)/100</f>
        <v>1.855</v>
      </c>
      <c r="CZ252">
        <f t="shared" ref="CZ252:CZ256" si="4883">($C252*P252)/100</f>
        <v>0.49</v>
      </c>
      <c r="DA252">
        <f t="shared" ref="DA252:DA256" si="4884">($C252*Q252)/100</f>
        <v>0</v>
      </c>
      <c r="DB252">
        <f t="shared" ref="DB252:DB256" si="4885">($C252*R252)/100</f>
        <v>24.605</v>
      </c>
      <c r="DC252">
        <f t="shared" ref="DC252:DC256" si="4886">($C252*S252)/100</f>
        <v>0.17499999999999999</v>
      </c>
      <c r="DD252">
        <f t="shared" ref="DD252:DD256" si="4887">($C252*T252)/100</f>
        <v>1.4</v>
      </c>
      <c r="DE252">
        <f t="shared" ref="DE252:DE256" si="4888">($C252*U252)/100</f>
        <v>94.5</v>
      </c>
      <c r="DF252">
        <f t="shared" ref="DF252:DF256" si="4889">($C252*V252)/100</f>
        <v>77</v>
      </c>
      <c r="DG252">
        <f t="shared" ref="DG252:DG256" si="4890">($C252*W252)/100</f>
        <v>27.65</v>
      </c>
      <c r="DH252">
        <f t="shared" ref="DH252:DH256" si="4891">($C252*X252)/100</f>
        <v>0.1575</v>
      </c>
      <c r="DI252">
        <f t="shared" ref="DI252:DI256" si="4892">($C252*Y252)/100</f>
        <v>5.6</v>
      </c>
      <c r="DJ252">
        <f t="shared" ref="DJ252:DJ256" si="4893">($C252*Z252)/100</f>
        <v>1.7500000000000002E-2</v>
      </c>
      <c r="DK252">
        <f t="shared" ref="DK252:DK256" si="4894">($C252*AA252)/100</f>
        <v>0.245</v>
      </c>
      <c r="DL252">
        <f t="shared" ref="DL252:DL256" si="4895">($C252*AB252)/100</f>
        <v>29.4</v>
      </c>
      <c r="DM252">
        <f t="shared" ref="DM252:DM256" si="4896">($C252*AC252)/100</f>
        <v>0.17499999999999999</v>
      </c>
      <c r="DN252">
        <f t="shared" ref="DN252:DN256" si="4897">($C252*AD252)/100</f>
        <v>3.5000000000000003E-2</v>
      </c>
      <c r="DO252">
        <f t="shared" ref="DO252:DO256" si="4898">($C252*AE252)/100</f>
        <v>6.65</v>
      </c>
      <c r="DP252">
        <f t="shared" ref="DP252:DP256" si="4899">($C252*AF252)/100</f>
        <v>8.7499999999999994E-2</v>
      </c>
      <c r="DQ252">
        <f t="shared" ref="DQ252:DQ256" si="4900">($C252*AG252)/100</f>
        <v>6.3E-2</v>
      </c>
      <c r="DR252">
        <f t="shared" ref="DR252:DR256" si="4901">($C252*AH252)/100</f>
        <v>2.4500000000000002</v>
      </c>
      <c r="DS252">
        <f t="shared" ref="DS252:DS256" si="4902">($C252*AI252)/100</f>
        <v>0.30099999999999999</v>
      </c>
      <c r="DT252">
        <f t="shared" ref="DT252:DT256" si="4903">($C252*AJ252)/100</f>
        <v>4.5499999999999999E-2</v>
      </c>
      <c r="DU252">
        <f t="shared" ref="DU252:DU256" si="4904">($C252*AK252)/100</f>
        <v>15.75</v>
      </c>
      <c r="DV252">
        <f t="shared" ref="DV252:DV256" si="4905">($C252*AL252)/100</f>
        <v>4.2000000000000003E-2</v>
      </c>
      <c r="DW252">
        <f t="shared" ref="DW252:DW256" si="4906">($C252*AM252)/100</f>
        <v>0.38500000000000001</v>
      </c>
      <c r="DX252">
        <f t="shared" ref="DX252:DX256" si="4907">($C252*AN252)/100</f>
        <v>0</v>
      </c>
      <c r="DY252">
        <f t="shared" ref="DY252:DY256" si="4908">($C252*AO252)/100</f>
        <v>8.4</v>
      </c>
      <c r="DZ252">
        <f t="shared" ref="DZ252:DZ256" si="4909">($C252*AP252)/100</f>
        <v>0</v>
      </c>
      <c r="EA252">
        <f t="shared" ref="EA252:EA256" si="4910">($C252*AQ252)/100</f>
        <v>50.4</v>
      </c>
      <c r="EB252">
        <f t="shared" ref="EB252:EB256" si="4911">($C252*AR252)/100</f>
        <v>0.17499999999999999</v>
      </c>
      <c r="EC252">
        <f t="shared" ref="EC252:EC256" si="4912">($C252*AS252)/100</f>
        <v>0</v>
      </c>
      <c r="ED252">
        <f t="shared" ref="ED252:ED256" si="4913">($C252*AT252)/100</f>
        <v>0.14000000000000001</v>
      </c>
      <c r="EE252">
        <f t="shared" ref="EE252:EE256" si="4914">($C252*AU252)/100</f>
        <v>7.0000000000000007E-2</v>
      </c>
      <c r="EF252">
        <f t="shared" ref="EF252:EF256" si="4915">($C252*AV252)/100</f>
        <v>0</v>
      </c>
      <c r="EG252">
        <f t="shared" ref="EG252:EG256" si="4916">($C252*AW252)/100</f>
        <v>0</v>
      </c>
      <c r="EH252">
        <f t="shared" ref="EH252:EH256" si="4917">($C252*AX252)/100</f>
        <v>3.5000000000000003E-2</v>
      </c>
      <c r="EI252">
        <f t="shared" ref="EI252:EI256" si="4918">($C252*AY252)/100</f>
        <v>1.0500000000000001E-2</v>
      </c>
      <c r="EJ252">
        <f t="shared" ref="EJ252:EJ256" si="4919">($C252*AZ252)/100</f>
        <v>1.0500000000000001E-2</v>
      </c>
      <c r="EK252">
        <f t="shared" ref="EK252:EK256" si="4920">($C252*BA252)/100</f>
        <v>1.0500000000000001E-2</v>
      </c>
      <c r="EL252">
        <f t="shared" ref="EL252:EL256" si="4921">($C252*BB252)/100</f>
        <v>0</v>
      </c>
      <c r="EM252">
        <f t="shared" ref="EM252:EM256" si="4922">($C252*BC252)/100</f>
        <v>0.105</v>
      </c>
      <c r="EN252">
        <f t="shared" ref="EN252:EN256" si="4923">($C252*BD252)/100</f>
        <v>0</v>
      </c>
      <c r="EO252">
        <f t="shared" ref="EO252:EO256" si="4924">($C252*BE252)/100</f>
        <v>0</v>
      </c>
      <c r="EP252">
        <f t="shared" ref="EP252:EP256" si="4925">($C252*BF252)/100</f>
        <v>0.105</v>
      </c>
      <c r="EQ252">
        <f t="shared" ref="EQ252:EQ256" si="4926">($C252*BG252)/100</f>
        <v>0</v>
      </c>
      <c r="ER252">
        <f t="shared" ref="ER252:ER256" si="4927">($C252*BH252)/100</f>
        <v>0</v>
      </c>
      <c r="ES252">
        <f t="shared" ref="ES252:ES256" si="4928">($C252*BI252)/100</f>
        <v>0.19949999999999998</v>
      </c>
      <c r="ET252">
        <f t="shared" ref="ET252:ET256" si="4929">($C252*BJ252)/100</f>
        <v>0.17149999999999999</v>
      </c>
      <c r="EU252">
        <f t="shared" ref="EU252:EU256" si="4930">($C252*BK252)/100</f>
        <v>3.15E-2</v>
      </c>
      <c r="EV252">
        <f t="shared" ref="EV252:EV256" si="4931">($C252*BL252)/100</f>
        <v>0</v>
      </c>
      <c r="EW252">
        <f t="shared" ref="EW252:EW256" si="4932">($C252*BM252)/100</f>
        <v>0</v>
      </c>
      <c r="EX252">
        <f t="shared" ref="EX252:EX256" si="4933">($C252*BN252)/100</f>
        <v>0</v>
      </c>
      <c r="EY252">
        <f t="shared" ref="EY252:EY256" si="4934">($C252*BO252)/100</f>
        <v>0</v>
      </c>
      <c r="EZ252">
        <f t="shared" ref="EZ252:EZ256" si="4935">($C252*BP252)/100</f>
        <v>8.1489130434782702</v>
      </c>
      <c r="FA252">
        <f t="shared" ref="FA252:FA256" si="4936">($C252*BQ252)/100</f>
        <v>44.236956521739096</v>
      </c>
      <c r="FB252">
        <f t="shared" ref="FB252:FB256" si="4937">($C252*BR252)/100</f>
        <v>46.177173913043596</v>
      </c>
      <c r="FC252">
        <f t="shared" ref="FC252:FC256" si="4938">($C252*BS252)/100</f>
        <v>151.07826086956504</v>
      </c>
      <c r="FD252">
        <f t="shared" ref="FD252:FD256" si="4939">($C252*BT252)/100</f>
        <v>33.759782608695637</v>
      </c>
      <c r="FE252">
        <f t="shared" ref="FE252:FE256" si="4940">($C252*BU252)/100</f>
        <v>25.093478260869553</v>
      </c>
      <c r="FF252">
        <f t="shared" ref="FF252:FF256" si="4941">($C252*BV252)/100</f>
        <v>26.386956521739133</v>
      </c>
      <c r="FG252">
        <f t="shared" ref="FG252:FG256" si="4942">($C252*BW252)/100</f>
        <v>62.216304347825954</v>
      </c>
      <c r="FH252">
        <f t="shared" ref="FH252:FH256" si="4943">($C252*BX252)/100</f>
        <v>45.401086956521802</v>
      </c>
      <c r="FI252">
        <f t="shared" ref="FI252:FI256" si="4944">($C252*BY252)/100</f>
        <v>62.345652173913152</v>
      </c>
      <c r="FJ252">
        <f t="shared" ref="FJ252:FJ256" si="4945">($C252*BZ252)/100</f>
        <v>55.619565217391347</v>
      </c>
      <c r="FK252">
        <f t="shared" ref="FK252:FK256" si="4946">($C252*CA252)/100</f>
        <v>34.665217391304367</v>
      </c>
      <c r="FL252">
        <f t="shared" ref="FL252:FL256" si="4947">($C252*CB252)/100</f>
        <v>93.130434782608646</v>
      </c>
      <c r="FM252">
        <f t="shared" ref="FM252:FM256" si="4948">($C252*CC252)/100</f>
        <v>77.479347826086851</v>
      </c>
      <c r="FN252">
        <f t="shared" ref="FN252:FN256" si="4949">($C252*CD252)/100</f>
        <v>235.41304347826087</v>
      </c>
      <c r="FO252">
        <f t="shared" ref="FO252:FO256" si="4950">($C252*CE252)/100</f>
        <v>44.883695652174048</v>
      </c>
      <c r="FP252">
        <f t="shared" ref="FP252:FP256" si="4951">($C252*CF252)/100</f>
        <v>113.82608695652179</v>
      </c>
      <c r="FQ252">
        <f t="shared" ref="FQ252:FQ256" si="4952">($C252*CG252)/100</f>
        <v>61.440217391304493</v>
      </c>
      <c r="FR252">
        <f t="shared" ref="FR252:FR256" si="4953">($C252*CH252)/100</f>
        <v>7.0000000000000007E-2</v>
      </c>
      <c r="FS252">
        <f t="shared" ref="FS252:FS256" si="4954">($C252*CI252)/100</f>
        <v>3.5000000000000003E-2</v>
      </c>
      <c r="FT252">
        <f t="shared" ref="FT252:FT256" si="4955">($C252*CJ252)/100</f>
        <v>0</v>
      </c>
      <c r="FU252">
        <f t="shared" ref="FU252:FU256" si="4956">($C252*CK252)/100</f>
        <v>1.75</v>
      </c>
      <c r="FV252">
        <f t="shared" ref="FV252:FV256" si="4957">($C252*CL252)/100</f>
        <v>1.7500000000000002E-2</v>
      </c>
      <c r="FW252">
        <f t="shared" ref="FW252:FW256" si="4958">($C252*CM252)/100</f>
        <v>0</v>
      </c>
    </row>
    <row r="253" spans="1:179" x14ac:dyDescent="0.35">
      <c r="B253" s="72" t="s">
        <v>451</v>
      </c>
      <c r="C253">
        <v>35</v>
      </c>
      <c r="D253" s="54">
        <v>58</v>
      </c>
      <c r="E253" s="54">
        <v>243</v>
      </c>
      <c r="F253" s="54">
        <v>4.0999999999999996</v>
      </c>
      <c r="G253" s="54">
        <v>0</v>
      </c>
      <c r="H253" s="54">
        <v>4.0999999999999996</v>
      </c>
      <c r="I253" s="54">
        <v>0.5</v>
      </c>
      <c r="J253" s="54">
        <v>0</v>
      </c>
      <c r="K253" s="54">
        <v>0.5</v>
      </c>
      <c r="L253" s="54">
        <v>0</v>
      </c>
      <c r="M253" s="54">
        <v>6.3</v>
      </c>
      <c r="N253" s="54">
        <v>5.2</v>
      </c>
      <c r="O253" s="54">
        <v>1.1000000000000001</v>
      </c>
      <c r="P253" s="54">
        <v>6.8</v>
      </c>
      <c r="Q253" s="54">
        <v>0</v>
      </c>
      <c r="R253" s="54">
        <v>82</v>
      </c>
      <c r="S253" s="54">
        <v>1.9</v>
      </c>
      <c r="T253" s="54">
        <v>40</v>
      </c>
      <c r="U253" s="54">
        <v>305</v>
      </c>
      <c r="V253" s="54">
        <v>232</v>
      </c>
      <c r="W253" s="54">
        <v>47</v>
      </c>
      <c r="X253" s="54">
        <v>0.6</v>
      </c>
      <c r="Y253" s="81">
        <v>0</v>
      </c>
      <c r="Z253" s="81">
        <v>0</v>
      </c>
      <c r="AA253" s="81">
        <v>0</v>
      </c>
      <c r="AB253" s="81">
        <v>0</v>
      </c>
      <c r="AC253" s="81">
        <v>0</v>
      </c>
      <c r="AD253" s="81">
        <v>0</v>
      </c>
      <c r="AE253" s="81">
        <v>0</v>
      </c>
      <c r="AF253" s="54">
        <v>0.03</v>
      </c>
      <c r="AG253" s="54">
        <v>0.02</v>
      </c>
      <c r="AH253" s="51">
        <v>0.5</v>
      </c>
      <c r="AI253" s="54">
        <v>0.1</v>
      </c>
      <c r="AJ253" s="54">
        <v>0.03</v>
      </c>
      <c r="AK253" s="54">
        <v>8</v>
      </c>
      <c r="AL253" s="81">
        <v>0</v>
      </c>
      <c r="AM253" s="81">
        <v>0</v>
      </c>
      <c r="AN253" s="81">
        <v>0</v>
      </c>
      <c r="AO253" s="51">
        <v>0.5</v>
      </c>
      <c r="AP253" s="54">
        <v>0</v>
      </c>
      <c r="AQ253" s="51">
        <v>0.5</v>
      </c>
      <c r="AR253" s="54">
        <v>0.23</v>
      </c>
      <c r="AS253" s="54">
        <v>0</v>
      </c>
      <c r="AT253" s="81">
        <v>0</v>
      </c>
      <c r="AU253" s="54">
        <v>0.1</v>
      </c>
      <c r="AV253" s="81">
        <v>0</v>
      </c>
      <c r="AW253" s="81">
        <v>0</v>
      </c>
      <c r="AX253" s="81">
        <v>0</v>
      </c>
      <c r="AY253" s="81">
        <v>0</v>
      </c>
      <c r="AZ253" s="81">
        <v>0</v>
      </c>
      <c r="BA253" s="81">
        <v>0</v>
      </c>
      <c r="BB253" s="81">
        <v>0</v>
      </c>
      <c r="BC253" s="54">
        <v>0.04</v>
      </c>
      <c r="BD253" s="82">
        <v>0</v>
      </c>
      <c r="BE253" s="82">
        <v>0</v>
      </c>
      <c r="BF253" s="54">
        <v>0.04</v>
      </c>
      <c r="BG253" s="82">
        <v>0</v>
      </c>
      <c r="BH253" s="82">
        <v>0</v>
      </c>
      <c r="BI253" s="54">
        <v>0.24</v>
      </c>
      <c r="BJ253" s="54">
        <v>0.12</v>
      </c>
      <c r="BK253" s="54">
        <v>0.12</v>
      </c>
      <c r="BL253" s="82">
        <v>0</v>
      </c>
      <c r="BM253" s="82">
        <v>0</v>
      </c>
      <c r="BN253" s="82">
        <v>0</v>
      </c>
      <c r="BO253" s="54">
        <v>0</v>
      </c>
      <c r="BP253" s="56">
        <v>37</v>
      </c>
      <c r="BQ253" s="56">
        <v>160</v>
      </c>
      <c r="BR253" s="56">
        <v>195</v>
      </c>
      <c r="BS253" s="56">
        <v>332</v>
      </c>
      <c r="BT253" s="56">
        <v>280</v>
      </c>
      <c r="BU253" s="56">
        <v>43</v>
      </c>
      <c r="BV253" s="56">
        <v>40</v>
      </c>
      <c r="BW253" s="56">
        <v>234</v>
      </c>
      <c r="BX253" s="56">
        <v>157</v>
      </c>
      <c r="BY253" s="56">
        <v>218</v>
      </c>
      <c r="BZ253" s="56">
        <v>234</v>
      </c>
      <c r="CA253" s="56">
        <v>122</v>
      </c>
      <c r="CB253" s="56">
        <v>171</v>
      </c>
      <c r="CC253" s="56">
        <v>469</v>
      </c>
      <c r="CD253" s="56">
        <v>629</v>
      </c>
      <c r="CE253" s="56">
        <v>162</v>
      </c>
      <c r="CF253" s="56">
        <v>156</v>
      </c>
      <c r="CG253" s="56">
        <v>245</v>
      </c>
      <c r="CH253" s="81">
        <v>0</v>
      </c>
      <c r="CI253" s="81">
        <v>0</v>
      </c>
      <c r="CJ253" s="83">
        <v>0</v>
      </c>
      <c r="CK253" s="81">
        <v>0</v>
      </c>
      <c r="CL253" s="81">
        <v>0</v>
      </c>
      <c r="CM253" s="83">
        <v>0</v>
      </c>
      <c r="CN253">
        <f t="shared" si="4871"/>
        <v>20.3</v>
      </c>
      <c r="CO253">
        <f t="shared" si="4872"/>
        <v>85.05</v>
      </c>
      <c r="CP253">
        <f t="shared" si="4873"/>
        <v>1.4350000000000001</v>
      </c>
      <c r="CQ253">
        <f t="shared" si="4874"/>
        <v>0</v>
      </c>
      <c r="CR253">
        <f t="shared" si="4875"/>
        <v>1.4350000000000001</v>
      </c>
      <c r="CS253">
        <f t="shared" si="4876"/>
        <v>0.17499999999999999</v>
      </c>
      <c r="CT253">
        <f t="shared" si="4877"/>
        <v>0</v>
      </c>
      <c r="CU253">
        <f t="shared" si="4878"/>
        <v>0.17499999999999999</v>
      </c>
      <c r="CV253">
        <f t="shared" si="4879"/>
        <v>0</v>
      </c>
      <c r="CW253">
        <f t="shared" si="4880"/>
        <v>2.2050000000000001</v>
      </c>
      <c r="CX253">
        <f t="shared" si="4881"/>
        <v>1.82</v>
      </c>
      <c r="CY253">
        <f t="shared" si="4882"/>
        <v>0.38500000000000001</v>
      </c>
      <c r="CZ253">
        <f t="shared" si="4883"/>
        <v>2.38</v>
      </c>
      <c r="DA253">
        <f t="shared" si="4884"/>
        <v>0</v>
      </c>
      <c r="DB253">
        <f t="shared" si="4885"/>
        <v>28.7</v>
      </c>
      <c r="DC253">
        <f t="shared" si="4886"/>
        <v>0.66500000000000004</v>
      </c>
      <c r="DD253">
        <f t="shared" si="4887"/>
        <v>14</v>
      </c>
      <c r="DE253">
        <f t="shared" si="4888"/>
        <v>106.75</v>
      </c>
      <c r="DF253">
        <f t="shared" si="4889"/>
        <v>81.2</v>
      </c>
      <c r="DG253">
        <f t="shared" si="4890"/>
        <v>16.45</v>
      </c>
      <c r="DH253">
        <f t="shared" si="4891"/>
        <v>0.21</v>
      </c>
      <c r="DI253">
        <f t="shared" si="4892"/>
        <v>0</v>
      </c>
      <c r="DJ253">
        <f t="shared" si="4893"/>
        <v>0</v>
      </c>
      <c r="DK253">
        <f t="shared" si="4894"/>
        <v>0</v>
      </c>
      <c r="DL253">
        <f t="shared" si="4895"/>
        <v>0</v>
      </c>
      <c r="DM253">
        <f t="shared" si="4896"/>
        <v>0</v>
      </c>
      <c r="DN253">
        <f t="shared" si="4897"/>
        <v>0</v>
      </c>
      <c r="DO253">
        <f t="shared" si="4898"/>
        <v>0</v>
      </c>
      <c r="DP253">
        <f t="shared" si="4899"/>
        <v>1.0500000000000001E-2</v>
      </c>
      <c r="DQ253">
        <f t="shared" si="4900"/>
        <v>7.000000000000001E-3</v>
      </c>
      <c r="DR253">
        <f t="shared" si="4901"/>
        <v>0.17499999999999999</v>
      </c>
      <c r="DS253">
        <f t="shared" si="4902"/>
        <v>3.5000000000000003E-2</v>
      </c>
      <c r="DT253">
        <f t="shared" si="4903"/>
        <v>1.0500000000000001E-2</v>
      </c>
      <c r="DU253">
        <f t="shared" si="4904"/>
        <v>2.8</v>
      </c>
      <c r="DV253">
        <f t="shared" si="4905"/>
        <v>0</v>
      </c>
      <c r="DW253">
        <f t="shared" si="4906"/>
        <v>0</v>
      </c>
      <c r="DX253">
        <f t="shared" si="4907"/>
        <v>0</v>
      </c>
      <c r="DY253">
        <f t="shared" si="4908"/>
        <v>0.17499999999999999</v>
      </c>
      <c r="DZ253">
        <f t="shared" si="4909"/>
        <v>0</v>
      </c>
      <c r="EA253">
        <f t="shared" si="4910"/>
        <v>0.17499999999999999</v>
      </c>
      <c r="EB253">
        <f t="shared" si="4911"/>
        <v>8.0500000000000002E-2</v>
      </c>
      <c r="EC253">
        <f t="shared" si="4912"/>
        <v>0</v>
      </c>
      <c r="ED253">
        <f t="shared" si="4913"/>
        <v>0</v>
      </c>
      <c r="EE253">
        <f t="shared" si="4914"/>
        <v>3.5000000000000003E-2</v>
      </c>
      <c r="EF253">
        <f t="shared" si="4915"/>
        <v>0</v>
      </c>
      <c r="EG253">
        <f t="shared" si="4916"/>
        <v>0</v>
      </c>
      <c r="EH253">
        <f t="shared" si="4917"/>
        <v>0</v>
      </c>
      <c r="EI253">
        <f t="shared" si="4918"/>
        <v>0</v>
      </c>
      <c r="EJ253">
        <f t="shared" si="4919"/>
        <v>0</v>
      </c>
      <c r="EK253">
        <f t="shared" si="4920"/>
        <v>0</v>
      </c>
      <c r="EL253">
        <f t="shared" si="4921"/>
        <v>0</v>
      </c>
      <c r="EM253">
        <f t="shared" si="4922"/>
        <v>1.4000000000000002E-2</v>
      </c>
      <c r="EN253">
        <f t="shared" si="4923"/>
        <v>0</v>
      </c>
      <c r="EO253">
        <f t="shared" si="4924"/>
        <v>0</v>
      </c>
      <c r="EP253">
        <f t="shared" si="4925"/>
        <v>1.4000000000000002E-2</v>
      </c>
      <c r="EQ253">
        <f t="shared" si="4926"/>
        <v>0</v>
      </c>
      <c r="ER253">
        <f t="shared" si="4927"/>
        <v>0</v>
      </c>
      <c r="ES253">
        <f t="shared" si="4928"/>
        <v>8.4000000000000005E-2</v>
      </c>
      <c r="ET253">
        <f t="shared" si="4929"/>
        <v>4.2000000000000003E-2</v>
      </c>
      <c r="EU253">
        <f t="shared" si="4930"/>
        <v>4.2000000000000003E-2</v>
      </c>
      <c r="EV253">
        <f t="shared" si="4931"/>
        <v>0</v>
      </c>
      <c r="EW253">
        <f t="shared" si="4932"/>
        <v>0</v>
      </c>
      <c r="EX253">
        <f t="shared" si="4933"/>
        <v>0</v>
      </c>
      <c r="EY253">
        <f t="shared" si="4934"/>
        <v>0</v>
      </c>
      <c r="EZ253">
        <f t="shared" si="4935"/>
        <v>12.95</v>
      </c>
      <c r="FA253">
        <f t="shared" si="4936"/>
        <v>56</v>
      </c>
      <c r="FB253">
        <f t="shared" si="4937"/>
        <v>68.25</v>
      </c>
      <c r="FC253">
        <f t="shared" si="4938"/>
        <v>116.2</v>
      </c>
      <c r="FD253">
        <f t="shared" si="4939"/>
        <v>98</v>
      </c>
      <c r="FE253">
        <f t="shared" si="4940"/>
        <v>15.05</v>
      </c>
      <c r="FF253">
        <f t="shared" si="4941"/>
        <v>14</v>
      </c>
      <c r="FG253">
        <f t="shared" si="4942"/>
        <v>81.900000000000006</v>
      </c>
      <c r="FH253">
        <f t="shared" si="4943"/>
        <v>54.95</v>
      </c>
      <c r="FI253">
        <f t="shared" si="4944"/>
        <v>76.3</v>
      </c>
      <c r="FJ253">
        <f t="shared" si="4945"/>
        <v>81.900000000000006</v>
      </c>
      <c r="FK253">
        <f t="shared" si="4946"/>
        <v>42.7</v>
      </c>
      <c r="FL253">
        <f t="shared" si="4947"/>
        <v>59.85</v>
      </c>
      <c r="FM253">
        <f t="shared" si="4948"/>
        <v>164.15</v>
      </c>
      <c r="FN253">
        <f t="shared" si="4949"/>
        <v>220.15</v>
      </c>
      <c r="FO253">
        <f t="shared" si="4950"/>
        <v>56.7</v>
      </c>
      <c r="FP253">
        <f t="shared" si="4951"/>
        <v>54.6</v>
      </c>
      <c r="FQ253">
        <f t="shared" si="4952"/>
        <v>85.75</v>
      </c>
      <c r="FR253">
        <f t="shared" si="4953"/>
        <v>0</v>
      </c>
      <c r="FS253">
        <f t="shared" si="4954"/>
        <v>0</v>
      </c>
      <c r="FT253">
        <f t="shared" si="4955"/>
        <v>0</v>
      </c>
      <c r="FU253">
        <f t="shared" si="4956"/>
        <v>0</v>
      </c>
      <c r="FV253">
        <f t="shared" si="4957"/>
        <v>0</v>
      </c>
      <c r="FW253">
        <f t="shared" si="4958"/>
        <v>0</v>
      </c>
    </row>
    <row r="254" spans="1:179" x14ac:dyDescent="0.35">
      <c r="B254" s="72" t="s">
        <v>226</v>
      </c>
      <c r="C254">
        <v>10</v>
      </c>
      <c r="D254" s="6">
        <v>19</v>
      </c>
      <c r="E254" s="6">
        <v>81</v>
      </c>
      <c r="F254" s="6">
        <v>1.2</v>
      </c>
      <c r="G254" s="6">
        <v>0</v>
      </c>
      <c r="H254" s="6">
        <v>1.2</v>
      </c>
      <c r="I254" s="6">
        <v>0.2</v>
      </c>
      <c r="J254" s="6">
        <v>0</v>
      </c>
      <c r="K254" s="6">
        <v>0.2</v>
      </c>
      <c r="L254" s="6">
        <v>0</v>
      </c>
      <c r="M254" s="6">
        <v>2.8</v>
      </c>
      <c r="N254" s="6">
        <v>0</v>
      </c>
      <c r="O254" s="6">
        <v>2.8</v>
      </c>
      <c r="P254" s="6">
        <v>1.1000000000000001</v>
      </c>
      <c r="Q254" s="6">
        <v>0</v>
      </c>
      <c r="R254" s="6">
        <v>94.2</v>
      </c>
      <c r="S254" s="6">
        <v>0.4</v>
      </c>
      <c r="T254" s="6">
        <v>11</v>
      </c>
      <c r="U254" s="6">
        <v>3</v>
      </c>
      <c r="V254" s="6">
        <v>290</v>
      </c>
      <c r="W254" s="6">
        <v>26</v>
      </c>
      <c r="X254" s="6">
        <v>0.2</v>
      </c>
      <c r="Y254" s="81">
        <v>0</v>
      </c>
      <c r="Z254" s="81">
        <v>0</v>
      </c>
      <c r="AA254" s="81">
        <v>0</v>
      </c>
      <c r="AB254" s="81">
        <v>0</v>
      </c>
      <c r="AC254" s="81">
        <v>0</v>
      </c>
      <c r="AD254" s="81">
        <v>0</v>
      </c>
      <c r="AE254" s="81">
        <v>0</v>
      </c>
      <c r="AF254" s="6">
        <v>0.03</v>
      </c>
      <c r="AG254" s="6">
        <v>0.03</v>
      </c>
      <c r="AH254" s="6">
        <v>21</v>
      </c>
      <c r="AI254" s="6">
        <v>0.7</v>
      </c>
      <c r="AJ254" s="6">
        <v>0.12</v>
      </c>
      <c r="AK254" s="6">
        <v>14</v>
      </c>
      <c r="AL254" s="81">
        <v>0</v>
      </c>
      <c r="AM254" s="81">
        <v>0</v>
      </c>
      <c r="AN254" s="81">
        <v>0</v>
      </c>
      <c r="AO254" s="6">
        <v>42</v>
      </c>
      <c r="AP254" s="6">
        <v>0</v>
      </c>
      <c r="AQ254" s="6">
        <v>252</v>
      </c>
      <c r="AR254" s="6">
        <v>1.03</v>
      </c>
      <c r="AS254" s="6">
        <v>0</v>
      </c>
      <c r="AT254" s="81">
        <v>0</v>
      </c>
      <c r="AU254" s="6">
        <v>0.03</v>
      </c>
      <c r="AV254" s="81">
        <v>0</v>
      </c>
      <c r="AW254" s="81">
        <v>0</v>
      </c>
      <c r="AX254" s="81">
        <v>0</v>
      </c>
      <c r="AY254" s="81">
        <v>0</v>
      </c>
      <c r="AZ254" s="81">
        <v>0</v>
      </c>
      <c r="BA254" s="81">
        <v>0</v>
      </c>
      <c r="BB254" s="81">
        <v>0</v>
      </c>
      <c r="BC254" s="6">
        <v>0.03</v>
      </c>
      <c r="BD254" s="82">
        <v>0</v>
      </c>
      <c r="BE254" s="82">
        <v>0</v>
      </c>
      <c r="BF254" s="6">
        <v>0.03</v>
      </c>
      <c r="BG254" s="82">
        <v>0</v>
      </c>
      <c r="BH254" s="82">
        <v>0</v>
      </c>
      <c r="BI254" s="6">
        <v>0.08</v>
      </c>
      <c r="BJ254" s="6">
        <v>0.08</v>
      </c>
      <c r="BK254" s="51">
        <v>5.0000000000000001E-3</v>
      </c>
      <c r="BL254" s="82">
        <v>0</v>
      </c>
      <c r="BM254" s="82">
        <v>0</v>
      </c>
      <c r="BN254" s="82">
        <v>0</v>
      </c>
      <c r="BO254" s="6">
        <v>0</v>
      </c>
      <c r="BP254" s="7">
        <v>11</v>
      </c>
      <c r="BQ254" s="7">
        <v>30</v>
      </c>
      <c r="BR254" s="7">
        <v>24</v>
      </c>
      <c r="BS254" s="7">
        <v>36</v>
      </c>
      <c r="BT254" s="7">
        <v>36</v>
      </c>
      <c r="BU254" s="7">
        <v>8</v>
      </c>
      <c r="BV254" s="7">
        <v>8</v>
      </c>
      <c r="BW254" s="7">
        <v>24</v>
      </c>
      <c r="BX254" s="7">
        <v>17</v>
      </c>
      <c r="BY254" s="7">
        <v>29</v>
      </c>
      <c r="BZ254" s="7">
        <v>29</v>
      </c>
      <c r="CA254" s="7">
        <v>20</v>
      </c>
      <c r="CB254" s="7">
        <v>32</v>
      </c>
      <c r="CC254" s="7">
        <v>155</v>
      </c>
      <c r="CD254" s="7">
        <v>548</v>
      </c>
      <c r="CE254" s="7">
        <v>24</v>
      </c>
      <c r="CF254" s="7">
        <v>22</v>
      </c>
      <c r="CG254" s="7">
        <v>34</v>
      </c>
      <c r="CH254" s="81">
        <v>0</v>
      </c>
      <c r="CI254" s="81">
        <v>0</v>
      </c>
      <c r="CJ254" s="83">
        <v>0</v>
      </c>
      <c r="CK254" s="81">
        <v>0</v>
      </c>
      <c r="CL254" s="81">
        <v>0</v>
      </c>
      <c r="CM254" s="83">
        <v>0</v>
      </c>
      <c r="CN254">
        <f t="shared" si="4871"/>
        <v>1.9</v>
      </c>
      <c r="CO254">
        <f t="shared" si="4872"/>
        <v>8.1</v>
      </c>
      <c r="CP254">
        <f t="shared" si="4873"/>
        <v>0.12</v>
      </c>
      <c r="CQ254">
        <f t="shared" si="4874"/>
        <v>0</v>
      </c>
      <c r="CR254">
        <f t="shared" si="4875"/>
        <v>0.12</v>
      </c>
      <c r="CS254">
        <f t="shared" si="4876"/>
        <v>0.02</v>
      </c>
      <c r="CT254">
        <f t="shared" si="4877"/>
        <v>0</v>
      </c>
      <c r="CU254">
        <f t="shared" si="4878"/>
        <v>0.02</v>
      </c>
      <c r="CV254">
        <f t="shared" si="4879"/>
        <v>0</v>
      </c>
      <c r="CW254">
        <f t="shared" si="4880"/>
        <v>0.28000000000000003</v>
      </c>
      <c r="CX254">
        <f t="shared" si="4881"/>
        <v>0</v>
      </c>
      <c r="CY254">
        <f t="shared" si="4882"/>
        <v>0.28000000000000003</v>
      </c>
      <c r="CZ254">
        <f t="shared" si="4883"/>
        <v>0.11</v>
      </c>
      <c r="DA254">
        <f t="shared" si="4884"/>
        <v>0</v>
      </c>
      <c r="DB254">
        <f t="shared" si="4885"/>
        <v>9.42</v>
      </c>
      <c r="DC254">
        <f t="shared" si="4886"/>
        <v>0.04</v>
      </c>
      <c r="DD254">
        <f t="shared" si="4887"/>
        <v>1.1000000000000001</v>
      </c>
      <c r="DE254">
        <f t="shared" si="4888"/>
        <v>0.3</v>
      </c>
      <c r="DF254">
        <f t="shared" si="4889"/>
        <v>29</v>
      </c>
      <c r="DG254">
        <f t="shared" si="4890"/>
        <v>2.6</v>
      </c>
      <c r="DH254">
        <f t="shared" si="4891"/>
        <v>0.02</v>
      </c>
      <c r="DI254">
        <f t="shared" si="4892"/>
        <v>0</v>
      </c>
      <c r="DJ254">
        <f t="shared" si="4893"/>
        <v>0</v>
      </c>
      <c r="DK254">
        <f t="shared" si="4894"/>
        <v>0</v>
      </c>
      <c r="DL254">
        <f t="shared" si="4895"/>
        <v>0</v>
      </c>
      <c r="DM254">
        <f t="shared" si="4896"/>
        <v>0</v>
      </c>
      <c r="DN254">
        <f t="shared" si="4897"/>
        <v>0</v>
      </c>
      <c r="DO254">
        <f t="shared" si="4898"/>
        <v>0</v>
      </c>
      <c r="DP254">
        <f t="shared" si="4899"/>
        <v>3.0000000000000001E-3</v>
      </c>
      <c r="DQ254">
        <f t="shared" si="4900"/>
        <v>3.0000000000000001E-3</v>
      </c>
      <c r="DR254">
        <f t="shared" si="4901"/>
        <v>2.1</v>
      </c>
      <c r="DS254">
        <f t="shared" si="4902"/>
        <v>7.0000000000000007E-2</v>
      </c>
      <c r="DT254">
        <f t="shared" si="4903"/>
        <v>1.2E-2</v>
      </c>
      <c r="DU254">
        <f t="shared" si="4904"/>
        <v>1.4</v>
      </c>
      <c r="DV254">
        <f t="shared" si="4905"/>
        <v>0</v>
      </c>
      <c r="DW254">
        <f t="shared" si="4906"/>
        <v>0</v>
      </c>
      <c r="DX254">
        <f t="shared" si="4907"/>
        <v>0</v>
      </c>
      <c r="DY254">
        <f t="shared" si="4908"/>
        <v>4.2</v>
      </c>
      <c r="DZ254">
        <f t="shared" si="4909"/>
        <v>0</v>
      </c>
      <c r="EA254">
        <f t="shared" si="4910"/>
        <v>25.2</v>
      </c>
      <c r="EB254">
        <f t="shared" si="4911"/>
        <v>0.10300000000000001</v>
      </c>
      <c r="EC254">
        <f t="shared" si="4912"/>
        <v>0</v>
      </c>
      <c r="ED254">
        <f t="shared" si="4913"/>
        <v>0</v>
      </c>
      <c r="EE254">
        <f t="shared" si="4914"/>
        <v>3.0000000000000001E-3</v>
      </c>
      <c r="EF254">
        <f t="shared" si="4915"/>
        <v>0</v>
      </c>
      <c r="EG254">
        <f t="shared" si="4916"/>
        <v>0</v>
      </c>
      <c r="EH254">
        <f t="shared" si="4917"/>
        <v>0</v>
      </c>
      <c r="EI254">
        <f t="shared" si="4918"/>
        <v>0</v>
      </c>
      <c r="EJ254">
        <f t="shared" si="4919"/>
        <v>0</v>
      </c>
      <c r="EK254">
        <f t="shared" si="4920"/>
        <v>0</v>
      </c>
      <c r="EL254">
        <f t="shared" si="4921"/>
        <v>0</v>
      </c>
      <c r="EM254">
        <f t="shared" si="4922"/>
        <v>3.0000000000000001E-3</v>
      </c>
      <c r="EN254">
        <f t="shared" si="4923"/>
        <v>0</v>
      </c>
      <c r="EO254">
        <f t="shared" si="4924"/>
        <v>0</v>
      </c>
      <c r="EP254">
        <f t="shared" si="4925"/>
        <v>3.0000000000000001E-3</v>
      </c>
      <c r="EQ254">
        <f t="shared" si="4926"/>
        <v>0</v>
      </c>
      <c r="ER254">
        <f t="shared" si="4927"/>
        <v>0</v>
      </c>
      <c r="ES254">
        <f t="shared" si="4928"/>
        <v>8.0000000000000002E-3</v>
      </c>
      <c r="ET254">
        <f t="shared" si="4929"/>
        <v>8.0000000000000002E-3</v>
      </c>
      <c r="EU254">
        <f t="shared" si="4930"/>
        <v>5.0000000000000001E-4</v>
      </c>
      <c r="EV254">
        <f t="shared" si="4931"/>
        <v>0</v>
      </c>
      <c r="EW254">
        <f t="shared" si="4932"/>
        <v>0</v>
      </c>
      <c r="EX254">
        <f t="shared" si="4933"/>
        <v>0</v>
      </c>
      <c r="EY254">
        <f t="shared" si="4934"/>
        <v>0</v>
      </c>
      <c r="EZ254">
        <f t="shared" si="4935"/>
        <v>1.1000000000000001</v>
      </c>
      <c r="FA254">
        <f t="shared" si="4936"/>
        <v>3</v>
      </c>
      <c r="FB254">
        <f t="shared" si="4937"/>
        <v>2.4</v>
      </c>
      <c r="FC254">
        <f t="shared" si="4938"/>
        <v>3.6</v>
      </c>
      <c r="FD254">
        <f t="shared" si="4939"/>
        <v>3.6</v>
      </c>
      <c r="FE254">
        <f t="shared" si="4940"/>
        <v>0.8</v>
      </c>
      <c r="FF254">
        <f t="shared" si="4941"/>
        <v>0.8</v>
      </c>
      <c r="FG254">
        <f t="shared" si="4942"/>
        <v>2.4</v>
      </c>
      <c r="FH254">
        <f t="shared" si="4943"/>
        <v>1.7</v>
      </c>
      <c r="FI254">
        <f t="shared" si="4944"/>
        <v>2.9</v>
      </c>
      <c r="FJ254">
        <f t="shared" si="4945"/>
        <v>2.9</v>
      </c>
      <c r="FK254">
        <f t="shared" si="4946"/>
        <v>2</v>
      </c>
      <c r="FL254">
        <f t="shared" si="4947"/>
        <v>3.2</v>
      </c>
      <c r="FM254">
        <f t="shared" si="4948"/>
        <v>15.5</v>
      </c>
      <c r="FN254">
        <f t="shared" si="4949"/>
        <v>54.8</v>
      </c>
      <c r="FO254">
        <f t="shared" si="4950"/>
        <v>2.4</v>
      </c>
      <c r="FP254">
        <f t="shared" si="4951"/>
        <v>2.2000000000000002</v>
      </c>
      <c r="FQ254">
        <f t="shared" si="4952"/>
        <v>3.4</v>
      </c>
      <c r="FR254">
        <f t="shared" si="4953"/>
        <v>0</v>
      </c>
      <c r="FS254">
        <f t="shared" si="4954"/>
        <v>0</v>
      </c>
      <c r="FT254">
        <f t="shared" si="4955"/>
        <v>0</v>
      </c>
      <c r="FU254">
        <f t="shared" si="4956"/>
        <v>0</v>
      </c>
      <c r="FV254">
        <f t="shared" si="4957"/>
        <v>0</v>
      </c>
      <c r="FW254">
        <f t="shared" si="4958"/>
        <v>0</v>
      </c>
    </row>
    <row r="255" spans="1:179" x14ac:dyDescent="0.35">
      <c r="B255" s="72" t="s">
        <v>253</v>
      </c>
      <c r="C255">
        <v>10</v>
      </c>
      <c r="D255" s="54">
        <v>28</v>
      </c>
      <c r="E255" s="54">
        <v>121</v>
      </c>
      <c r="F255" s="54">
        <v>1</v>
      </c>
      <c r="G255" s="54">
        <v>0</v>
      </c>
      <c r="H255" s="54">
        <v>1</v>
      </c>
      <c r="I255" s="54">
        <v>0.1</v>
      </c>
      <c r="J255" s="54">
        <v>0</v>
      </c>
      <c r="K255" s="54">
        <v>0.1</v>
      </c>
      <c r="L255" s="54">
        <v>0</v>
      </c>
      <c r="M255" s="54">
        <v>5.7</v>
      </c>
      <c r="N255" s="54">
        <v>0</v>
      </c>
      <c r="O255" s="54">
        <v>5.7</v>
      </c>
      <c r="P255" s="54">
        <v>1.1000000000000001</v>
      </c>
      <c r="Q255" s="54">
        <v>0</v>
      </c>
      <c r="R255" s="54">
        <v>92.1</v>
      </c>
      <c r="S255" s="54">
        <v>0.4</v>
      </c>
      <c r="T255" s="54">
        <v>25</v>
      </c>
      <c r="U255" s="54">
        <v>10</v>
      </c>
      <c r="V255" s="54">
        <v>140</v>
      </c>
      <c r="W255" s="54">
        <v>35</v>
      </c>
      <c r="X255" s="54">
        <v>0.3</v>
      </c>
      <c r="Y255" s="81">
        <v>0</v>
      </c>
      <c r="Z255" s="81">
        <v>0</v>
      </c>
      <c r="AA255" s="81">
        <v>0</v>
      </c>
      <c r="AB255" s="81">
        <v>0</v>
      </c>
      <c r="AC255" s="81">
        <v>0</v>
      </c>
      <c r="AD255" s="81">
        <v>0</v>
      </c>
      <c r="AE255" s="81">
        <v>0</v>
      </c>
      <c r="AF255" s="54">
        <v>0.02</v>
      </c>
      <c r="AG255" s="54">
        <v>0.03</v>
      </c>
      <c r="AH255" s="54">
        <v>5</v>
      </c>
      <c r="AI255" s="54">
        <v>0.5</v>
      </c>
      <c r="AJ255" s="54">
        <v>0.14000000000000001</v>
      </c>
      <c r="AK255" s="54">
        <v>12</v>
      </c>
      <c r="AL255" s="81">
        <v>0</v>
      </c>
      <c r="AM255" s="81">
        <v>0</v>
      </c>
      <c r="AN255" s="81">
        <v>0</v>
      </c>
      <c r="AO255" s="54">
        <v>0</v>
      </c>
      <c r="AP255" s="54">
        <v>0</v>
      </c>
      <c r="AQ255" s="54">
        <v>0</v>
      </c>
      <c r="AR255" s="54">
        <v>0.22</v>
      </c>
      <c r="AS255" s="54">
        <v>0</v>
      </c>
      <c r="AT255" s="81">
        <v>0</v>
      </c>
      <c r="AU255" s="54">
        <v>0.02</v>
      </c>
      <c r="AV255" s="81">
        <v>0</v>
      </c>
      <c r="AW255" s="81">
        <v>0</v>
      </c>
      <c r="AX255" s="81">
        <v>0</v>
      </c>
      <c r="AY255" s="81">
        <v>0</v>
      </c>
      <c r="AZ255" s="81">
        <v>0</v>
      </c>
      <c r="BA255" s="81">
        <v>0</v>
      </c>
      <c r="BB255" s="81">
        <v>0</v>
      </c>
      <c r="BC255" s="54">
        <v>0.01</v>
      </c>
      <c r="BD255" s="82">
        <v>0</v>
      </c>
      <c r="BE255" s="82">
        <v>0</v>
      </c>
      <c r="BF255" s="54">
        <v>0.01</v>
      </c>
      <c r="BG255" s="82">
        <v>0</v>
      </c>
      <c r="BH255" s="82">
        <v>0</v>
      </c>
      <c r="BI255" s="54">
        <v>0.03</v>
      </c>
      <c r="BJ255" s="54">
        <v>0.03</v>
      </c>
      <c r="BK255" s="51">
        <v>5.0000000000000001E-3</v>
      </c>
      <c r="BL255" s="82">
        <v>0</v>
      </c>
      <c r="BM255" s="82">
        <v>0</v>
      </c>
      <c r="BN255" s="82">
        <v>0</v>
      </c>
      <c r="BO255" s="54">
        <v>0</v>
      </c>
      <c r="BP255" s="56">
        <v>15</v>
      </c>
      <c r="BQ255" s="56">
        <v>24</v>
      </c>
      <c r="BR255" s="56">
        <v>35</v>
      </c>
      <c r="BS255" s="56">
        <v>35</v>
      </c>
      <c r="BT255" s="56">
        <v>47</v>
      </c>
      <c r="BU255" s="56">
        <v>9</v>
      </c>
      <c r="BV255" s="56">
        <v>18</v>
      </c>
      <c r="BW255" s="56">
        <v>26</v>
      </c>
      <c r="BX255" s="56">
        <v>25</v>
      </c>
      <c r="BY255" s="56">
        <v>23</v>
      </c>
      <c r="BZ255" s="56">
        <v>134</v>
      </c>
      <c r="CA255" s="56">
        <v>16</v>
      </c>
      <c r="CB255" s="56">
        <v>28</v>
      </c>
      <c r="CC255" s="56">
        <v>54</v>
      </c>
      <c r="CD255" s="56">
        <v>161</v>
      </c>
      <c r="CE255" s="56">
        <v>41</v>
      </c>
      <c r="CF255" s="56">
        <v>31</v>
      </c>
      <c r="CG255" s="56">
        <v>29</v>
      </c>
      <c r="CH255" s="81">
        <v>0</v>
      </c>
      <c r="CI255" s="81">
        <v>0</v>
      </c>
      <c r="CJ255" s="83">
        <v>0</v>
      </c>
      <c r="CK255" s="81">
        <v>0</v>
      </c>
      <c r="CL255" s="81">
        <v>0</v>
      </c>
      <c r="CM255" s="83">
        <v>0</v>
      </c>
      <c r="CN255">
        <f t="shared" si="4871"/>
        <v>2.8</v>
      </c>
      <c r="CO255">
        <f t="shared" si="4872"/>
        <v>12.1</v>
      </c>
      <c r="CP255">
        <f t="shared" si="4873"/>
        <v>0.1</v>
      </c>
      <c r="CQ255">
        <f t="shared" si="4874"/>
        <v>0</v>
      </c>
      <c r="CR255">
        <f t="shared" si="4875"/>
        <v>0.1</v>
      </c>
      <c r="CS255">
        <f t="shared" si="4876"/>
        <v>0.01</v>
      </c>
      <c r="CT255">
        <f t="shared" si="4877"/>
        <v>0</v>
      </c>
      <c r="CU255">
        <f t="shared" si="4878"/>
        <v>0.01</v>
      </c>
      <c r="CV255">
        <f t="shared" si="4879"/>
        <v>0</v>
      </c>
      <c r="CW255">
        <f t="shared" si="4880"/>
        <v>0.56999999999999995</v>
      </c>
      <c r="CX255">
        <f t="shared" si="4881"/>
        <v>0</v>
      </c>
      <c r="CY255">
        <f t="shared" si="4882"/>
        <v>0.56999999999999995</v>
      </c>
      <c r="CZ255">
        <f t="shared" si="4883"/>
        <v>0.11</v>
      </c>
      <c r="DA255">
        <f t="shared" si="4884"/>
        <v>0</v>
      </c>
      <c r="DB255">
        <f t="shared" si="4885"/>
        <v>9.2100000000000009</v>
      </c>
      <c r="DC255">
        <f t="shared" si="4886"/>
        <v>0.04</v>
      </c>
      <c r="DD255">
        <f t="shared" si="4887"/>
        <v>2.5</v>
      </c>
      <c r="DE255">
        <f t="shared" si="4888"/>
        <v>1</v>
      </c>
      <c r="DF255">
        <f t="shared" si="4889"/>
        <v>14</v>
      </c>
      <c r="DG255">
        <f t="shared" si="4890"/>
        <v>3.5</v>
      </c>
      <c r="DH255">
        <f t="shared" si="4891"/>
        <v>0.03</v>
      </c>
      <c r="DI255">
        <f t="shared" si="4892"/>
        <v>0</v>
      </c>
      <c r="DJ255">
        <f t="shared" si="4893"/>
        <v>0</v>
      </c>
      <c r="DK255">
        <f t="shared" si="4894"/>
        <v>0</v>
      </c>
      <c r="DL255">
        <f t="shared" si="4895"/>
        <v>0</v>
      </c>
      <c r="DM255">
        <f t="shared" si="4896"/>
        <v>0</v>
      </c>
      <c r="DN255">
        <f t="shared" si="4897"/>
        <v>0</v>
      </c>
      <c r="DO255">
        <f t="shared" si="4898"/>
        <v>0</v>
      </c>
      <c r="DP255">
        <f t="shared" si="4899"/>
        <v>2E-3</v>
      </c>
      <c r="DQ255">
        <f t="shared" si="4900"/>
        <v>3.0000000000000001E-3</v>
      </c>
      <c r="DR255">
        <f t="shared" si="4901"/>
        <v>0.5</v>
      </c>
      <c r="DS255">
        <f t="shared" si="4902"/>
        <v>0.05</v>
      </c>
      <c r="DT255">
        <f t="shared" si="4903"/>
        <v>1.4000000000000002E-2</v>
      </c>
      <c r="DU255">
        <f t="shared" si="4904"/>
        <v>1.2</v>
      </c>
      <c r="DV255">
        <f t="shared" si="4905"/>
        <v>0</v>
      </c>
      <c r="DW255">
        <f t="shared" si="4906"/>
        <v>0</v>
      </c>
      <c r="DX255">
        <f t="shared" si="4907"/>
        <v>0</v>
      </c>
      <c r="DY255">
        <f t="shared" si="4908"/>
        <v>0</v>
      </c>
      <c r="DZ255">
        <f t="shared" si="4909"/>
        <v>0</v>
      </c>
      <c r="EA255">
        <f t="shared" si="4910"/>
        <v>0</v>
      </c>
      <c r="EB255">
        <f t="shared" si="4911"/>
        <v>2.2000000000000002E-2</v>
      </c>
      <c r="EC255">
        <f t="shared" si="4912"/>
        <v>0</v>
      </c>
      <c r="ED255">
        <f t="shared" si="4913"/>
        <v>0</v>
      </c>
      <c r="EE255">
        <f t="shared" si="4914"/>
        <v>2E-3</v>
      </c>
      <c r="EF255">
        <f t="shared" si="4915"/>
        <v>0</v>
      </c>
      <c r="EG255">
        <f t="shared" si="4916"/>
        <v>0</v>
      </c>
      <c r="EH255">
        <f t="shared" si="4917"/>
        <v>0</v>
      </c>
      <c r="EI255">
        <f t="shared" si="4918"/>
        <v>0</v>
      </c>
      <c r="EJ255">
        <f t="shared" si="4919"/>
        <v>0</v>
      </c>
      <c r="EK255">
        <f t="shared" si="4920"/>
        <v>0</v>
      </c>
      <c r="EL255">
        <f t="shared" si="4921"/>
        <v>0</v>
      </c>
      <c r="EM255">
        <f t="shared" si="4922"/>
        <v>1E-3</v>
      </c>
      <c r="EN255">
        <f t="shared" si="4923"/>
        <v>0</v>
      </c>
      <c r="EO255">
        <f t="shared" si="4924"/>
        <v>0</v>
      </c>
      <c r="EP255">
        <f t="shared" si="4925"/>
        <v>1E-3</v>
      </c>
      <c r="EQ255">
        <f t="shared" si="4926"/>
        <v>0</v>
      </c>
      <c r="ER255">
        <f t="shared" si="4927"/>
        <v>0</v>
      </c>
      <c r="ES255">
        <f t="shared" si="4928"/>
        <v>3.0000000000000001E-3</v>
      </c>
      <c r="ET255">
        <f t="shared" si="4929"/>
        <v>3.0000000000000001E-3</v>
      </c>
      <c r="EU255">
        <f t="shared" si="4930"/>
        <v>5.0000000000000001E-4</v>
      </c>
      <c r="EV255">
        <f t="shared" si="4931"/>
        <v>0</v>
      </c>
      <c r="EW255">
        <f t="shared" si="4932"/>
        <v>0</v>
      </c>
      <c r="EX255">
        <f t="shared" si="4933"/>
        <v>0</v>
      </c>
      <c r="EY255">
        <f t="shared" si="4934"/>
        <v>0</v>
      </c>
      <c r="EZ255">
        <f t="shared" si="4935"/>
        <v>1.5</v>
      </c>
      <c r="FA255">
        <f t="shared" si="4936"/>
        <v>2.4</v>
      </c>
      <c r="FB255">
        <f t="shared" si="4937"/>
        <v>3.5</v>
      </c>
      <c r="FC255">
        <f t="shared" si="4938"/>
        <v>3.5</v>
      </c>
      <c r="FD255">
        <f t="shared" si="4939"/>
        <v>4.7</v>
      </c>
      <c r="FE255">
        <f t="shared" si="4940"/>
        <v>0.9</v>
      </c>
      <c r="FF255">
        <f t="shared" si="4941"/>
        <v>1.8</v>
      </c>
      <c r="FG255">
        <f t="shared" si="4942"/>
        <v>2.6</v>
      </c>
      <c r="FH255">
        <f t="shared" si="4943"/>
        <v>2.5</v>
      </c>
      <c r="FI255">
        <f t="shared" si="4944"/>
        <v>2.2999999999999998</v>
      </c>
      <c r="FJ255">
        <f t="shared" si="4945"/>
        <v>13.4</v>
      </c>
      <c r="FK255">
        <f t="shared" si="4946"/>
        <v>1.6</v>
      </c>
      <c r="FL255">
        <f t="shared" si="4947"/>
        <v>2.8</v>
      </c>
      <c r="FM255">
        <f t="shared" si="4948"/>
        <v>5.4</v>
      </c>
      <c r="FN255">
        <f t="shared" si="4949"/>
        <v>16.100000000000001</v>
      </c>
      <c r="FO255">
        <f t="shared" si="4950"/>
        <v>4.0999999999999996</v>
      </c>
      <c r="FP255">
        <f t="shared" si="4951"/>
        <v>3.1</v>
      </c>
      <c r="FQ255">
        <f t="shared" si="4952"/>
        <v>2.9</v>
      </c>
      <c r="FR255">
        <f t="shared" si="4953"/>
        <v>0</v>
      </c>
      <c r="FS255">
        <f t="shared" si="4954"/>
        <v>0</v>
      </c>
      <c r="FT255">
        <f t="shared" si="4955"/>
        <v>0</v>
      </c>
      <c r="FU255">
        <f t="shared" si="4956"/>
        <v>0</v>
      </c>
      <c r="FV255">
        <f t="shared" si="4957"/>
        <v>0</v>
      </c>
      <c r="FW255">
        <f t="shared" si="4958"/>
        <v>0</v>
      </c>
    </row>
    <row r="256" spans="1:179" x14ac:dyDescent="0.35">
      <c r="B256" s="72" t="s">
        <v>211</v>
      </c>
      <c r="C256">
        <v>10</v>
      </c>
      <c r="D256" s="6">
        <v>899</v>
      </c>
      <c r="E256" s="6">
        <v>3696</v>
      </c>
      <c r="F256" s="6">
        <v>0</v>
      </c>
      <c r="G256" s="6">
        <v>0</v>
      </c>
      <c r="H256" s="6">
        <v>0</v>
      </c>
      <c r="I256" s="6">
        <v>99.9</v>
      </c>
      <c r="J256" s="6">
        <v>0</v>
      </c>
      <c r="K256" s="6">
        <v>99.9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0.2</v>
      </c>
      <c r="T256" s="6">
        <v>0</v>
      </c>
      <c r="U256" s="51">
        <v>0.5</v>
      </c>
      <c r="V256" s="51">
        <v>0.5</v>
      </c>
      <c r="W256" s="6">
        <v>0</v>
      </c>
      <c r="X256" s="51">
        <v>5.0000000000000001E-3</v>
      </c>
      <c r="Y256" s="51">
        <v>0.5</v>
      </c>
      <c r="Z256" s="6">
        <v>0.01</v>
      </c>
      <c r="AA256" s="51">
        <v>0.05</v>
      </c>
      <c r="AB256" s="51">
        <v>0.5</v>
      </c>
      <c r="AC256" s="51">
        <v>0.5</v>
      </c>
      <c r="AD256" s="51">
        <v>5.0000000000000001E-3</v>
      </c>
      <c r="AE256" s="51">
        <v>0.5</v>
      </c>
      <c r="AF256" s="6">
        <v>0</v>
      </c>
      <c r="AG256" s="6">
        <v>0</v>
      </c>
      <c r="AH256" s="6">
        <v>0</v>
      </c>
      <c r="AI256" s="6">
        <v>0</v>
      </c>
      <c r="AJ256" s="51">
        <v>5.0000000000000001E-3</v>
      </c>
      <c r="AK256" s="51">
        <v>0.5</v>
      </c>
      <c r="AL256" s="51">
        <v>5.0000000000000001E-3</v>
      </c>
      <c r="AM256" s="51">
        <v>0.05</v>
      </c>
      <c r="AN256" s="6">
        <v>0</v>
      </c>
      <c r="AO256" s="6">
        <v>36</v>
      </c>
      <c r="AP256" s="6">
        <v>0</v>
      </c>
      <c r="AQ256" s="6">
        <v>216</v>
      </c>
      <c r="AR256" s="6">
        <v>21.42</v>
      </c>
      <c r="AS256" s="6">
        <v>0</v>
      </c>
      <c r="AT256" s="6">
        <v>57.5</v>
      </c>
      <c r="AU256" s="6">
        <v>14.46</v>
      </c>
      <c r="AV256" s="6">
        <v>0</v>
      </c>
      <c r="AW256" s="6">
        <v>0</v>
      </c>
      <c r="AX256" s="6">
        <v>0</v>
      </c>
      <c r="AY256" s="6">
        <v>10.64</v>
      </c>
      <c r="AZ256" s="6">
        <v>3.06</v>
      </c>
      <c r="BA256" s="6">
        <v>0.76</v>
      </c>
      <c r="BB256" s="6">
        <v>0</v>
      </c>
      <c r="BC256" s="6">
        <v>72.95</v>
      </c>
      <c r="BD256" s="6">
        <v>0</v>
      </c>
      <c r="BE256" s="6">
        <v>0.79</v>
      </c>
      <c r="BF256" s="6">
        <v>71.87</v>
      </c>
      <c r="BG256" s="6">
        <v>0.28999999999999998</v>
      </c>
      <c r="BH256" s="6">
        <v>0</v>
      </c>
      <c r="BI256" s="6">
        <v>7.52</v>
      </c>
      <c r="BJ256" s="6">
        <v>6.79</v>
      </c>
      <c r="BK256" s="6">
        <v>0.73</v>
      </c>
      <c r="BL256" s="6">
        <v>0</v>
      </c>
      <c r="BM256" s="6">
        <v>0</v>
      </c>
      <c r="BN256" s="6">
        <v>0</v>
      </c>
      <c r="BO256" s="6">
        <v>0</v>
      </c>
      <c r="BP256" s="7">
        <v>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s="7">
        <v>0</v>
      </c>
      <c r="BW256" s="7">
        <v>0</v>
      </c>
      <c r="BX256" s="7">
        <v>0</v>
      </c>
      <c r="BY256" s="7">
        <v>0</v>
      </c>
      <c r="BZ256" s="7">
        <v>0</v>
      </c>
      <c r="CA256" s="7">
        <v>0</v>
      </c>
      <c r="CB256" s="7">
        <v>0</v>
      </c>
      <c r="CC256" s="7">
        <v>0</v>
      </c>
      <c r="CD256" s="7">
        <v>0</v>
      </c>
      <c r="CE256" s="7">
        <v>0</v>
      </c>
      <c r="CF256" s="7">
        <v>0</v>
      </c>
      <c r="CG256" s="7">
        <v>0</v>
      </c>
      <c r="CH256" s="6">
        <v>0</v>
      </c>
      <c r="CI256" s="6">
        <v>0</v>
      </c>
      <c r="CJ256" s="6">
        <v>0</v>
      </c>
      <c r="CK256" s="6">
        <v>0</v>
      </c>
      <c r="CL256" s="6">
        <v>0</v>
      </c>
      <c r="CM256" s="6">
        <v>0</v>
      </c>
      <c r="CN256">
        <f t="shared" si="4871"/>
        <v>89.9</v>
      </c>
      <c r="CO256">
        <f t="shared" si="4872"/>
        <v>369.6</v>
      </c>
      <c r="CP256">
        <f t="shared" si="4873"/>
        <v>0</v>
      </c>
      <c r="CQ256">
        <f t="shared" si="4874"/>
        <v>0</v>
      </c>
      <c r="CR256">
        <f t="shared" si="4875"/>
        <v>0</v>
      </c>
      <c r="CS256">
        <f t="shared" si="4876"/>
        <v>9.99</v>
      </c>
      <c r="CT256">
        <f t="shared" si="4877"/>
        <v>0</v>
      </c>
      <c r="CU256">
        <f t="shared" si="4878"/>
        <v>9.99</v>
      </c>
      <c r="CV256">
        <f t="shared" si="4879"/>
        <v>0</v>
      </c>
      <c r="CW256">
        <f t="shared" si="4880"/>
        <v>0</v>
      </c>
      <c r="CX256">
        <f t="shared" si="4881"/>
        <v>0</v>
      </c>
      <c r="CY256">
        <f t="shared" si="4882"/>
        <v>0</v>
      </c>
      <c r="CZ256">
        <f t="shared" si="4883"/>
        <v>0</v>
      </c>
      <c r="DA256">
        <f t="shared" si="4884"/>
        <v>0</v>
      </c>
      <c r="DB256">
        <f t="shared" si="4885"/>
        <v>0</v>
      </c>
      <c r="DC256">
        <f t="shared" si="4886"/>
        <v>0.02</v>
      </c>
      <c r="DD256">
        <f t="shared" si="4887"/>
        <v>0</v>
      </c>
      <c r="DE256">
        <f t="shared" si="4888"/>
        <v>0.05</v>
      </c>
      <c r="DF256">
        <f t="shared" si="4889"/>
        <v>0.05</v>
      </c>
      <c r="DG256">
        <f t="shared" si="4890"/>
        <v>0</v>
      </c>
      <c r="DH256">
        <f t="shared" si="4891"/>
        <v>5.0000000000000001E-4</v>
      </c>
      <c r="DI256">
        <f t="shared" si="4892"/>
        <v>0.05</v>
      </c>
      <c r="DJ256">
        <f t="shared" si="4893"/>
        <v>1E-3</v>
      </c>
      <c r="DK256">
        <f t="shared" si="4894"/>
        <v>5.0000000000000001E-3</v>
      </c>
      <c r="DL256">
        <f t="shared" si="4895"/>
        <v>0.05</v>
      </c>
      <c r="DM256">
        <f t="shared" si="4896"/>
        <v>0.05</v>
      </c>
      <c r="DN256">
        <f t="shared" si="4897"/>
        <v>5.0000000000000001E-4</v>
      </c>
      <c r="DO256">
        <f t="shared" si="4898"/>
        <v>0.05</v>
      </c>
      <c r="DP256">
        <f t="shared" si="4899"/>
        <v>0</v>
      </c>
      <c r="DQ256">
        <f t="shared" si="4900"/>
        <v>0</v>
      </c>
      <c r="DR256">
        <f t="shared" si="4901"/>
        <v>0</v>
      </c>
      <c r="DS256">
        <f t="shared" si="4902"/>
        <v>0</v>
      </c>
      <c r="DT256">
        <f t="shared" si="4903"/>
        <v>5.0000000000000001E-4</v>
      </c>
      <c r="DU256">
        <f t="shared" si="4904"/>
        <v>0.05</v>
      </c>
      <c r="DV256">
        <f t="shared" si="4905"/>
        <v>5.0000000000000001E-4</v>
      </c>
      <c r="DW256">
        <f t="shared" si="4906"/>
        <v>5.0000000000000001E-3</v>
      </c>
      <c r="DX256">
        <f t="shared" si="4907"/>
        <v>0</v>
      </c>
      <c r="DY256">
        <f t="shared" si="4908"/>
        <v>3.6</v>
      </c>
      <c r="DZ256">
        <f t="shared" si="4909"/>
        <v>0</v>
      </c>
      <c r="EA256">
        <f t="shared" si="4910"/>
        <v>21.6</v>
      </c>
      <c r="EB256">
        <f t="shared" si="4911"/>
        <v>2.1420000000000003</v>
      </c>
      <c r="EC256">
        <f t="shared" si="4912"/>
        <v>0</v>
      </c>
      <c r="ED256">
        <f t="shared" si="4913"/>
        <v>5.75</v>
      </c>
      <c r="EE256">
        <f t="shared" si="4914"/>
        <v>1.4460000000000002</v>
      </c>
      <c r="EF256">
        <f t="shared" si="4915"/>
        <v>0</v>
      </c>
      <c r="EG256">
        <f t="shared" si="4916"/>
        <v>0</v>
      </c>
      <c r="EH256">
        <f t="shared" si="4917"/>
        <v>0</v>
      </c>
      <c r="EI256">
        <f t="shared" si="4918"/>
        <v>1.0640000000000001</v>
      </c>
      <c r="EJ256">
        <f t="shared" si="4919"/>
        <v>0.30599999999999999</v>
      </c>
      <c r="EK256">
        <f t="shared" si="4920"/>
        <v>7.5999999999999998E-2</v>
      </c>
      <c r="EL256">
        <f t="shared" si="4921"/>
        <v>0</v>
      </c>
      <c r="EM256">
        <f t="shared" si="4922"/>
        <v>7.2949999999999999</v>
      </c>
      <c r="EN256">
        <f t="shared" si="4923"/>
        <v>0</v>
      </c>
      <c r="EO256">
        <f t="shared" si="4924"/>
        <v>7.9000000000000001E-2</v>
      </c>
      <c r="EP256">
        <f t="shared" si="4925"/>
        <v>7.1870000000000003</v>
      </c>
      <c r="EQ256">
        <f t="shared" si="4926"/>
        <v>2.8999999999999998E-2</v>
      </c>
      <c r="ER256">
        <f t="shared" si="4927"/>
        <v>0</v>
      </c>
      <c r="ES256">
        <f t="shared" si="4928"/>
        <v>0.75199999999999989</v>
      </c>
      <c r="ET256">
        <f t="shared" si="4929"/>
        <v>0.67900000000000005</v>
      </c>
      <c r="EU256">
        <f t="shared" si="4930"/>
        <v>7.2999999999999995E-2</v>
      </c>
      <c r="EV256">
        <f t="shared" si="4931"/>
        <v>0</v>
      </c>
      <c r="EW256">
        <f t="shared" si="4932"/>
        <v>0</v>
      </c>
      <c r="EX256">
        <f t="shared" si="4933"/>
        <v>0</v>
      </c>
      <c r="EY256">
        <f t="shared" si="4934"/>
        <v>0</v>
      </c>
      <c r="EZ256">
        <f t="shared" si="4935"/>
        <v>0</v>
      </c>
      <c r="FA256">
        <f t="shared" si="4936"/>
        <v>0</v>
      </c>
      <c r="FB256">
        <f t="shared" si="4937"/>
        <v>0</v>
      </c>
      <c r="FC256">
        <f t="shared" si="4938"/>
        <v>0</v>
      </c>
      <c r="FD256">
        <f t="shared" si="4939"/>
        <v>0</v>
      </c>
      <c r="FE256">
        <f t="shared" si="4940"/>
        <v>0</v>
      </c>
      <c r="FF256">
        <f t="shared" si="4941"/>
        <v>0</v>
      </c>
      <c r="FG256">
        <f t="shared" si="4942"/>
        <v>0</v>
      </c>
      <c r="FH256">
        <f t="shared" si="4943"/>
        <v>0</v>
      </c>
      <c r="FI256">
        <f t="shared" si="4944"/>
        <v>0</v>
      </c>
      <c r="FJ256">
        <f t="shared" si="4945"/>
        <v>0</v>
      </c>
      <c r="FK256">
        <f t="shared" si="4946"/>
        <v>0</v>
      </c>
      <c r="FL256">
        <f t="shared" si="4947"/>
        <v>0</v>
      </c>
      <c r="FM256">
        <f t="shared" si="4948"/>
        <v>0</v>
      </c>
      <c r="FN256">
        <f t="shared" si="4949"/>
        <v>0</v>
      </c>
      <c r="FO256">
        <f t="shared" si="4950"/>
        <v>0</v>
      </c>
      <c r="FP256">
        <f t="shared" si="4951"/>
        <v>0</v>
      </c>
      <c r="FQ256">
        <f t="shared" si="4952"/>
        <v>0</v>
      </c>
      <c r="FR256">
        <f t="shared" si="4953"/>
        <v>0</v>
      </c>
      <c r="FS256">
        <f t="shared" si="4954"/>
        <v>0</v>
      </c>
      <c r="FT256">
        <f t="shared" si="4955"/>
        <v>0</v>
      </c>
      <c r="FU256">
        <f t="shared" si="4956"/>
        <v>0</v>
      </c>
      <c r="FV256">
        <f t="shared" si="4957"/>
        <v>0</v>
      </c>
      <c r="FW256">
        <f t="shared" si="4958"/>
        <v>0</v>
      </c>
    </row>
    <row r="257" spans="3:179" x14ac:dyDescent="0.35">
      <c r="C257">
        <f>SUM(C252:C256)</f>
        <v>100</v>
      </c>
      <c r="CN257">
        <f>SUM(CN252:CN256)</f>
        <v>151.65</v>
      </c>
      <c r="CO257">
        <f t="shared" ref="CO257:EZ257" si="4959">SUM(CO252:CO256)</f>
        <v>630.6</v>
      </c>
      <c r="CP257">
        <f t="shared" si="4959"/>
        <v>2.8450000000000002</v>
      </c>
      <c r="CQ257">
        <f t="shared" si="4959"/>
        <v>0</v>
      </c>
      <c r="CR257">
        <f t="shared" si="4959"/>
        <v>2.8450000000000002</v>
      </c>
      <c r="CS257">
        <f t="shared" si="4959"/>
        <v>10.65</v>
      </c>
      <c r="CT257">
        <f t="shared" si="4959"/>
        <v>0</v>
      </c>
      <c r="CU257">
        <f t="shared" si="4959"/>
        <v>10.65</v>
      </c>
      <c r="CV257">
        <f t="shared" si="4959"/>
        <v>0</v>
      </c>
      <c r="CW257">
        <f t="shared" si="4959"/>
        <v>10.229999999999999</v>
      </c>
      <c r="CX257">
        <f t="shared" si="4959"/>
        <v>7.1400000000000006</v>
      </c>
      <c r="CY257">
        <f t="shared" si="4959"/>
        <v>3.0900000000000003</v>
      </c>
      <c r="CZ257">
        <f t="shared" si="4959"/>
        <v>3.09</v>
      </c>
      <c r="DA257">
        <f t="shared" si="4959"/>
        <v>0</v>
      </c>
      <c r="DB257">
        <f t="shared" si="4959"/>
        <v>71.935000000000002</v>
      </c>
      <c r="DC257">
        <f t="shared" si="4959"/>
        <v>0.94000000000000017</v>
      </c>
      <c r="DD257">
        <f t="shared" si="4959"/>
        <v>19</v>
      </c>
      <c r="DE257">
        <f t="shared" si="4959"/>
        <v>202.60000000000002</v>
      </c>
      <c r="DF257">
        <f t="shared" si="4959"/>
        <v>201.25</v>
      </c>
      <c r="DG257">
        <f t="shared" si="4959"/>
        <v>50.199999999999996</v>
      </c>
      <c r="DH257">
        <f t="shared" si="4959"/>
        <v>0.41799999999999998</v>
      </c>
      <c r="DI257">
        <f t="shared" si="4959"/>
        <v>5.6499999999999995</v>
      </c>
      <c r="DJ257">
        <f t="shared" si="4959"/>
        <v>1.8500000000000003E-2</v>
      </c>
      <c r="DK257">
        <f t="shared" si="4959"/>
        <v>0.25</v>
      </c>
      <c r="DL257">
        <f t="shared" si="4959"/>
        <v>29.45</v>
      </c>
      <c r="DM257">
        <f t="shared" si="4959"/>
        <v>0.22499999999999998</v>
      </c>
      <c r="DN257">
        <f t="shared" si="4959"/>
        <v>3.5500000000000004E-2</v>
      </c>
      <c r="DO257">
        <f t="shared" si="4959"/>
        <v>6.7</v>
      </c>
      <c r="DP257">
        <f t="shared" si="4959"/>
        <v>0.10299999999999999</v>
      </c>
      <c r="DQ257">
        <f t="shared" si="4959"/>
        <v>7.6000000000000012E-2</v>
      </c>
      <c r="DR257">
        <f t="shared" si="4959"/>
        <v>5.2249999999999996</v>
      </c>
      <c r="DS257">
        <f t="shared" si="4959"/>
        <v>0.45599999999999996</v>
      </c>
      <c r="DT257">
        <f t="shared" si="4959"/>
        <v>8.2500000000000004E-2</v>
      </c>
      <c r="DU257">
        <f t="shared" si="4959"/>
        <v>21.2</v>
      </c>
      <c r="DV257">
        <f t="shared" si="4959"/>
        <v>4.2500000000000003E-2</v>
      </c>
      <c r="DW257">
        <f t="shared" si="4959"/>
        <v>0.39</v>
      </c>
      <c r="DX257">
        <f t="shared" si="4959"/>
        <v>0</v>
      </c>
      <c r="DY257">
        <f t="shared" si="4959"/>
        <v>16.375000000000004</v>
      </c>
      <c r="DZ257">
        <f t="shared" si="4959"/>
        <v>0</v>
      </c>
      <c r="EA257">
        <f t="shared" si="4959"/>
        <v>97.375</v>
      </c>
      <c r="EB257">
        <f t="shared" si="4959"/>
        <v>2.5225000000000004</v>
      </c>
      <c r="EC257">
        <f t="shared" si="4959"/>
        <v>0</v>
      </c>
      <c r="ED257">
        <f t="shared" si="4959"/>
        <v>5.89</v>
      </c>
      <c r="EE257">
        <f t="shared" si="4959"/>
        <v>1.5560000000000003</v>
      </c>
      <c r="EF257">
        <f t="shared" si="4959"/>
        <v>0</v>
      </c>
      <c r="EG257">
        <f t="shared" si="4959"/>
        <v>0</v>
      </c>
      <c r="EH257">
        <f t="shared" si="4959"/>
        <v>3.5000000000000003E-2</v>
      </c>
      <c r="EI257">
        <f t="shared" si="4959"/>
        <v>1.0745</v>
      </c>
      <c r="EJ257">
        <f t="shared" si="4959"/>
        <v>0.3165</v>
      </c>
      <c r="EK257">
        <f t="shared" si="4959"/>
        <v>8.6499999999999994E-2</v>
      </c>
      <c r="EL257">
        <f t="shared" si="4959"/>
        <v>0</v>
      </c>
      <c r="EM257">
        <f t="shared" si="4959"/>
        <v>7.4180000000000001</v>
      </c>
      <c r="EN257">
        <f t="shared" si="4959"/>
        <v>0</v>
      </c>
      <c r="EO257">
        <f t="shared" si="4959"/>
        <v>7.9000000000000001E-2</v>
      </c>
      <c r="EP257">
        <f t="shared" si="4959"/>
        <v>7.3100000000000005</v>
      </c>
      <c r="EQ257">
        <f t="shared" si="4959"/>
        <v>2.8999999999999998E-2</v>
      </c>
      <c r="ER257">
        <f t="shared" si="4959"/>
        <v>0</v>
      </c>
      <c r="ES257">
        <f t="shared" si="4959"/>
        <v>1.0465</v>
      </c>
      <c r="ET257">
        <f t="shared" si="4959"/>
        <v>0.90350000000000008</v>
      </c>
      <c r="EU257">
        <f t="shared" si="4959"/>
        <v>0.14750000000000002</v>
      </c>
      <c r="EV257">
        <f t="shared" si="4959"/>
        <v>0</v>
      </c>
      <c r="EW257">
        <f t="shared" si="4959"/>
        <v>0</v>
      </c>
      <c r="EX257">
        <f t="shared" si="4959"/>
        <v>0</v>
      </c>
      <c r="EY257">
        <f t="shared" si="4959"/>
        <v>0</v>
      </c>
      <c r="EZ257">
        <f t="shared" si="4959"/>
        <v>23.698913043478271</v>
      </c>
      <c r="FA257">
        <f t="shared" ref="FA257:FW257" si="4960">SUM(FA252:FA256)</f>
        <v>105.63695652173911</v>
      </c>
      <c r="FB257">
        <f t="shared" si="4960"/>
        <v>120.32717391304359</v>
      </c>
      <c r="FC257">
        <f t="shared" si="4960"/>
        <v>274.37826086956505</v>
      </c>
      <c r="FD257">
        <f t="shared" si="4960"/>
        <v>140.05978260869563</v>
      </c>
      <c r="FE257">
        <f t="shared" si="4960"/>
        <v>41.843478260869553</v>
      </c>
      <c r="FF257">
        <f t="shared" si="4960"/>
        <v>42.986956521739131</v>
      </c>
      <c r="FG257">
        <f t="shared" si="4960"/>
        <v>149.11630434782597</v>
      </c>
      <c r="FH257">
        <f t="shared" si="4960"/>
        <v>104.55108695652181</v>
      </c>
      <c r="FI257">
        <f t="shared" si="4960"/>
        <v>143.84565217391318</v>
      </c>
      <c r="FJ257">
        <f t="shared" si="4960"/>
        <v>153.81956521739136</v>
      </c>
      <c r="FK257">
        <f t="shared" si="4960"/>
        <v>80.965217391304364</v>
      </c>
      <c r="FL257">
        <f t="shared" si="4960"/>
        <v>158.98043478260865</v>
      </c>
      <c r="FM257">
        <f t="shared" si="4960"/>
        <v>262.52934782608685</v>
      </c>
      <c r="FN257">
        <f t="shared" si="4960"/>
        <v>526.46304347826083</v>
      </c>
      <c r="FO257">
        <f t="shared" si="4960"/>
        <v>108.08369565217404</v>
      </c>
      <c r="FP257">
        <f t="shared" si="4960"/>
        <v>173.72608695652178</v>
      </c>
      <c r="FQ257">
        <f t="shared" si="4960"/>
        <v>153.4902173913045</v>
      </c>
      <c r="FR257">
        <f t="shared" si="4960"/>
        <v>7.0000000000000007E-2</v>
      </c>
      <c r="FS257">
        <f t="shared" si="4960"/>
        <v>3.5000000000000003E-2</v>
      </c>
      <c r="FT257">
        <f t="shared" si="4960"/>
        <v>0</v>
      </c>
      <c r="FU257">
        <f t="shared" si="4960"/>
        <v>1.75</v>
      </c>
      <c r="FV257">
        <f t="shared" si="4960"/>
        <v>1.7500000000000002E-2</v>
      </c>
      <c r="FW257">
        <f t="shared" si="4960"/>
        <v>0</v>
      </c>
    </row>
  </sheetData>
  <autoFilter ref="B1:B257"/>
  <conditionalFormatting sqref="CL59">
    <cfRule type="containsBlanks" dxfId="107" priority="41">
      <formula>LEN(TRIM(CL59))=0</formula>
    </cfRule>
  </conditionalFormatting>
  <conditionalFormatting sqref="K183">
    <cfRule type="containsBlanks" dxfId="106" priority="56">
      <formula>LEN(TRIM(K183))=0</formula>
    </cfRule>
  </conditionalFormatting>
  <conditionalFormatting sqref="CK59">
    <cfRule type="containsBlanks" dxfId="105" priority="40">
      <formula>LEN(TRIM(CK59))=0</formula>
    </cfRule>
  </conditionalFormatting>
  <conditionalFormatting sqref="N59">
    <cfRule type="containsBlanks" dxfId="104" priority="42">
      <formula>LEN(TRIM(N59))=0</formula>
    </cfRule>
  </conditionalFormatting>
  <conditionalFormatting sqref="CH243:CI243">
    <cfRule type="containsBlanks" dxfId="103" priority="63">
      <formula>LEN(TRIM(CH243))=0</formula>
    </cfRule>
  </conditionalFormatting>
  <conditionalFormatting sqref="AB243">
    <cfRule type="containsBlanks" dxfId="102" priority="61">
      <formula>LEN(TRIM(AB243))=0</formula>
    </cfRule>
  </conditionalFormatting>
  <conditionalFormatting sqref="AC243">
    <cfRule type="containsBlanks" dxfId="101" priority="60">
      <formula>LEN(TRIM(AC243))=0</formula>
    </cfRule>
  </conditionalFormatting>
  <conditionalFormatting sqref="I183 AD183 AF183:AL183 AN183:AZ183 BC183 BE183:BI183 BL183:CG183 D183:G183 P183:AA183 L183:M183">
    <cfRule type="containsBlanks" dxfId="100" priority="59">
      <formula>LEN(TRIM(D183))=0</formula>
    </cfRule>
  </conditionalFormatting>
  <conditionalFormatting sqref="H183">
    <cfRule type="containsBlanks" dxfId="99" priority="58">
      <formula>LEN(TRIM(H183))=0</formula>
    </cfRule>
  </conditionalFormatting>
  <conditionalFormatting sqref="J183">
    <cfRule type="containsBlanks" dxfId="98" priority="57">
      <formula>LEN(TRIM(J183))=0</formula>
    </cfRule>
  </conditionalFormatting>
  <conditionalFormatting sqref="N183">
    <cfRule type="containsBlanks" dxfId="97" priority="55">
      <formula>LEN(TRIM(N183))=0</formula>
    </cfRule>
  </conditionalFormatting>
  <conditionalFormatting sqref="K243">
    <cfRule type="containsBlanks" dxfId="96" priority="65">
      <formula>LEN(TRIM(K243))=0</formula>
    </cfRule>
  </conditionalFormatting>
  <conditionalFormatting sqref="I111 O111:AA111 AD111 AF111:AL111 AN111:AZ111 BC111 BE111:BI111 BL111:BO111 D111:G111 L111:M111">
    <cfRule type="containsBlanks" dxfId="95" priority="76">
      <formula>LEN(TRIM(D111))=0</formula>
    </cfRule>
  </conditionalFormatting>
  <conditionalFormatting sqref="H111">
    <cfRule type="containsBlanks" dxfId="94" priority="75">
      <formula>LEN(TRIM(H111))=0</formula>
    </cfRule>
  </conditionalFormatting>
  <conditionalFormatting sqref="J243">
    <cfRule type="containsBlanks" dxfId="93" priority="66">
      <formula>LEN(TRIM(J243))=0</formula>
    </cfRule>
  </conditionalFormatting>
  <conditionalFormatting sqref="K111">
    <cfRule type="containsBlanks" dxfId="92" priority="73">
      <formula>LEN(TRIM(K111))=0</formula>
    </cfRule>
  </conditionalFormatting>
  <conditionalFormatting sqref="N243">
    <cfRule type="containsBlanks" dxfId="91" priority="64">
      <formula>LEN(TRIM(N243))=0</formula>
    </cfRule>
  </conditionalFormatting>
  <conditionalFormatting sqref="H230">
    <cfRule type="containsBlanks" dxfId="90" priority="71">
      <formula>LEN(TRIM(H230))=0</formula>
    </cfRule>
  </conditionalFormatting>
  <conditionalFormatting sqref="J230">
    <cfRule type="containsBlanks" dxfId="89" priority="70">
      <formula>LEN(TRIM(J230))=0</formula>
    </cfRule>
  </conditionalFormatting>
  <conditionalFormatting sqref="J111">
    <cfRule type="containsBlanks" dxfId="88" priority="74">
      <formula>LEN(TRIM(J111))=0</formula>
    </cfRule>
  </conditionalFormatting>
  <conditionalFormatting sqref="I230 O230:AA230 AD230 AF230:AL230 AN230:AZ230 BC230 BE230:BI230 BL230:BO230 D230:G230 L230:M230">
    <cfRule type="containsBlanks" dxfId="87" priority="72">
      <formula>LEN(TRIM(D230))=0</formula>
    </cfRule>
  </conditionalFormatting>
  <conditionalFormatting sqref="K230">
    <cfRule type="containsBlanks" dxfId="86" priority="69">
      <formula>LEN(TRIM(K230))=0</formula>
    </cfRule>
  </conditionalFormatting>
  <conditionalFormatting sqref="I243 AD243 AF243:AL243 AN243:AZ243 BC243 BE243:BI243 BL243:CG243 D243:G243 O243:AA243 L243:M243">
    <cfRule type="containsBlanks" dxfId="85" priority="68">
      <formula>LEN(TRIM(D243))=0</formula>
    </cfRule>
  </conditionalFormatting>
  <conditionalFormatting sqref="H243">
    <cfRule type="containsBlanks" dxfId="84" priority="67">
      <formula>LEN(TRIM(H243))=0</formula>
    </cfRule>
  </conditionalFormatting>
  <conditionalFormatting sqref="CK243:CL243">
    <cfRule type="containsBlanks" dxfId="83" priority="62">
      <formula>LEN(TRIM(CK243))=0</formula>
    </cfRule>
  </conditionalFormatting>
  <conditionalFormatting sqref="O183">
    <cfRule type="containsBlanks" dxfId="82" priority="54">
      <formula>LEN(TRIM(O183))=0</formula>
    </cfRule>
  </conditionalFormatting>
  <conditionalFormatting sqref="CH183">
    <cfRule type="containsBlanks" dxfId="81" priority="53">
      <formula>LEN(TRIM(CH183))=0</formula>
    </cfRule>
  </conditionalFormatting>
  <conditionalFormatting sqref="CI183">
    <cfRule type="containsBlanks" dxfId="80" priority="52">
      <formula>LEN(TRIM(CI183))=0</formula>
    </cfRule>
  </conditionalFormatting>
  <conditionalFormatting sqref="CK183:CL183">
    <cfRule type="containsBlanks" dxfId="79" priority="51">
      <formula>LEN(TRIM(CK183))=0</formula>
    </cfRule>
  </conditionalFormatting>
  <conditionalFormatting sqref="AB183">
    <cfRule type="containsBlanks" dxfId="78" priority="50">
      <formula>LEN(TRIM(AB183))=0</formula>
    </cfRule>
  </conditionalFormatting>
  <conditionalFormatting sqref="AC183">
    <cfRule type="containsBlanks" dxfId="77" priority="49">
      <formula>LEN(TRIM(AC183))=0</formula>
    </cfRule>
  </conditionalFormatting>
  <conditionalFormatting sqref="AE183">
    <cfRule type="containsBlanks" dxfId="76" priority="48">
      <formula>LEN(TRIM(AE183))=0</formula>
    </cfRule>
  </conditionalFormatting>
  <conditionalFormatting sqref="AM183">
    <cfRule type="containsBlanks" dxfId="75" priority="47">
      <formula>LEN(TRIM(AM183))=0</formula>
    </cfRule>
  </conditionalFormatting>
  <conditionalFormatting sqref="I59 L59:M59 O59:AA59 AF59:AK59 AN59:AZ59 BC59 BE59:BI59 BL59:BO59 D59:G59">
    <cfRule type="containsBlanks" dxfId="74" priority="46">
      <formula>LEN(TRIM(D59))=0</formula>
    </cfRule>
  </conditionalFormatting>
  <conditionalFormatting sqref="H59">
    <cfRule type="containsBlanks" dxfId="73" priority="45">
      <formula>LEN(TRIM(H59))=0</formula>
    </cfRule>
  </conditionalFormatting>
  <conditionalFormatting sqref="J59">
    <cfRule type="containsBlanks" dxfId="72" priority="44">
      <formula>LEN(TRIM(J59))=0</formula>
    </cfRule>
  </conditionalFormatting>
  <conditionalFormatting sqref="K59">
    <cfRule type="containsBlanks" dxfId="71" priority="43">
      <formula>LEN(TRIM(K59))=0</formula>
    </cfRule>
  </conditionalFormatting>
  <conditionalFormatting sqref="CH59:CI59">
    <cfRule type="containsBlanks" dxfId="70" priority="39">
      <formula>LEN(TRIM(CH59))=0</formula>
    </cfRule>
  </conditionalFormatting>
  <conditionalFormatting sqref="AB59:AC59">
    <cfRule type="containsBlanks" dxfId="69" priority="38">
      <formula>LEN(TRIM(AB59))=0</formula>
    </cfRule>
  </conditionalFormatting>
  <conditionalFormatting sqref="AE59">
    <cfRule type="containsBlanks" dxfId="68" priority="37">
      <formula>LEN(TRIM(AE59))=0</formula>
    </cfRule>
  </conditionalFormatting>
  <conditionalFormatting sqref="AD59">
    <cfRule type="containsBlanks" dxfId="67" priority="36">
      <formula>LEN(TRIM(AD59))=0</formula>
    </cfRule>
  </conditionalFormatting>
  <conditionalFormatting sqref="AL59">
    <cfRule type="containsBlanks" dxfId="66" priority="35">
      <formula>LEN(TRIM(AL59))=0</formula>
    </cfRule>
  </conditionalFormatting>
  <conditionalFormatting sqref="AM59">
    <cfRule type="containsBlanks" dxfId="65" priority="34">
      <formula>LEN(TRIM(AM59))=0</formula>
    </cfRule>
  </conditionalFormatting>
  <conditionalFormatting sqref="I79 L79:M79 O79:AA79 AF79:AK79 AN79:AZ79 BC79 BE79:BI79 BL79:BO79 D79:G79 I69 L69:M69 O69:AA69 AF69:AK69 AN69:AZ69 BC69 BE69:BI69 BL69:BO69 D69:G69">
    <cfRule type="containsBlanks" dxfId="64" priority="33">
      <formula>LEN(TRIM(D69))=0</formula>
    </cfRule>
  </conditionalFormatting>
  <conditionalFormatting sqref="H79 H69">
    <cfRule type="containsBlanks" dxfId="63" priority="32">
      <formula>LEN(TRIM(H69))=0</formula>
    </cfRule>
  </conditionalFormatting>
  <conditionalFormatting sqref="J79 J69">
    <cfRule type="containsBlanks" dxfId="62" priority="31">
      <formula>LEN(TRIM(J69))=0</formula>
    </cfRule>
  </conditionalFormatting>
  <conditionalFormatting sqref="K79 K69">
    <cfRule type="containsBlanks" dxfId="61" priority="30">
      <formula>LEN(TRIM(K69))=0</formula>
    </cfRule>
  </conditionalFormatting>
  <conditionalFormatting sqref="N79 N69">
    <cfRule type="containsBlanks" dxfId="60" priority="29">
      <formula>LEN(TRIM(N69))=0</formula>
    </cfRule>
  </conditionalFormatting>
  <conditionalFormatting sqref="CL79 CL69">
    <cfRule type="containsBlanks" dxfId="59" priority="28">
      <formula>LEN(TRIM(CL69))=0</formula>
    </cfRule>
  </conditionalFormatting>
  <conditionalFormatting sqref="CK79 CK69">
    <cfRule type="containsBlanks" dxfId="58" priority="27">
      <formula>LEN(TRIM(CK69))=0</formula>
    </cfRule>
  </conditionalFormatting>
  <conditionalFormatting sqref="CH79:CI79 CH69:CI69">
    <cfRule type="containsBlanks" dxfId="57" priority="26">
      <formula>LEN(TRIM(CH69))=0</formula>
    </cfRule>
  </conditionalFormatting>
  <conditionalFormatting sqref="AB79:AC79 AB69:AC69">
    <cfRule type="containsBlanks" dxfId="56" priority="25">
      <formula>LEN(TRIM(AB69))=0</formula>
    </cfRule>
  </conditionalFormatting>
  <conditionalFormatting sqref="AE79 AE69">
    <cfRule type="containsBlanks" dxfId="55" priority="24">
      <formula>LEN(TRIM(AE69))=0</formula>
    </cfRule>
  </conditionalFormatting>
  <conditionalFormatting sqref="AD79 AD69">
    <cfRule type="containsBlanks" dxfId="54" priority="23">
      <formula>LEN(TRIM(AD69))=0</formula>
    </cfRule>
  </conditionalFormatting>
  <conditionalFormatting sqref="AL79 AL69">
    <cfRule type="containsBlanks" dxfId="53" priority="22">
      <formula>LEN(TRIM(AL69))=0</formula>
    </cfRule>
  </conditionalFormatting>
  <conditionalFormatting sqref="AM79 AM69">
    <cfRule type="containsBlanks" dxfId="52" priority="21">
      <formula>LEN(TRIM(AM69))=0</formula>
    </cfRule>
  </conditionalFormatting>
  <conditionalFormatting sqref="I229 L229:M229 O229:AA229 AD229 AF229:AL229 AN229:BI229 BK229:CM229 D229:G229">
    <cfRule type="containsBlanks" dxfId="51" priority="20">
      <formula>LEN(TRIM(D229))=0</formula>
    </cfRule>
  </conditionalFormatting>
  <conditionalFormatting sqref="H229">
    <cfRule type="containsBlanks" dxfId="50" priority="19">
      <formula>LEN(TRIM(H229))=0</formula>
    </cfRule>
  </conditionalFormatting>
  <conditionalFormatting sqref="J229">
    <cfRule type="containsBlanks" dxfId="49" priority="18">
      <formula>LEN(TRIM(J229))=0</formula>
    </cfRule>
  </conditionalFormatting>
  <conditionalFormatting sqref="K229">
    <cfRule type="containsBlanks" dxfId="48" priority="17">
      <formula>LEN(TRIM(K229))=0</formula>
    </cfRule>
  </conditionalFormatting>
  <conditionalFormatting sqref="I68 L68:AA68 AD68 AF68:AL68 AN68:CM68 D68:G68">
    <cfRule type="containsBlanks" dxfId="47" priority="16">
      <formula>LEN(TRIM(D68))=0</formula>
    </cfRule>
  </conditionalFormatting>
  <conditionalFormatting sqref="H68">
    <cfRule type="containsBlanks" dxfId="46" priority="15">
      <formula>LEN(TRIM(H68))=0</formula>
    </cfRule>
  </conditionalFormatting>
  <conditionalFormatting sqref="J68">
    <cfRule type="containsBlanks" dxfId="45" priority="14">
      <formula>LEN(TRIM(J68))=0</formula>
    </cfRule>
  </conditionalFormatting>
  <conditionalFormatting sqref="K68">
    <cfRule type="containsBlanks" dxfId="44" priority="13">
      <formula>LEN(TRIM(K68))=0</formula>
    </cfRule>
  </conditionalFormatting>
  <conditionalFormatting sqref="I78 L78:AA78 AD78 AF78:AL78 AN78:CM78 D78:G78">
    <cfRule type="containsBlanks" dxfId="43" priority="12">
      <formula>LEN(TRIM(D78))=0</formula>
    </cfRule>
  </conditionalFormatting>
  <conditionalFormatting sqref="H78">
    <cfRule type="containsBlanks" dxfId="42" priority="11">
      <formula>LEN(TRIM(H78))=0</formula>
    </cfRule>
  </conditionalFormatting>
  <conditionalFormatting sqref="J78">
    <cfRule type="containsBlanks" dxfId="41" priority="10">
      <formula>LEN(TRIM(J78))=0</formula>
    </cfRule>
  </conditionalFormatting>
  <conditionalFormatting sqref="K78">
    <cfRule type="containsBlanks" dxfId="40" priority="9">
      <formula>LEN(TRIM(K78))=0</formula>
    </cfRule>
  </conditionalFormatting>
  <conditionalFormatting sqref="I220 L220:AA220 AD220 AF220:AL220 AN220:CM220 D220:G220">
    <cfRule type="containsBlanks" dxfId="39" priority="8">
      <formula>LEN(TRIM(D220))=0</formula>
    </cfRule>
  </conditionalFormatting>
  <conditionalFormatting sqref="H220">
    <cfRule type="containsBlanks" dxfId="38" priority="7">
      <formula>LEN(TRIM(H220))=0</formula>
    </cfRule>
  </conditionalFormatting>
  <conditionalFormatting sqref="J220">
    <cfRule type="containsBlanks" dxfId="37" priority="6">
      <formula>LEN(TRIM(J220))=0</formula>
    </cfRule>
  </conditionalFormatting>
  <conditionalFormatting sqref="K220">
    <cfRule type="containsBlanks" dxfId="36" priority="5">
      <formula>LEN(TRIM(K220))=0</formula>
    </cfRule>
  </conditionalFormatting>
  <conditionalFormatting sqref="I58 L58:AA58 AD58 AF58:AL58 AN58:CM58 D58:G58">
    <cfRule type="containsBlanks" dxfId="35" priority="4">
      <formula>LEN(TRIM(D58))=0</formula>
    </cfRule>
  </conditionalFormatting>
  <conditionalFormatting sqref="H58">
    <cfRule type="containsBlanks" dxfId="34" priority="3">
      <formula>LEN(TRIM(H58))=0</formula>
    </cfRule>
  </conditionalFormatting>
  <conditionalFormatting sqref="J58">
    <cfRule type="containsBlanks" dxfId="33" priority="2">
      <formula>LEN(TRIM(J58))=0</formula>
    </cfRule>
  </conditionalFormatting>
  <conditionalFormatting sqref="K58">
    <cfRule type="containsBlanks" dxfId="32" priority="1">
      <formula>LEN(TRIM(K58))=0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59999389629810485"/>
  </sheetPr>
  <dimension ref="A1:CL117"/>
  <sheetViews>
    <sheetView zoomScale="79" zoomScaleNormal="115" workbookViewId="0">
      <selection activeCell="F10" sqref="F10"/>
    </sheetView>
  </sheetViews>
  <sheetFormatPr defaultRowHeight="14.5" x14ac:dyDescent="0.35"/>
  <cols>
    <col min="1" max="1" width="10" bestFit="1" customWidth="1"/>
    <col min="2" max="2" width="45.08984375" bestFit="1" customWidth="1"/>
  </cols>
  <sheetData>
    <row r="1" spans="1:90" x14ac:dyDescent="0.35"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  <c r="Z1" s="3" t="s">
        <v>52</v>
      </c>
      <c r="AA1" s="3" t="s">
        <v>53</v>
      </c>
      <c r="AB1" s="3" t="s">
        <v>54</v>
      </c>
      <c r="AC1" s="3" t="s">
        <v>55</v>
      </c>
      <c r="AD1" s="3" t="s">
        <v>56</v>
      </c>
      <c r="AE1" s="3" t="s">
        <v>57</v>
      </c>
      <c r="AF1" s="3" t="s">
        <v>58</v>
      </c>
      <c r="AG1" s="3" t="s">
        <v>59</v>
      </c>
      <c r="AH1" s="3" t="s">
        <v>60</v>
      </c>
      <c r="AI1" s="3" t="s">
        <v>61</v>
      </c>
      <c r="AJ1" s="3" t="s">
        <v>62</v>
      </c>
      <c r="AK1" s="3" t="s">
        <v>63</v>
      </c>
      <c r="AL1" s="3" t="s">
        <v>64</v>
      </c>
      <c r="AM1" s="3" t="s">
        <v>65</v>
      </c>
      <c r="AN1" s="3" t="s">
        <v>66</v>
      </c>
      <c r="AO1" s="3" t="s">
        <v>67</v>
      </c>
      <c r="AP1" s="3" t="s">
        <v>68</v>
      </c>
      <c r="AQ1" s="3" t="s">
        <v>69</v>
      </c>
      <c r="AR1" s="3" t="s">
        <v>70</v>
      </c>
      <c r="AS1" s="3" t="s">
        <v>71</v>
      </c>
      <c r="AT1" s="3" t="s">
        <v>72</v>
      </c>
      <c r="AU1" s="3" t="s">
        <v>73</v>
      </c>
      <c r="AV1" s="3" t="s">
        <v>74</v>
      </c>
      <c r="AW1" s="3" t="s">
        <v>75</v>
      </c>
      <c r="AX1" s="3" t="s">
        <v>76</v>
      </c>
      <c r="AY1" s="3" t="s">
        <v>77</v>
      </c>
      <c r="AZ1" s="3" t="s">
        <v>78</v>
      </c>
      <c r="BA1" s="3" t="s">
        <v>79</v>
      </c>
      <c r="BB1" s="3" t="s">
        <v>80</v>
      </c>
      <c r="BC1" s="3" t="s">
        <v>81</v>
      </c>
      <c r="BD1" s="3" t="s">
        <v>82</v>
      </c>
      <c r="BE1" s="3" t="s">
        <v>83</v>
      </c>
      <c r="BF1" s="3" t="s">
        <v>84</v>
      </c>
      <c r="BG1" s="3" t="s">
        <v>85</v>
      </c>
      <c r="BH1" s="3" t="s">
        <v>86</v>
      </c>
      <c r="BI1" s="3" t="s">
        <v>87</v>
      </c>
      <c r="BJ1" s="3" t="s">
        <v>88</v>
      </c>
      <c r="BK1" s="3" t="s">
        <v>89</v>
      </c>
      <c r="BL1" s="3" t="s">
        <v>90</v>
      </c>
      <c r="BM1" s="3" t="s">
        <v>91</v>
      </c>
      <c r="BN1" s="3" t="s">
        <v>92</v>
      </c>
      <c r="BO1" s="3" t="s">
        <v>93</v>
      </c>
      <c r="BP1" s="3" t="s">
        <v>94</v>
      </c>
      <c r="BQ1" s="3" t="s">
        <v>95</v>
      </c>
      <c r="BR1" s="3" t="s">
        <v>96</v>
      </c>
      <c r="BS1" s="3" t="s">
        <v>97</v>
      </c>
      <c r="BT1" s="3" t="s">
        <v>98</v>
      </c>
      <c r="BU1" s="3" t="s">
        <v>99</v>
      </c>
      <c r="BV1" s="3" t="s">
        <v>100</v>
      </c>
      <c r="BW1" s="3" t="s">
        <v>101</v>
      </c>
      <c r="BX1" s="3" t="s">
        <v>102</v>
      </c>
      <c r="BY1" s="3" t="s">
        <v>103</v>
      </c>
      <c r="BZ1" s="3" t="s">
        <v>104</v>
      </c>
      <c r="CA1" s="3" t="s">
        <v>105</v>
      </c>
      <c r="CB1" s="3" t="s">
        <v>106</v>
      </c>
      <c r="CC1" s="3" t="s">
        <v>107</v>
      </c>
      <c r="CD1" s="3" t="s">
        <v>108</v>
      </c>
      <c r="CE1" s="3" t="s">
        <v>109</v>
      </c>
      <c r="CF1" s="3" t="s">
        <v>110</v>
      </c>
      <c r="CG1" s="3" t="s">
        <v>111</v>
      </c>
      <c r="CH1" s="3" t="s">
        <v>112</v>
      </c>
      <c r="CI1" s="3" t="s">
        <v>113</v>
      </c>
      <c r="CJ1" s="3" t="s">
        <v>114</v>
      </c>
      <c r="CK1" s="3" t="s">
        <v>115</v>
      </c>
      <c r="CL1" s="3" t="s">
        <v>116</v>
      </c>
    </row>
    <row r="2" spans="1:90" x14ac:dyDescent="0.35">
      <c r="C2" s="3" t="s">
        <v>117</v>
      </c>
      <c r="D2" s="3" t="s">
        <v>118</v>
      </c>
      <c r="E2" s="3" t="s">
        <v>119</v>
      </c>
      <c r="F2" s="3" t="s">
        <v>120</v>
      </c>
      <c r="G2" s="3" t="s">
        <v>121</v>
      </c>
      <c r="H2" s="3" t="s">
        <v>122</v>
      </c>
      <c r="I2" s="3" t="s">
        <v>123</v>
      </c>
      <c r="J2" s="3" t="s">
        <v>124</v>
      </c>
      <c r="K2" s="3" t="s">
        <v>125</v>
      </c>
      <c r="L2" s="3" t="s">
        <v>126</v>
      </c>
      <c r="M2" s="3" t="s">
        <v>127</v>
      </c>
      <c r="N2" s="3" t="s">
        <v>128</v>
      </c>
      <c r="O2" s="3" t="s">
        <v>129</v>
      </c>
      <c r="P2" s="3" t="s">
        <v>130</v>
      </c>
      <c r="Q2" s="3" t="s">
        <v>131</v>
      </c>
      <c r="R2" s="3" t="s">
        <v>132</v>
      </c>
      <c r="S2" s="3" t="s">
        <v>133</v>
      </c>
      <c r="T2" s="3" t="s">
        <v>134</v>
      </c>
      <c r="U2" s="3" t="s">
        <v>135</v>
      </c>
      <c r="V2" s="3" t="s">
        <v>136</v>
      </c>
      <c r="W2" s="3" t="s">
        <v>137</v>
      </c>
      <c r="X2" s="3" t="s">
        <v>138</v>
      </c>
      <c r="Y2" s="3" t="s">
        <v>139</v>
      </c>
      <c r="Z2" s="3" t="s">
        <v>140</v>
      </c>
      <c r="AA2" s="3" t="s">
        <v>141</v>
      </c>
      <c r="AB2" s="3" t="s">
        <v>142</v>
      </c>
      <c r="AC2" s="3" t="s">
        <v>55</v>
      </c>
      <c r="AD2" s="3" t="s">
        <v>143</v>
      </c>
      <c r="AE2" s="3" t="s">
        <v>144</v>
      </c>
      <c r="AF2" s="3" t="s">
        <v>145</v>
      </c>
      <c r="AG2" s="3" t="s">
        <v>146</v>
      </c>
      <c r="AH2" s="3" t="s">
        <v>147</v>
      </c>
      <c r="AI2" s="3" t="s">
        <v>148</v>
      </c>
      <c r="AJ2" s="3" t="s">
        <v>149</v>
      </c>
      <c r="AK2" s="3" t="s">
        <v>150</v>
      </c>
      <c r="AL2" s="3" t="s">
        <v>151</v>
      </c>
      <c r="AM2" s="3" t="s">
        <v>152</v>
      </c>
      <c r="AN2" s="3" t="s">
        <v>153</v>
      </c>
      <c r="AO2" s="3" t="s">
        <v>154</v>
      </c>
      <c r="AP2" s="3" t="s">
        <v>155</v>
      </c>
      <c r="AQ2" s="3" t="s">
        <v>156</v>
      </c>
      <c r="AR2" s="3" t="s">
        <v>157</v>
      </c>
      <c r="AS2" s="3" t="s">
        <v>158</v>
      </c>
      <c r="AT2" s="3" t="s">
        <v>159</v>
      </c>
      <c r="AU2" s="3" t="s">
        <v>160</v>
      </c>
      <c r="AV2" s="3" t="s">
        <v>161</v>
      </c>
      <c r="AW2" s="3" t="s">
        <v>162</v>
      </c>
      <c r="AX2" s="3" t="s">
        <v>163</v>
      </c>
      <c r="AY2" s="3" t="s">
        <v>164</v>
      </c>
      <c r="AZ2" s="3" t="s">
        <v>165</v>
      </c>
      <c r="BA2" s="3" t="s">
        <v>166</v>
      </c>
      <c r="BB2" s="3" t="s">
        <v>167</v>
      </c>
      <c r="BC2" s="3" t="s">
        <v>168</v>
      </c>
      <c r="BD2" s="3" t="s">
        <v>169</v>
      </c>
      <c r="BE2" s="3" t="s">
        <v>170</v>
      </c>
      <c r="BF2" s="3" t="s">
        <v>171</v>
      </c>
      <c r="BG2" s="3" t="s">
        <v>172</v>
      </c>
      <c r="BH2" s="3" t="s">
        <v>173</v>
      </c>
      <c r="BI2" s="3" t="s">
        <v>174</v>
      </c>
      <c r="BJ2" s="3" t="s">
        <v>175</v>
      </c>
      <c r="BK2" s="3" t="s">
        <v>176</v>
      </c>
      <c r="BL2" s="3" t="s">
        <v>177</v>
      </c>
      <c r="BM2" s="3" t="s">
        <v>178</v>
      </c>
      <c r="BN2" s="3" t="s">
        <v>179</v>
      </c>
      <c r="BO2" s="3" t="s">
        <v>180</v>
      </c>
      <c r="BP2" s="3" t="s">
        <v>181</v>
      </c>
      <c r="BQ2" s="3" t="s">
        <v>182</v>
      </c>
      <c r="BR2" s="3" t="s">
        <v>183</v>
      </c>
      <c r="BS2" s="3" t="s">
        <v>184</v>
      </c>
      <c r="BT2" s="3" t="s">
        <v>185</v>
      </c>
      <c r="BU2" s="3" t="s">
        <v>186</v>
      </c>
      <c r="BV2" s="3" t="s">
        <v>187</v>
      </c>
      <c r="BW2" s="3" t="s">
        <v>188</v>
      </c>
      <c r="BX2" s="3" t="s">
        <v>189</v>
      </c>
      <c r="BY2" s="3" t="s">
        <v>190</v>
      </c>
      <c r="BZ2" s="3" t="s">
        <v>191</v>
      </c>
      <c r="CA2" s="3" t="s">
        <v>192</v>
      </c>
      <c r="CB2" s="3" t="s">
        <v>193</v>
      </c>
      <c r="CC2" s="3" t="s">
        <v>194</v>
      </c>
      <c r="CD2" s="3" t="s">
        <v>195</v>
      </c>
      <c r="CE2" s="3" t="s">
        <v>196</v>
      </c>
      <c r="CF2" s="3" t="s">
        <v>197</v>
      </c>
      <c r="CG2" s="3" t="s">
        <v>198</v>
      </c>
      <c r="CH2" s="3" t="s">
        <v>199</v>
      </c>
      <c r="CI2" s="3" t="s">
        <v>200</v>
      </c>
      <c r="CJ2" s="3" t="s">
        <v>201</v>
      </c>
      <c r="CK2" s="3" t="s">
        <v>202</v>
      </c>
      <c r="CL2" s="3" t="s">
        <v>203</v>
      </c>
    </row>
    <row r="3" spans="1:90" x14ac:dyDescent="0.35">
      <c r="C3" s="5" t="s">
        <v>204</v>
      </c>
      <c r="D3" s="5" t="s">
        <v>205</v>
      </c>
      <c r="E3" s="5" t="s">
        <v>206</v>
      </c>
      <c r="F3" s="5" t="s">
        <v>206</v>
      </c>
      <c r="G3" s="5" t="s">
        <v>206</v>
      </c>
      <c r="H3" s="5" t="s">
        <v>206</v>
      </c>
      <c r="I3" s="5" t="s">
        <v>206</v>
      </c>
      <c r="J3" s="5" t="s">
        <v>206</v>
      </c>
      <c r="K3" s="5" t="s">
        <v>207</v>
      </c>
      <c r="L3" s="5" t="s">
        <v>206</v>
      </c>
      <c r="M3" s="5" t="s">
        <v>206</v>
      </c>
      <c r="N3" s="5" t="s">
        <v>206</v>
      </c>
      <c r="O3" s="5" t="s">
        <v>206</v>
      </c>
      <c r="P3" s="5" t="s">
        <v>206</v>
      </c>
      <c r="Q3" s="5" t="s">
        <v>206</v>
      </c>
      <c r="R3" s="5" t="s">
        <v>207</v>
      </c>
      <c r="S3" s="5" t="s">
        <v>207</v>
      </c>
      <c r="T3" s="5" t="s">
        <v>207</v>
      </c>
      <c r="U3" s="5" t="s">
        <v>207</v>
      </c>
      <c r="V3" s="5" t="s">
        <v>207</v>
      </c>
      <c r="W3" s="5" t="s">
        <v>207</v>
      </c>
      <c r="X3" s="5" t="s">
        <v>207</v>
      </c>
      <c r="Y3" s="5" t="s">
        <v>207</v>
      </c>
      <c r="Z3" s="5" t="s">
        <v>208</v>
      </c>
      <c r="AA3" s="5" t="s">
        <v>207</v>
      </c>
      <c r="AB3" s="5" t="s">
        <v>208</v>
      </c>
      <c r="AC3" s="5" t="s">
        <v>207</v>
      </c>
      <c r="AD3" s="5" t="s">
        <v>207</v>
      </c>
      <c r="AE3" s="5" t="s">
        <v>207</v>
      </c>
      <c r="AF3" s="5" t="s">
        <v>207</v>
      </c>
      <c r="AG3" s="5" t="s">
        <v>207</v>
      </c>
      <c r="AH3" s="5" t="s">
        <v>207</v>
      </c>
      <c r="AI3" s="5" t="s">
        <v>207</v>
      </c>
      <c r="AJ3" s="5" t="s">
        <v>208</v>
      </c>
      <c r="AK3" s="5" t="s">
        <v>207</v>
      </c>
      <c r="AL3" s="5" t="s">
        <v>208</v>
      </c>
      <c r="AM3" s="5" t="s">
        <v>208</v>
      </c>
      <c r="AN3" s="5" t="s">
        <v>208</v>
      </c>
      <c r="AO3" s="5" t="s">
        <v>208</v>
      </c>
      <c r="AP3" s="5" t="s">
        <v>208</v>
      </c>
      <c r="AQ3" s="5" t="s">
        <v>207</v>
      </c>
      <c r="AR3" s="5" t="s">
        <v>208</v>
      </c>
      <c r="AS3" s="5" t="s">
        <v>208</v>
      </c>
      <c r="AT3" s="5" t="s">
        <v>206</v>
      </c>
      <c r="AU3" s="5" t="s">
        <v>206</v>
      </c>
      <c r="AV3" s="5" t="s">
        <v>206</v>
      </c>
      <c r="AW3" s="5" t="s">
        <v>206</v>
      </c>
      <c r="AX3" s="5" t="s">
        <v>206</v>
      </c>
      <c r="AY3" s="5" t="s">
        <v>206</v>
      </c>
      <c r="AZ3" s="5" t="s">
        <v>206</v>
      </c>
      <c r="BA3" s="5" t="s">
        <v>206</v>
      </c>
      <c r="BB3" s="5" t="s">
        <v>206</v>
      </c>
      <c r="BC3" s="5" t="s">
        <v>206</v>
      </c>
      <c r="BD3" s="5" t="s">
        <v>206</v>
      </c>
      <c r="BE3" s="5" t="s">
        <v>206</v>
      </c>
      <c r="BF3" s="5" t="s">
        <v>206</v>
      </c>
      <c r="BG3" s="5" t="s">
        <v>206</v>
      </c>
      <c r="BH3" s="5" t="s">
        <v>206</v>
      </c>
      <c r="BI3" s="5" t="s">
        <v>206</v>
      </c>
      <c r="BJ3" s="5" t="s">
        <v>206</v>
      </c>
      <c r="BK3" s="5" t="s">
        <v>206</v>
      </c>
      <c r="BL3" s="5" t="s">
        <v>206</v>
      </c>
      <c r="BM3" s="5" t="s">
        <v>206</v>
      </c>
      <c r="BN3" s="5" t="s">
        <v>206</v>
      </c>
      <c r="BO3" s="5" t="s">
        <v>207</v>
      </c>
      <c r="BP3" s="5" t="s">
        <v>207</v>
      </c>
      <c r="BQ3" s="5" t="s">
        <v>207</v>
      </c>
      <c r="BR3" s="5" t="s">
        <v>207</v>
      </c>
      <c r="BS3" s="5" t="s">
        <v>207</v>
      </c>
      <c r="BT3" s="5" t="s">
        <v>207</v>
      </c>
      <c r="BU3" s="5" t="s">
        <v>207</v>
      </c>
      <c r="BV3" s="5" t="s">
        <v>207</v>
      </c>
      <c r="BW3" s="5" t="s">
        <v>207</v>
      </c>
      <c r="BX3" s="5" t="s">
        <v>207</v>
      </c>
      <c r="BY3" s="5" t="s">
        <v>207</v>
      </c>
      <c r="BZ3" s="5" t="s">
        <v>207</v>
      </c>
      <c r="CA3" s="5" t="s">
        <v>207</v>
      </c>
      <c r="CB3" s="5" t="s">
        <v>207</v>
      </c>
      <c r="CC3" s="5" t="s">
        <v>207</v>
      </c>
      <c r="CD3" s="5" t="s">
        <v>207</v>
      </c>
      <c r="CE3" s="5" t="s">
        <v>207</v>
      </c>
      <c r="CF3" s="5" t="s">
        <v>207</v>
      </c>
      <c r="CG3" s="5" t="s">
        <v>206</v>
      </c>
      <c r="CH3" s="5" t="s">
        <v>206</v>
      </c>
      <c r="CI3" s="5" t="s">
        <v>206</v>
      </c>
      <c r="CJ3" s="5" t="s">
        <v>206</v>
      </c>
      <c r="CK3" s="5" t="s">
        <v>206</v>
      </c>
      <c r="CL3" s="5" t="s">
        <v>206</v>
      </c>
    </row>
    <row r="4" spans="1:90" x14ac:dyDescent="0.35">
      <c r="A4" s="53" t="s">
        <v>4</v>
      </c>
      <c r="B4" s="9" t="s">
        <v>265</v>
      </c>
      <c r="C4" s="6">
        <v>39</v>
      </c>
      <c r="D4" s="6">
        <v>165</v>
      </c>
      <c r="E4" s="6">
        <v>1.3</v>
      </c>
      <c r="F4" s="6">
        <v>0</v>
      </c>
      <c r="G4" s="6">
        <v>1.3</v>
      </c>
      <c r="H4" s="51">
        <v>0.05</v>
      </c>
      <c r="I4" s="6">
        <v>0</v>
      </c>
      <c r="J4" s="51">
        <v>0.05</v>
      </c>
      <c r="K4" s="6">
        <v>0</v>
      </c>
      <c r="L4" s="6">
        <v>8.1</v>
      </c>
      <c r="M4" s="6">
        <v>0</v>
      </c>
      <c r="N4" s="6">
        <v>8.1</v>
      </c>
      <c r="O4" s="6">
        <v>1.7</v>
      </c>
      <c r="P4" s="6">
        <v>0</v>
      </c>
      <c r="Q4" s="6">
        <v>85</v>
      </c>
      <c r="R4" s="6">
        <v>1.6</v>
      </c>
      <c r="S4" s="6">
        <v>36</v>
      </c>
      <c r="T4" s="6">
        <v>2</v>
      </c>
      <c r="U4" s="6">
        <v>260</v>
      </c>
      <c r="V4" s="6">
        <v>48</v>
      </c>
      <c r="W4" s="6">
        <v>0.2</v>
      </c>
      <c r="X4" s="6">
        <v>15</v>
      </c>
      <c r="Y4" s="6">
        <v>0.06</v>
      </c>
      <c r="Z4" s="51">
        <v>0.05</v>
      </c>
      <c r="AA4" s="6">
        <v>4</v>
      </c>
      <c r="AB4" s="6">
        <v>0.4</v>
      </c>
      <c r="AC4" s="6">
        <v>0.9</v>
      </c>
      <c r="AD4" s="6">
        <v>9</v>
      </c>
      <c r="AE4" s="6">
        <v>0.05</v>
      </c>
      <c r="AF4" s="6">
        <v>0.04</v>
      </c>
      <c r="AG4" s="6">
        <v>10</v>
      </c>
      <c r="AH4" s="6">
        <v>0.4</v>
      </c>
      <c r="AI4" s="6">
        <v>0.06</v>
      </c>
      <c r="AJ4" s="6">
        <v>33</v>
      </c>
      <c r="AK4" s="6">
        <v>0.24</v>
      </c>
      <c r="AL4" s="6">
        <v>1.9</v>
      </c>
      <c r="AM4" s="6">
        <v>0</v>
      </c>
      <c r="AN4" s="51">
        <v>0.5</v>
      </c>
      <c r="AO4" s="6">
        <v>0</v>
      </c>
      <c r="AP4" s="51">
        <v>0.5</v>
      </c>
      <c r="AQ4" s="6">
        <v>0.87</v>
      </c>
      <c r="AR4" s="6">
        <v>0</v>
      </c>
      <c r="AS4" s="6">
        <v>7.8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7">
        <v>16</v>
      </c>
      <c r="BP4" s="7">
        <v>39</v>
      </c>
      <c r="BQ4" s="7">
        <v>31</v>
      </c>
      <c r="BR4" s="7">
        <v>66</v>
      </c>
      <c r="BS4" s="7">
        <v>50</v>
      </c>
      <c r="BT4" s="7">
        <v>4</v>
      </c>
      <c r="BU4" s="7">
        <v>12</v>
      </c>
      <c r="BV4" s="7">
        <v>37</v>
      </c>
      <c r="BW4" s="7">
        <v>43</v>
      </c>
      <c r="BX4" s="7">
        <v>37</v>
      </c>
      <c r="BY4" s="7">
        <v>54</v>
      </c>
      <c r="BZ4" s="7">
        <v>23</v>
      </c>
      <c r="CA4" s="7">
        <v>64</v>
      </c>
      <c r="CB4" s="7">
        <v>289</v>
      </c>
      <c r="CC4" s="7">
        <v>190</v>
      </c>
      <c r="CD4" s="7">
        <v>50</v>
      </c>
      <c r="CE4" s="7">
        <v>39</v>
      </c>
      <c r="CF4" s="7">
        <v>49</v>
      </c>
      <c r="CG4" s="6">
        <v>3.8</v>
      </c>
      <c r="CH4" s="6">
        <v>4.3</v>
      </c>
      <c r="CI4" s="6">
        <v>0</v>
      </c>
      <c r="CJ4" s="51">
        <v>0.05</v>
      </c>
      <c r="CK4" s="6">
        <v>0</v>
      </c>
      <c r="CL4" s="6">
        <v>0</v>
      </c>
    </row>
    <row r="5" spans="1:90" x14ac:dyDescent="0.35">
      <c r="B5" s="9" t="s">
        <v>262</v>
      </c>
      <c r="C5" s="6">
        <v>42</v>
      </c>
      <c r="D5" s="6">
        <v>177</v>
      </c>
      <c r="E5" s="6">
        <v>1.3</v>
      </c>
      <c r="F5" s="6">
        <v>0</v>
      </c>
      <c r="G5" s="6">
        <v>1.3</v>
      </c>
      <c r="H5" s="51">
        <v>0.05</v>
      </c>
      <c r="I5" s="6">
        <v>0</v>
      </c>
      <c r="J5" s="51">
        <v>0.05</v>
      </c>
      <c r="K5" s="6">
        <v>0</v>
      </c>
      <c r="L5" s="6">
        <v>8.1</v>
      </c>
      <c r="M5" s="6">
        <v>0</v>
      </c>
      <c r="N5" s="6">
        <v>8.1</v>
      </c>
      <c r="O5" s="6">
        <v>3.2</v>
      </c>
      <c r="P5" s="6">
        <v>0</v>
      </c>
      <c r="Q5" s="6">
        <v>85</v>
      </c>
      <c r="R5" s="6">
        <v>1.6</v>
      </c>
      <c r="S5" s="6">
        <v>36</v>
      </c>
      <c r="T5" s="6">
        <v>2</v>
      </c>
      <c r="U5" s="6">
        <v>260</v>
      </c>
      <c r="V5" s="6">
        <v>48</v>
      </c>
      <c r="W5" s="6">
        <v>0.2</v>
      </c>
      <c r="X5" s="6">
        <v>23</v>
      </c>
      <c r="Y5" s="6">
        <v>0.11</v>
      </c>
      <c r="Z5" s="51">
        <v>0.05</v>
      </c>
      <c r="AA5" s="6">
        <v>22</v>
      </c>
      <c r="AB5" s="51">
        <v>0.5</v>
      </c>
      <c r="AC5" s="6">
        <v>1.4</v>
      </c>
      <c r="AD5" s="6">
        <v>19</v>
      </c>
      <c r="AE5" s="6">
        <v>0.03</v>
      </c>
      <c r="AF5" s="6">
        <v>0.05</v>
      </c>
      <c r="AG5" s="6">
        <v>19</v>
      </c>
      <c r="AH5" s="6">
        <v>7.0000000000000007E-2</v>
      </c>
      <c r="AI5" s="6">
        <v>0.05</v>
      </c>
      <c r="AJ5" s="6">
        <v>34</v>
      </c>
      <c r="AK5" s="6">
        <v>0.25</v>
      </c>
      <c r="AL5" s="6">
        <v>0.4</v>
      </c>
      <c r="AM5" s="6">
        <v>0</v>
      </c>
      <c r="AN5" s="6">
        <v>2</v>
      </c>
      <c r="AO5" s="6">
        <v>0</v>
      </c>
      <c r="AP5" s="6">
        <v>12</v>
      </c>
      <c r="AQ5" s="6">
        <v>2.37</v>
      </c>
      <c r="AR5" s="6">
        <v>0</v>
      </c>
      <c r="AS5" s="6">
        <v>19.8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7">
        <v>16</v>
      </c>
      <c r="BP5" s="7">
        <v>39</v>
      </c>
      <c r="BQ5" s="7">
        <v>31</v>
      </c>
      <c r="BR5" s="7">
        <v>66</v>
      </c>
      <c r="BS5" s="7">
        <v>50</v>
      </c>
      <c r="BT5" s="7">
        <v>4</v>
      </c>
      <c r="BU5" s="7">
        <v>12</v>
      </c>
      <c r="BV5" s="7">
        <v>37</v>
      </c>
      <c r="BW5" s="7">
        <v>43</v>
      </c>
      <c r="BX5" s="7">
        <v>37</v>
      </c>
      <c r="BY5" s="7">
        <v>54</v>
      </c>
      <c r="BZ5" s="7">
        <v>23</v>
      </c>
      <c r="CA5" s="7">
        <v>64</v>
      </c>
      <c r="CB5" s="7">
        <v>289</v>
      </c>
      <c r="CC5" s="7">
        <v>190</v>
      </c>
      <c r="CD5" s="7">
        <v>50</v>
      </c>
      <c r="CE5" s="7">
        <v>39</v>
      </c>
      <c r="CF5" s="7">
        <v>49</v>
      </c>
      <c r="CG5" s="6">
        <v>4</v>
      </c>
      <c r="CH5" s="6">
        <v>4.0999999999999996</v>
      </c>
      <c r="CI5" s="6">
        <v>0</v>
      </c>
      <c r="CJ5" s="51">
        <v>0.05</v>
      </c>
      <c r="CK5" s="6">
        <v>0</v>
      </c>
      <c r="CL5" s="6">
        <v>0</v>
      </c>
    </row>
    <row r="6" spans="1:90" x14ac:dyDescent="0.35">
      <c r="B6" s="9" t="s">
        <v>263</v>
      </c>
      <c r="C6" s="6">
        <v>30</v>
      </c>
      <c r="D6" s="6">
        <v>128</v>
      </c>
      <c r="E6" s="6">
        <v>0.9</v>
      </c>
      <c r="F6" s="6">
        <v>0</v>
      </c>
      <c r="G6" s="6">
        <v>0.9</v>
      </c>
      <c r="H6" s="6">
        <v>0.4</v>
      </c>
      <c r="I6" s="6">
        <v>0</v>
      </c>
      <c r="J6" s="6">
        <v>0.4</v>
      </c>
      <c r="K6" s="6">
        <v>0</v>
      </c>
      <c r="L6" s="6">
        <v>5.3</v>
      </c>
      <c r="M6" s="6">
        <v>0</v>
      </c>
      <c r="N6" s="6">
        <v>5.3</v>
      </c>
      <c r="O6" s="6">
        <v>1.6</v>
      </c>
      <c r="P6" s="6">
        <v>0</v>
      </c>
      <c r="Q6" s="6">
        <v>90.5</v>
      </c>
      <c r="R6" s="6">
        <v>0.8</v>
      </c>
      <c r="S6" s="6">
        <v>35</v>
      </c>
      <c r="T6" s="6">
        <v>2</v>
      </c>
      <c r="U6" s="6">
        <v>160</v>
      </c>
      <c r="V6" s="6">
        <v>28</v>
      </c>
      <c r="W6" s="6">
        <v>0.1</v>
      </c>
      <c r="X6" s="6">
        <v>10</v>
      </c>
      <c r="Y6" s="6">
        <v>0.13</v>
      </c>
      <c r="Z6" s="51">
        <v>0.05</v>
      </c>
      <c r="AA6" s="6">
        <v>18</v>
      </c>
      <c r="AB6" s="6">
        <v>9</v>
      </c>
      <c r="AC6" s="6">
        <v>0.3</v>
      </c>
      <c r="AD6" s="6">
        <v>13</v>
      </c>
      <c r="AE6" s="6">
        <v>0.02</v>
      </c>
      <c r="AF6" s="6">
        <v>0.04</v>
      </c>
      <c r="AG6" s="6">
        <v>54</v>
      </c>
      <c r="AH6" s="6">
        <v>0.5</v>
      </c>
      <c r="AI6" s="6">
        <v>0.06</v>
      </c>
      <c r="AJ6" s="6">
        <v>20</v>
      </c>
      <c r="AK6" s="6">
        <v>0.34</v>
      </c>
      <c r="AL6" s="6">
        <v>1.1000000000000001</v>
      </c>
      <c r="AM6" s="6">
        <v>0</v>
      </c>
      <c r="AN6" s="51">
        <v>0.5</v>
      </c>
      <c r="AO6" s="6">
        <v>0</v>
      </c>
      <c r="AP6" s="51">
        <v>0.5</v>
      </c>
      <c r="AQ6" s="6">
        <v>0.2</v>
      </c>
      <c r="AR6" s="6">
        <v>0</v>
      </c>
      <c r="AS6" s="6">
        <v>3</v>
      </c>
      <c r="AT6" s="6">
        <v>0.02</v>
      </c>
      <c r="AU6" s="6">
        <v>0</v>
      </c>
      <c r="AV6" s="6">
        <v>0</v>
      </c>
      <c r="AW6" s="6">
        <v>0</v>
      </c>
      <c r="AX6" s="6">
        <v>1.6E-2</v>
      </c>
      <c r="AY6" s="6">
        <v>4.0000000000000001E-3</v>
      </c>
      <c r="AZ6" s="6">
        <v>0</v>
      </c>
      <c r="BA6" s="6">
        <v>0</v>
      </c>
      <c r="BB6" s="6">
        <v>5.7000000000000002E-2</v>
      </c>
      <c r="BC6" s="6">
        <v>0</v>
      </c>
      <c r="BD6" s="6">
        <v>1E-3</v>
      </c>
      <c r="BE6" s="6">
        <v>5.6000000000000001E-2</v>
      </c>
      <c r="BF6" s="6">
        <v>0</v>
      </c>
      <c r="BG6" s="6">
        <v>0</v>
      </c>
      <c r="BH6" s="6">
        <v>0.20699999999999999</v>
      </c>
      <c r="BI6" s="6">
        <v>0.12</v>
      </c>
      <c r="BJ6" s="6">
        <v>8.6999999999999994E-2</v>
      </c>
      <c r="BK6" s="6">
        <v>0</v>
      </c>
      <c r="BL6" s="6">
        <v>0</v>
      </c>
      <c r="BM6" s="6">
        <v>0</v>
      </c>
      <c r="BN6" s="6">
        <v>0</v>
      </c>
      <c r="BO6" s="7">
        <v>11</v>
      </c>
      <c r="BP6" s="7">
        <v>27</v>
      </c>
      <c r="BQ6" s="7">
        <v>21</v>
      </c>
      <c r="BR6" s="7">
        <v>46</v>
      </c>
      <c r="BS6" s="7">
        <v>35</v>
      </c>
      <c r="BT6" s="7">
        <v>3</v>
      </c>
      <c r="BU6" s="7">
        <v>8</v>
      </c>
      <c r="BV6" s="7">
        <v>26</v>
      </c>
      <c r="BW6" s="7">
        <v>30</v>
      </c>
      <c r="BX6" s="7">
        <v>26</v>
      </c>
      <c r="BY6" s="7">
        <v>38</v>
      </c>
      <c r="BZ6" s="7">
        <v>16</v>
      </c>
      <c r="CA6" s="7">
        <v>44</v>
      </c>
      <c r="CB6" s="7">
        <v>200</v>
      </c>
      <c r="CC6" s="7">
        <v>132</v>
      </c>
      <c r="CD6" s="7">
        <v>35</v>
      </c>
      <c r="CE6" s="7">
        <v>27</v>
      </c>
      <c r="CF6" s="7">
        <v>34</v>
      </c>
      <c r="CG6" s="6">
        <v>2.2999999999999998</v>
      </c>
      <c r="CH6" s="6">
        <v>2.7</v>
      </c>
      <c r="CI6" s="6">
        <v>0</v>
      </c>
      <c r="CJ6" s="6">
        <v>0.3</v>
      </c>
      <c r="CK6" s="6">
        <v>0</v>
      </c>
      <c r="CL6" s="6">
        <v>0</v>
      </c>
    </row>
    <row r="7" spans="1:90" x14ac:dyDescent="0.35">
      <c r="B7" s="9" t="s">
        <v>264</v>
      </c>
      <c r="C7" s="6">
        <v>49</v>
      </c>
      <c r="D7" s="6">
        <v>202</v>
      </c>
      <c r="E7" s="6">
        <v>1</v>
      </c>
      <c r="F7" s="6">
        <v>0</v>
      </c>
      <c r="G7" s="6">
        <v>1</v>
      </c>
      <c r="H7" s="6">
        <v>0.6</v>
      </c>
      <c r="I7" s="6">
        <v>0</v>
      </c>
      <c r="J7" s="6">
        <v>0.6</v>
      </c>
      <c r="K7" s="6">
        <v>0</v>
      </c>
      <c r="L7" s="6">
        <v>6.5</v>
      </c>
      <c r="M7" s="6">
        <v>0</v>
      </c>
      <c r="N7" s="6">
        <v>6.5</v>
      </c>
      <c r="O7" s="6">
        <v>7.4</v>
      </c>
      <c r="P7" s="6">
        <v>0</v>
      </c>
      <c r="Q7" s="6">
        <v>84.6</v>
      </c>
      <c r="R7" s="6">
        <v>1</v>
      </c>
      <c r="S7" s="6">
        <v>49</v>
      </c>
      <c r="T7" s="6">
        <v>3</v>
      </c>
      <c r="U7" s="6">
        <v>220</v>
      </c>
      <c r="V7" s="6">
        <v>52</v>
      </c>
      <c r="W7" s="6">
        <v>0.3</v>
      </c>
      <c r="X7" s="6">
        <v>19</v>
      </c>
      <c r="Y7" s="6">
        <v>0.21</v>
      </c>
      <c r="Z7" s="6">
        <v>0.2</v>
      </c>
      <c r="AA7" s="6">
        <v>22</v>
      </c>
      <c r="AB7" s="51">
        <v>0.5</v>
      </c>
      <c r="AC7" s="6">
        <v>0.4</v>
      </c>
      <c r="AD7" s="6">
        <v>17</v>
      </c>
      <c r="AE7" s="6">
        <v>0.05</v>
      </c>
      <c r="AF7" s="6">
        <v>0.02</v>
      </c>
      <c r="AG7" s="6">
        <v>25</v>
      </c>
      <c r="AH7" s="6">
        <v>0.5</v>
      </c>
      <c r="AI7" s="6">
        <v>0.06</v>
      </c>
      <c r="AJ7" s="6">
        <v>33</v>
      </c>
      <c r="AK7" s="6">
        <v>0.24</v>
      </c>
      <c r="AL7" s="6">
        <v>1.9</v>
      </c>
      <c r="AM7" s="6">
        <v>0</v>
      </c>
      <c r="AN7" s="6">
        <v>13</v>
      </c>
      <c r="AO7" s="6">
        <v>0</v>
      </c>
      <c r="AP7" s="6">
        <v>78</v>
      </c>
      <c r="AQ7" s="6">
        <v>0.48</v>
      </c>
      <c r="AR7" s="6">
        <v>0</v>
      </c>
      <c r="AS7" s="6">
        <v>7.8</v>
      </c>
      <c r="AT7" s="6">
        <v>1.7999999999999999E-2</v>
      </c>
      <c r="AU7" s="6">
        <v>0</v>
      </c>
      <c r="AV7" s="6">
        <v>0</v>
      </c>
      <c r="AW7" s="6">
        <v>0</v>
      </c>
      <c r="AX7" s="6">
        <v>1.4999999999999999E-2</v>
      </c>
      <c r="AY7" s="6">
        <v>4.0000000000000001E-3</v>
      </c>
      <c r="AZ7" s="6">
        <v>0</v>
      </c>
      <c r="BA7" s="6">
        <v>0</v>
      </c>
      <c r="BB7" s="6">
        <v>5.8999999999999997E-2</v>
      </c>
      <c r="BC7" s="6">
        <v>0</v>
      </c>
      <c r="BD7" s="6">
        <v>0</v>
      </c>
      <c r="BE7" s="6">
        <v>5.3999999999999999E-2</v>
      </c>
      <c r="BF7" s="6">
        <v>5.0000000000000001E-3</v>
      </c>
      <c r="BG7" s="6">
        <v>0</v>
      </c>
      <c r="BH7" s="6">
        <v>0.34599999999999997</v>
      </c>
      <c r="BI7" s="6">
        <v>0.23</v>
      </c>
      <c r="BJ7" s="6">
        <v>0.11600000000000001</v>
      </c>
      <c r="BK7" s="6">
        <v>0</v>
      </c>
      <c r="BL7" s="6">
        <v>0</v>
      </c>
      <c r="BM7" s="6">
        <v>0</v>
      </c>
      <c r="BN7" s="6">
        <v>0</v>
      </c>
      <c r="BO7" s="7">
        <v>12</v>
      </c>
      <c r="BP7" s="7">
        <v>30</v>
      </c>
      <c r="BQ7" s="7">
        <v>24</v>
      </c>
      <c r="BR7" s="7">
        <v>51</v>
      </c>
      <c r="BS7" s="7">
        <v>39</v>
      </c>
      <c r="BT7" s="7">
        <v>3</v>
      </c>
      <c r="BU7" s="7">
        <v>9</v>
      </c>
      <c r="BV7" s="7">
        <v>28</v>
      </c>
      <c r="BW7" s="7">
        <v>33</v>
      </c>
      <c r="BX7" s="7">
        <v>28</v>
      </c>
      <c r="BY7" s="7">
        <v>42</v>
      </c>
      <c r="BZ7" s="7">
        <v>18</v>
      </c>
      <c r="CA7" s="7">
        <v>49</v>
      </c>
      <c r="CB7" s="7">
        <v>222</v>
      </c>
      <c r="CC7" s="7">
        <v>146</v>
      </c>
      <c r="CD7" s="7">
        <v>39</v>
      </c>
      <c r="CE7" s="7">
        <v>30</v>
      </c>
      <c r="CF7" s="7">
        <v>37</v>
      </c>
      <c r="CG7" s="6">
        <v>2.7</v>
      </c>
      <c r="CH7" s="6">
        <v>3.4</v>
      </c>
      <c r="CI7" s="6">
        <v>0</v>
      </c>
      <c r="CJ7" s="6">
        <v>0.3</v>
      </c>
      <c r="CK7" s="6">
        <v>0</v>
      </c>
      <c r="CL7" s="6">
        <v>0</v>
      </c>
    </row>
    <row r="8" spans="1:90" x14ac:dyDescent="0.35">
      <c r="B8" s="9" t="s">
        <v>266</v>
      </c>
      <c r="C8" s="6">
        <v>31</v>
      </c>
      <c r="D8" s="6">
        <v>129</v>
      </c>
      <c r="E8" s="6">
        <v>0.9</v>
      </c>
      <c r="F8" s="6">
        <v>0</v>
      </c>
      <c r="G8" s="6">
        <v>0.9</v>
      </c>
      <c r="H8" s="6">
        <v>0.2</v>
      </c>
      <c r="I8" s="6">
        <v>0</v>
      </c>
      <c r="J8" s="6">
        <v>0.2</v>
      </c>
      <c r="K8" s="6">
        <v>0</v>
      </c>
      <c r="L8" s="6">
        <v>5.0999999999999996</v>
      </c>
      <c r="M8" s="6">
        <v>0</v>
      </c>
      <c r="N8" s="6">
        <v>5.0999999999999996</v>
      </c>
      <c r="O8" s="6">
        <v>3.1</v>
      </c>
      <c r="P8" s="6">
        <v>0</v>
      </c>
      <c r="Q8" s="6">
        <v>85</v>
      </c>
      <c r="R8" s="6">
        <v>0.7</v>
      </c>
      <c r="S8" s="6">
        <v>41</v>
      </c>
      <c r="T8" s="6">
        <v>2</v>
      </c>
      <c r="U8" s="6">
        <v>160</v>
      </c>
      <c r="V8" s="6">
        <v>31</v>
      </c>
      <c r="W8" s="6">
        <v>0.2</v>
      </c>
      <c r="X8" s="6">
        <v>5</v>
      </c>
      <c r="Y8" s="6">
        <v>0.08</v>
      </c>
      <c r="Z8" s="51">
        <v>0.05</v>
      </c>
      <c r="AA8" s="6">
        <v>5</v>
      </c>
      <c r="AB8" s="51">
        <v>0.5</v>
      </c>
      <c r="AC8" s="6">
        <v>0.3</v>
      </c>
      <c r="AD8" s="6">
        <v>13</v>
      </c>
      <c r="AE8" s="6">
        <v>0.02</v>
      </c>
      <c r="AF8" s="6">
        <v>0.05</v>
      </c>
      <c r="AG8" s="6">
        <v>15</v>
      </c>
      <c r="AH8" s="6">
        <v>0.5</v>
      </c>
      <c r="AI8" s="6">
        <v>0.05</v>
      </c>
      <c r="AJ8" s="6">
        <v>6</v>
      </c>
      <c r="AK8" s="6">
        <v>0.25</v>
      </c>
      <c r="AL8" s="6">
        <v>1.1000000000000001</v>
      </c>
      <c r="AM8" s="6">
        <v>0</v>
      </c>
      <c r="AN8" s="6">
        <v>13</v>
      </c>
      <c r="AO8" s="6">
        <v>0</v>
      </c>
      <c r="AP8" s="6">
        <v>78</v>
      </c>
      <c r="AQ8" s="6">
        <v>0.61</v>
      </c>
      <c r="AR8" s="6">
        <v>0</v>
      </c>
      <c r="AS8" s="6">
        <v>19.3</v>
      </c>
      <c r="AT8" s="6">
        <v>1.7000000000000001E-2</v>
      </c>
      <c r="AU8" s="6">
        <v>0</v>
      </c>
      <c r="AV8" s="6">
        <v>0</v>
      </c>
      <c r="AW8" s="6">
        <v>0</v>
      </c>
      <c r="AX8" s="6">
        <v>0.01</v>
      </c>
      <c r="AY8" s="6">
        <v>3.0000000000000001E-3</v>
      </c>
      <c r="AZ8" s="52">
        <v>0</v>
      </c>
      <c r="BA8" s="52">
        <v>0</v>
      </c>
      <c r="BB8" s="6">
        <v>2.8000000000000001E-2</v>
      </c>
      <c r="BC8" s="6">
        <v>0</v>
      </c>
      <c r="BD8" s="6">
        <v>1E-3</v>
      </c>
      <c r="BE8" s="6">
        <v>2.8000000000000001E-2</v>
      </c>
      <c r="BF8" s="6">
        <v>0</v>
      </c>
      <c r="BG8" s="6">
        <v>0</v>
      </c>
      <c r="BH8" s="6">
        <v>8.7999999999999995E-2</v>
      </c>
      <c r="BI8" s="6">
        <v>5.2999999999999999E-2</v>
      </c>
      <c r="BJ8" s="6">
        <v>3.5000000000000003E-2</v>
      </c>
      <c r="BK8" s="6">
        <v>0</v>
      </c>
      <c r="BL8" s="6">
        <v>0</v>
      </c>
      <c r="BM8" s="6">
        <v>0</v>
      </c>
      <c r="BN8" s="6">
        <v>0</v>
      </c>
      <c r="BO8" s="7">
        <v>4</v>
      </c>
      <c r="BP8" s="7">
        <v>24</v>
      </c>
      <c r="BQ8" s="7">
        <v>28</v>
      </c>
      <c r="BR8" s="7">
        <v>54</v>
      </c>
      <c r="BS8" s="7">
        <v>16</v>
      </c>
      <c r="BT8" s="7">
        <v>15</v>
      </c>
      <c r="BU8" s="7">
        <v>10</v>
      </c>
      <c r="BV8" s="7">
        <v>32</v>
      </c>
      <c r="BW8" s="7">
        <v>11</v>
      </c>
      <c r="BX8" s="7">
        <v>38</v>
      </c>
      <c r="BY8" s="7">
        <v>45</v>
      </c>
      <c r="BZ8" s="7">
        <v>13</v>
      </c>
      <c r="CA8" s="7">
        <v>38</v>
      </c>
      <c r="CB8" s="7">
        <v>69</v>
      </c>
      <c r="CC8" s="7">
        <v>111</v>
      </c>
      <c r="CD8" s="7">
        <v>38</v>
      </c>
      <c r="CE8" s="7">
        <v>34</v>
      </c>
      <c r="CF8" s="7">
        <v>27</v>
      </c>
      <c r="CG8" s="6">
        <v>2.4</v>
      </c>
      <c r="CH8" s="6">
        <v>2.4</v>
      </c>
      <c r="CI8" s="6">
        <v>0</v>
      </c>
      <c r="CJ8" s="6">
        <v>0.3</v>
      </c>
      <c r="CK8" s="6">
        <v>0</v>
      </c>
      <c r="CL8" s="6">
        <v>0</v>
      </c>
    </row>
    <row r="9" spans="1:90" x14ac:dyDescent="0.35">
      <c r="C9">
        <f>AVERAGE(C4:C8)</f>
        <v>38.200000000000003</v>
      </c>
      <c r="D9">
        <f t="shared" ref="D9:BO9" si="0">AVERAGE(D4:D8)</f>
        <v>160.19999999999999</v>
      </c>
      <c r="E9">
        <f t="shared" si="0"/>
        <v>1.08</v>
      </c>
      <c r="F9">
        <f t="shared" si="0"/>
        <v>0</v>
      </c>
      <c r="G9">
        <f t="shared" si="0"/>
        <v>1.08</v>
      </c>
      <c r="H9">
        <f t="shared" si="0"/>
        <v>0.26</v>
      </c>
      <c r="I9">
        <f t="shared" si="0"/>
        <v>0</v>
      </c>
      <c r="J9">
        <f t="shared" si="0"/>
        <v>0.26</v>
      </c>
      <c r="K9">
        <f t="shared" si="0"/>
        <v>0</v>
      </c>
      <c r="L9">
        <f t="shared" si="0"/>
        <v>6.62</v>
      </c>
      <c r="M9">
        <f t="shared" si="0"/>
        <v>0</v>
      </c>
      <c r="N9">
        <f t="shared" si="0"/>
        <v>6.62</v>
      </c>
      <c r="O9">
        <f t="shared" si="0"/>
        <v>3.4</v>
      </c>
      <c r="P9">
        <f t="shared" si="0"/>
        <v>0</v>
      </c>
      <c r="Q9">
        <f t="shared" si="0"/>
        <v>86.02000000000001</v>
      </c>
      <c r="R9">
        <f t="shared" si="0"/>
        <v>1.1400000000000001</v>
      </c>
      <c r="S9">
        <f t="shared" si="0"/>
        <v>39.4</v>
      </c>
      <c r="T9">
        <f t="shared" si="0"/>
        <v>2.2000000000000002</v>
      </c>
      <c r="U9">
        <f t="shared" si="0"/>
        <v>212</v>
      </c>
      <c r="V9">
        <f t="shared" si="0"/>
        <v>41.4</v>
      </c>
      <c r="W9">
        <f t="shared" si="0"/>
        <v>0.2</v>
      </c>
      <c r="X9">
        <f t="shared" si="0"/>
        <v>14.4</v>
      </c>
      <c r="Y9">
        <f t="shared" si="0"/>
        <v>0.11799999999999999</v>
      </c>
      <c r="Z9">
        <f t="shared" si="0"/>
        <v>0.08</v>
      </c>
      <c r="AA9">
        <f t="shared" si="0"/>
        <v>14.2</v>
      </c>
      <c r="AB9">
        <f t="shared" si="0"/>
        <v>2.1800000000000002</v>
      </c>
      <c r="AC9">
        <f t="shared" si="0"/>
        <v>0.65999999999999992</v>
      </c>
      <c r="AD9">
        <f t="shared" si="0"/>
        <v>14.2</v>
      </c>
      <c r="AE9">
        <f t="shared" si="0"/>
        <v>3.4000000000000002E-2</v>
      </c>
      <c r="AF9">
        <f t="shared" si="0"/>
        <v>0.04</v>
      </c>
      <c r="AG9">
        <f t="shared" si="0"/>
        <v>24.6</v>
      </c>
      <c r="AH9">
        <f t="shared" si="0"/>
        <v>0.39400000000000002</v>
      </c>
      <c r="AI9">
        <f t="shared" si="0"/>
        <v>5.5999999999999994E-2</v>
      </c>
      <c r="AJ9">
        <f t="shared" si="0"/>
        <v>25.2</v>
      </c>
      <c r="AK9">
        <f t="shared" si="0"/>
        <v>0.26400000000000001</v>
      </c>
      <c r="AL9">
        <f t="shared" si="0"/>
        <v>1.28</v>
      </c>
      <c r="AM9">
        <f t="shared" si="0"/>
        <v>0</v>
      </c>
      <c r="AN9">
        <f t="shared" si="0"/>
        <v>5.8</v>
      </c>
      <c r="AO9">
        <f t="shared" si="0"/>
        <v>0</v>
      </c>
      <c r="AP9">
        <f t="shared" si="0"/>
        <v>33.799999999999997</v>
      </c>
      <c r="AQ9">
        <f t="shared" si="0"/>
        <v>0.90600000000000003</v>
      </c>
      <c r="AR9">
        <f t="shared" si="0"/>
        <v>0</v>
      </c>
      <c r="AS9">
        <f t="shared" si="0"/>
        <v>11.540000000000001</v>
      </c>
      <c r="AT9">
        <f t="shared" si="0"/>
        <v>1.0999999999999999E-2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8.2000000000000007E-3</v>
      </c>
      <c r="AY9">
        <f t="shared" si="0"/>
        <v>2.1999999999999997E-3</v>
      </c>
      <c r="AZ9">
        <f t="shared" si="0"/>
        <v>0</v>
      </c>
      <c r="BA9">
        <f t="shared" si="0"/>
        <v>0</v>
      </c>
      <c r="BB9">
        <f t="shared" si="0"/>
        <v>2.8799999999999999E-2</v>
      </c>
      <c r="BC9">
        <f t="shared" si="0"/>
        <v>0</v>
      </c>
      <c r="BD9">
        <f t="shared" si="0"/>
        <v>4.0000000000000002E-4</v>
      </c>
      <c r="BE9">
        <f t="shared" si="0"/>
        <v>2.7600000000000003E-2</v>
      </c>
      <c r="BF9">
        <f t="shared" si="0"/>
        <v>1E-3</v>
      </c>
      <c r="BG9">
        <f t="shared" si="0"/>
        <v>0</v>
      </c>
      <c r="BH9">
        <f t="shared" si="0"/>
        <v>0.12819999999999998</v>
      </c>
      <c r="BI9">
        <f t="shared" si="0"/>
        <v>8.0599999999999991E-2</v>
      </c>
      <c r="BJ9">
        <f t="shared" si="0"/>
        <v>4.7600000000000003E-2</v>
      </c>
      <c r="BK9">
        <f t="shared" si="0"/>
        <v>0</v>
      </c>
      <c r="BL9">
        <f t="shared" si="0"/>
        <v>0</v>
      </c>
      <c r="BM9">
        <f t="shared" si="0"/>
        <v>0</v>
      </c>
      <c r="BN9">
        <f t="shared" si="0"/>
        <v>0</v>
      </c>
      <c r="BO9">
        <f t="shared" si="0"/>
        <v>11.8</v>
      </c>
      <c r="BP9">
        <f t="shared" ref="BP9:CL9" si="1">AVERAGE(BP4:BP8)</f>
        <v>31.8</v>
      </c>
      <c r="BQ9">
        <f t="shared" si="1"/>
        <v>27</v>
      </c>
      <c r="BR9">
        <f t="shared" si="1"/>
        <v>56.6</v>
      </c>
      <c r="BS9">
        <f t="shared" si="1"/>
        <v>38</v>
      </c>
      <c r="BT9">
        <f t="shared" si="1"/>
        <v>5.8</v>
      </c>
      <c r="BU9">
        <f t="shared" si="1"/>
        <v>10.199999999999999</v>
      </c>
      <c r="BV9">
        <f t="shared" si="1"/>
        <v>32</v>
      </c>
      <c r="BW9">
        <f t="shared" si="1"/>
        <v>32</v>
      </c>
      <c r="BX9">
        <f t="shared" si="1"/>
        <v>33.200000000000003</v>
      </c>
      <c r="BY9">
        <f t="shared" si="1"/>
        <v>46.6</v>
      </c>
      <c r="BZ9">
        <f t="shared" si="1"/>
        <v>18.600000000000001</v>
      </c>
      <c r="CA9">
        <f t="shared" si="1"/>
        <v>51.8</v>
      </c>
      <c r="CB9">
        <f t="shared" si="1"/>
        <v>213.8</v>
      </c>
      <c r="CC9">
        <f t="shared" si="1"/>
        <v>153.80000000000001</v>
      </c>
      <c r="CD9">
        <f t="shared" si="1"/>
        <v>42.4</v>
      </c>
      <c r="CE9">
        <f t="shared" si="1"/>
        <v>33.799999999999997</v>
      </c>
      <c r="CF9">
        <f t="shared" si="1"/>
        <v>39.200000000000003</v>
      </c>
      <c r="CG9">
        <f t="shared" si="1"/>
        <v>3.04</v>
      </c>
      <c r="CH9">
        <f>AVERAGE(CH4:CH8)</f>
        <v>3.38</v>
      </c>
      <c r="CI9">
        <f t="shared" si="1"/>
        <v>0</v>
      </c>
      <c r="CJ9">
        <f t="shared" si="1"/>
        <v>0.2</v>
      </c>
      <c r="CK9">
        <f t="shared" si="1"/>
        <v>0</v>
      </c>
      <c r="CL9">
        <f t="shared" si="1"/>
        <v>0</v>
      </c>
    </row>
    <row r="12" spans="1:90" x14ac:dyDescent="0.35">
      <c r="A12" s="53" t="s">
        <v>5</v>
      </c>
      <c r="B12" s="9" t="s">
        <v>267</v>
      </c>
      <c r="C12" s="54">
        <v>21</v>
      </c>
      <c r="D12" s="54">
        <v>89</v>
      </c>
      <c r="E12" s="54">
        <v>2</v>
      </c>
      <c r="F12" s="54">
        <v>0</v>
      </c>
      <c r="G12" s="54">
        <v>2</v>
      </c>
      <c r="H12" s="54">
        <v>0.3</v>
      </c>
      <c r="I12" s="54">
        <v>0</v>
      </c>
      <c r="J12" s="54">
        <v>0.3</v>
      </c>
      <c r="K12" s="54">
        <v>0</v>
      </c>
      <c r="L12" s="54">
        <v>1.9</v>
      </c>
      <c r="M12" s="54">
        <v>0.95</v>
      </c>
      <c r="N12" s="54">
        <v>0.95</v>
      </c>
      <c r="O12" s="54">
        <v>1.7</v>
      </c>
      <c r="P12" s="54">
        <v>0</v>
      </c>
      <c r="Q12" s="54">
        <v>92.9</v>
      </c>
      <c r="R12" s="54">
        <v>1.1000000000000001</v>
      </c>
      <c r="S12" s="54">
        <v>17</v>
      </c>
      <c r="T12" s="54">
        <v>5</v>
      </c>
      <c r="U12" s="54">
        <v>320</v>
      </c>
      <c r="V12" s="54">
        <v>89</v>
      </c>
      <c r="W12" s="54">
        <v>0.4</v>
      </c>
      <c r="X12" s="81">
        <v>0</v>
      </c>
      <c r="Y12" s="81">
        <v>0</v>
      </c>
      <c r="Z12" s="81">
        <v>0</v>
      </c>
      <c r="AA12" s="81">
        <v>0</v>
      </c>
      <c r="AB12" s="81">
        <v>0</v>
      </c>
      <c r="AC12" s="81">
        <v>0</v>
      </c>
      <c r="AD12" s="81">
        <v>0</v>
      </c>
      <c r="AE12" s="54">
        <v>0.1</v>
      </c>
      <c r="AF12" s="54">
        <v>0.31</v>
      </c>
      <c r="AG12" s="54">
        <v>3</v>
      </c>
      <c r="AH12" s="54">
        <v>4</v>
      </c>
      <c r="AI12" s="54">
        <v>0.18</v>
      </c>
      <c r="AJ12" s="54">
        <v>44</v>
      </c>
      <c r="AK12" s="81">
        <v>0</v>
      </c>
      <c r="AL12" s="81">
        <v>0</v>
      </c>
      <c r="AM12" s="81">
        <v>0</v>
      </c>
      <c r="AN12" s="54">
        <v>0</v>
      </c>
      <c r="AO12" s="54">
        <v>0</v>
      </c>
      <c r="AP12" s="54">
        <v>0</v>
      </c>
      <c r="AQ12" s="54">
        <v>0.12</v>
      </c>
      <c r="AR12" s="54">
        <v>2.1</v>
      </c>
      <c r="AS12" s="81">
        <v>0</v>
      </c>
      <c r="AT12" s="54">
        <v>7.0000000000000007E-2</v>
      </c>
      <c r="AU12" s="81">
        <v>0</v>
      </c>
      <c r="AV12" s="81">
        <v>0</v>
      </c>
      <c r="AW12" s="81">
        <v>0</v>
      </c>
      <c r="AX12" s="81">
        <v>0</v>
      </c>
      <c r="AY12" s="81">
        <v>0</v>
      </c>
      <c r="AZ12" s="81">
        <v>0</v>
      </c>
      <c r="BA12" s="81">
        <v>0</v>
      </c>
      <c r="BB12" s="51">
        <v>5.0000000000000001E-3</v>
      </c>
      <c r="BC12" s="81">
        <v>0</v>
      </c>
      <c r="BD12" s="81">
        <v>0</v>
      </c>
      <c r="BE12" s="51">
        <v>5.0000000000000001E-3</v>
      </c>
      <c r="BF12" s="81">
        <v>0</v>
      </c>
      <c r="BG12" s="81">
        <v>0</v>
      </c>
      <c r="BH12" s="54">
        <v>0.17</v>
      </c>
      <c r="BI12" s="54">
        <v>0.03</v>
      </c>
      <c r="BJ12" s="54">
        <v>0.14000000000000001</v>
      </c>
      <c r="BK12" s="82">
        <v>0</v>
      </c>
      <c r="BL12" s="82">
        <v>0</v>
      </c>
      <c r="BM12" s="82">
        <v>0</v>
      </c>
      <c r="BN12" s="54">
        <v>0</v>
      </c>
      <c r="BO12" s="56">
        <v>46</v>
      </c>
      <c r="BP12" s="56">
        <v>105</v>
      </c>
      <c r="BQ12" s="56">
        <v>81</v>
      </c>
      <c r="BR12" s="56">
        <v>156</v>
      </c>
      <c r="BS12" s="56">
        <v>120</v>
      </c>
      <c r="BT12" s="56">
        <v>29</v>
      </c>
      <c r="BU12" s="56">
        <v>18</v>
      </c>
      <c r="BV12" s="56">
        <v>80</v>
      </c>
      <c r="BW12" s="56">
        <v>78</v>
      </c>
      <c r="BX12" s="56">
        <v>105</v>
      </c>
      <c r="BY12" s="56">
        <v>141</v>
      </c>
      <c r="BZ12" s="56">
        <v>45</v>
      </c>
      <c r="CA12" s="56">
        <v>176</v>
      </c>
      <c r="CB12" s="56">
        <v>183</v>
      </c>
      <c r="CC12" s="56">
        <v>330</v>
      </c>
      <c r="CD12" s="56">
        <v>97</v>
      </c>
      <c r="CE12" s="56">
        <v>79</v>
      </c>
      <c r="CF12" s="56">
        <v>90</v>
      </c>
      <c r="CG12" s="81">
        <v>0</v>
      </c>
      <c r="CH12" s="81">
        <v>0</v>
      </c>
      <c r="CI12" s="83">
        <v>0</v>
      </c>
      <c r="CJ12" s="81">
        <v>0</v>
      </c>
      <c r="CK12" s="81">
        <v>0</v>
      </c>
      <c r="CL12" s="83">
        <v>0</v>
      </c>
    </row>
    <row r="13" spans="1:90" x14ac:dyDescent="0.35">
      <c r="B13" s="9" t="s">
        <v>268</v>
      </c>
      <c r="C13" s="54">
        <v>32</v>
      </c>
      <c r="D13" s="54">
        <v>135</v>
      </c>
      <c r="E13" s="54">
        <v>3.9</v>
      </c>
      <c r="F13" s="54">
        <v>0</v>
      </c>
      <c r="G13" s="54">
        <v>3.9</v>
      </c>
      <c r="H13" s="54">
        <v>0.7</v>
      </c>
      <c r="I13" s="54">
        <v>0</v>
      </c>
      <c r="J13" s="54">
        <v>0.7</v>
      </c>
      <c r="K13" s="54">
        <v>0</v>
      </c>
      <c r="L13" s="54">
        <v>1.4</v>
      </c>
      <c r="M13" s="54">
        <v>0.2</v>
      </c>
      <c r="N13" s="54">
        <v>1.2</v>
      </c>
      <c r="O13" s="54">
        <v>2.5</v>
      </c>
      <c r="P13" s="54">
        <v>0</v>
      </c>
      <c r="Q13" s="54">
        <v>92</v>
      </c>
      <c r="R13" s="54">
        <v>1.2</v>
      </c>
      <c r="S13" s="54">
        <v>22</v>
      </c>
      <c r="T13" s="54">
        <v>52</v>
      </c>
      <c r="U13" s="54">
        <v>235</v>
      </c>
      <c r="V13" s="54">
        <v>142</v>
      </c>
      <c r="W13" s="54">
        <v>0.1</v>
      </c>
      <c r="X13" s="81">
        <v>0</v>
      </c>
      <c r="Y13" s="81">
        <v>0</v>
      </c>
      <c r="Z13" s="81">
        <v>0</v>
      </c>
      <c r="AA13" s="81">
        <v>0</v>
      </c>
      <c r="AB13" s="81">
        <v>0</v>
      </c>
      <c r="AC13" s="81">
        <v>0</v>
      </c>
      <c r="AD13" s="81">
        <v>0</v>
      </c>
      <c r="AE13" s="54">
        <v>0.38</v>
      </c>
      <c r="AF13" s="54">
        <v>0.26</v>
      </c>
      <c r="AG13" s="54">
        <v>3</v>
      </c>
      <c r="AH13" s="54">
        <v>4</v>
      </c>
      <c r="AI13" s="54">
        <v>0.18</v>
      </c>
      <c r="AJ13" s="54">
        <v>44</v>
      </c>
      <c r="AK13" s="81">
        <v>0</v>
      </c>
      <c r="AL13" s="81">
        <v>0</v>
      </c>
      <c r="AM13" s="81">
        <v>0</v>
      </c>
      <c r="AN13" s="54">
        <v>0</v>
      </c>
      <c r="AO13" s="54">
        <v>0</v>
      </c>
      <c r="AP13" s="54">
        <v>0</v>
      </c>
      <c r="AQ13" s="54">
        <v>0.12</v>
      </c>
      <c r="AR13" s="54">
        <v>3.1</v>
      </c>
      <c r="AS13" s="81">
        <v>0</v>
      </c>
      <c r="AT13" s="54">
        <v>0.15</v>
      </c>
      <c r="AU13" s="81">
        <v>0</v>
      </c>
      <c r="AV13" s="81">
        <v>0</v>
      </c>
      <c r="AW13" s="81">
        <v>0</v>
      </c>
      <c r="AX13" s="81">
        <v>0</v>
      </c>
      <c r="AY13" s="81">
        <v>0</v>
      </c>
      <c r="AZ13" s="81">
        <v>0</v>
      </c>
      <c r="BA13" s="81">
        <v>0</v>
      </c>
      <c r="BB13" s="51">
        <v>5.0000000000000001E-3</v>
      </c>
      <c r="BC13" s="81">
        <v>0</v>
      </c>
      <c r="BD13" s="81">
        <v>0</v>
      </c>
      <c r="BE13" s="51">
        <v>5.0000000000000001E-3</v>
      </c>
      <c r="BF13" s="81">
        <v>0</v>
      </c>
      <c r="BG13" s="81">
        <v>0</v>
      </c>
      <c r="BH13" s="54">
        <v>0.38</v>
      </c>
      <c r="BI13" s="54">
        <v>7.0000000000000007E-2</v>
      </c>
      <c r="BJ13" s="54">
        <v>0.31</v>
      </c>
      <c r="BK13" s="82">
        <v>0</v>
      </c>
      <c r="BL13" s="82">
        <v>0</v>
      </c>
      <c r="BM13" s="82">
        <v>0</v>
      </c>
      <c r="BN13" s="54">
        <v>0</v>
      </c>
      <c r="BO13" s="56">
        <v>38</v>
      </c>
      <c r="BP13" s="56">
        <v>181</v>
      </c>
      <c r="BQ13" s="56">
        <v>109</v>
      </c>
      <c r="BR13" s="56">
        <v>207</v>
      </c>
      <c r="BS13" s="56">
        <v>154</v>
      </c>
      <c r="BT13" s="56">
        <v>58</v>
      </c>
      <c r="BU13" s="56">
        <v>51</v>
      </c>
      <c r="BV13" s="56">
        <v>118</v>
      </c>
      <c r="BW13" s="56">
        <v>65</v>
      </c>
      <c r="BX13" s="56">
        <v>143</v>
      </c>
      <c r="BY13" s="56">
        <v>140</v>
      </c>
      <c r="BZ13" s="56">
        <v>78</v>
      </c>
      <c r="CA13" s="56">
        <v>314</v>
      </c>
      <c r="CB13" s="56">
        <v>313</v>
      </c>
      <c r="CC13" s="56">
        <v>417</v>
      </c>
      <c r="CD13" s="56">
        <v>259</v>
      </c>
      <c r="CE13" s="56">
        <v>207</v>
      </c>
      <c r="CF13" s="56">
        <v>187</v>
      </c>
      <c r="CG13" s="81">
        <v>0</v>
      </c>
      <c r="CH13" s="81">
        <v>0</v>
      </c>
      <c r="CI13" s="83">
        <v>0</v>
      </c>
      <c r="CJ13" s="81">
        <v>0</v>
      </c>
      <c r="CK13" s="81">
        <v>0</v>
      </c>
      <c r="CL13" s="83">
        <v>0</v>
      </c>
    </row>
    <row r="14" spans="1:90" x14ac:dyDescent="0.35">
      <c r="B14" s="9" t="s">
        <v>269</v>
      </c>
      <c r="C14" s="54">
        <v>23</v>
      </c>
      <c r="D14" s="54">
        <v>98</v>
      </c>
      <c r="E14" s="54">
        <v>2.2999999999999998</v>
      </c>
      <c r="F14" s="54">
        <v>0</v>
      </c>
      <c r="G14" s="54">
        <v>2.2999999999999998</v>
      </c>
      <c r="H14" s="54">
        <v>0.4</v>
      </c>
      <c r="I14" s="54">
        <v>0</v>
      </c>
      <c r="J14" s="54">
        <v>0.4</v>
      </c>
      <c r="K14" s="54">
        <v>0</v>
      </c>
      <c r="L14" s="54">
        <v>1.9</v>
      </c>
      <c r="M14" s="54">
        <v>0.95</v>
      </c>
      <c r="N14" s="54">
        <v>0.95</v>
      </c>
      <c r="O14" s="54">
        <v>1.7</v>
      </c>
      <c r="P14" s="54">
        <v>0</v>
      </c>
      <c r="Q14" s="54">
        <v>92.1</v>
      </c>
      <c r="R14" s="54">
        <v>1.2</v>
      </c>
      <c r="S14" s="54">
        <v>10</v>
      </c>
      <c r="T14" s="54">
        <v>5</v>
      </c>
      <c r="U14" s="54">
        <v>320</v>
      </c>
      <c r="V14" s="54">
        <v>102</v>
      </c>
      <c r="W14" s="54">
        <v>0.4</v>
      </c>
      <c r="X14" s="81">
        <v>0</v>
      </c>
      <c r="Y14" s="81">
        <v>0</v>
      </c>
      <c r="Z14" s="81">
        <v>0</v>
      </c>
      <c r="AA14" s="81">
        <v>0</v>
      </c>
      <c r="AB14" s="81">
        <v>0</v>
      </c>
      <c r="AC14" s="81">
        <v>0</v>
      </c>
      <c r="AD14" s="81">
        <v>0</v>
      </c>
      <c r="AE14" s="54">
        <v>0.1</v>
      </c>
      <c r="AF14" s="54">
        <v>0.13</v>
      </c>
      <c r="AG14" s="54">
        <v>4</v>
      </c>
      <c r="AH14" s="54">
        <v>4.2</v>
      </c>
      <c r="AI14" s="54">
        <v>0.18</v>
      </c>
      <c r="AJ14" s="54">
        <v>44</v>
      </c>
      <c r="AK14" s="81">
        <v>0</v>
      </c>
      <c r="AL14" s="81">
        <v>0</v>
      </c>
      <c r="AM14" s="81">
        <v>0</v>
      </c>
      <c r="AN14" s="54">
        <v>0</v>
      </c>
      <c r="AO14" s="54">
        <v>0</v>
      </c>
      <c r="AP14" s="54">
        <v>0</v>
      </c>
      <c r="AQ14" s="54">
        <v>0.12</v>
      </c>
      <c r="AR14" s="54">
        <v>0</v>
      </c>
      <c r="AS14" s="81">
        <v>0</v>
      </c>
      <c r="AT14" s="54">
        <v>0.1</v>
      </c>
      <c r="AU14" s="81">
        <v>0</v>
      </c>
      <c r="AV14" s="81">
        <v>0</v>
      </c>
      <c r="AW14" s="81">
        <v>0</v>
      </c>
      <c r="AX14" s="81">
        <v>0</v>
      </c>
      <c r="AY14" s="81">
        <v>0</v>
      </c>
      <c r="AZ14" s="81">
        <v>0</v>
      </c>
      <c r="BA14" s="81">
        <v>0</v>
      </c>
      <c r="BB14" s="54">
        <v>0.01</v>
      </c>
      <c r="BC14" s="81">
        <v>0</v>
      </c>
      <c r="BD14" s="81">
        <v>0</v>
      </c>
      <c r="BE14" s="51">
        <v>5.0000000000000001E-3</v>
      </c>
      <c r="BF14" s="81">
        <v>0</v>
      </c>
      <c r="BG14" s="81">
        <v>0</v>
      </c>
      <c r="BH14" s="54">
        <v>0.22</v>
      </c>
      <c r="BI14" s="54">
        <v>0.04</v>
      </c>
      <c r="BJ14" s="54">
        <v>0.18</v>
      </c>
      <c r="BK14" s="82">
        <v>0</v>
      </c>
      <c r="BL14" s="82">
        <v>0</v>
      </c>
      <c r="BM14" s="82">
        <v>0</v>
      </c>
      <c r="BN14" s="54">
        <v>0</v>
      </c>
      <c r="BO14" s="56">
        <v>53</v>
      </c>
      <c r="BP14" s="56">
        <v>121</v>
      </c>
      <c r="BQ14" s="56">
        <v>93</v>
      </c>
      <c r="BR14" s="56">
        <v>180</v>
      </c>
      <c r="BS14" s="56">
        <v>138</v>
      </c>
      <c r="BT14" s="56">
        <v>33</v>
      </c>
      <c r="BU14" s="56">
        <v>21</v>
      </c>
      <c r="BV14" s="56">
        <v>92</v>
      </c>
      <c r="BW14" s="56">
        <v>90</v>
      </c>
      <c r="BX14" s="56">
        <v>120</v>
      </c>
      <c r="BY14" s="56">
        <v>162</v>
      </c>
      <c r="BZ14" s="56">
        <v>52</v>
      </c>
      <c r="CA14" s="56">
        <v>203</v>
      </c>
      <c r="CB14" s="56">
        <v>210</v>
      </c>
      <c r="CC14" s="56">
        <v>379</v>
      </c>
      <c r="CD14" s="56">
        <v>112</v>
      </c>
      <c r="CE14" s="56">
        <v>91</v>
      </c>
      <c r="CF14" s="56">
        <v>103</v>
      </c>
      <c r="CG14" s="81">
        <v>0</v>
      </c>
      <c r="CH14" s="81">
        <v>0</v>
      </c>
      <c r="CI14" s="83">
        <v>0</v>
      </c>
      <c r="CJ14" s="81">
        <v>0</v>
      </c>
      <c r="CK14" s="81">
        <v>0</v>
      </c>
      <c r="CL14" s="83">
        <v>0</v>
      </c>
    </row>
    <row r="15" spans="1:90" x14ac:dyDescent="0.35">
      <c r="B15" s="9" t="s">
        <v>270</v>
      </c>
      <c r="C15" s="54">
        <v>37</v>
      </c>
      <c r="D15" s="54">
        <v>152</v>
      </c>
      <c r="E15" s="54">
        <v>3.1</v>
      </c>
      <c r="F15" s="54">
        <v>0</v>
      </c>
      <c r="G15" s="54">
        <v>3.1</v>
      </c>
      <c r="H15" s="54">
        <v>0.6</v>
      </c>
      <c r="I15" s="54">
        <v>0</v>
      </c>
      <c r="J15" s="54">
        <v>0.6</v>
      </c>
      <c r="K15" s="54">
        <v>0</v>
      </c>
      <c r="L15" s="54">
        <v>1.6</v>
      </c>
      <c r="M15" s="54">
        <v>0.3</v>
      </c>
      <c r="N15" s="54">
        <v>1.3</v>
      </c>
      <c r="O15" s="54">
        <v>6.49</v>
      </c>
      <c r="P15" s="54">
        <v>0</v>
      </c>
      <c r="Q15" s="54">
        <v>88.5</v>
      </c>
      <c r="R15" s="54">
        <v>1.6</v>
      </c>
      <c r="S15" s="54">
        <v>2</v>
      </c>
      <c r="T15" s="54">
        <v>2</v>
      </c>
      <c r="U15" s="54">
        <v>360</v>
      </c>
      <c r="V15" s="54">
        <v>83</v>
      </c>
      <c r="W15" s="54">
        <v>0.1</v>
      </c>
      <c r="X15" s="81">
        <v>0</v>
      </c>
      <c r="Y15" s="81">
        <v>0</v>
      </c>
      <c r="Z15" s="81">
        <v>0</v>
      </c>
      <c r="AA15" s="81">
        <v>0</v>
      </c>
      <c r="AB15" s="81">
        <v>0</v>
      </c>
      <c r="AC15" s="81">
        <v>0</v>
      </c>
      <c r="AD15" s="81">
        <v>0</v>
      </c>
      <c r="AE15" s="54">
        <v>0.1</v>
      </c>
      <c r="AF15" s="54">
        <v>0.44</v>
      </c>
      <c r="AG15" s="54">
        <v>7</v>
      </c>
      <c r="AH15" s="54">
        <v>4.9000000000000004</v>
      </c>
      <c r="AI15" s="54">
        <v>0.18</v>
      </c>
      <c r="AJ15" s="54">
        <v>44</v>
      </c>
      <c r="AK15" s="81">
        <v>0</v>
      </c>
      <c r="AL15" s="81">
        <v>0</v>
      </c>
      <c r="AM15" s="81">
        <v>0</v>
      </c>
      <c r="AN15" s="54">
        <v>0</v>
      </c>
      <c r="AO15" s="54">
        <v>0</v>
      </c>
      <c r="AP15" s="54">
        <v>0</v>
      </c>
      <c r="AQ15" s="54">
        <v>0.12</v>
      </c>
      <c r="AR15" s="54">
        <v>3.1</v>
      </c>
      <c r="AS15" s="81">
        <v>0</v>
      </c>
      <c r="AT15" s="54">
        <v>0.13</v>
      </c>
      <c r="AU15" s="81">
        <v>0</v>
      </c>
      <c r="AV15" s="81">
        <v>0</v>
      </c>
      <c r="AW15" s="81">
        <v>0</v>
      </c>
      <c r="AX15" s="81">
        <v>0</v>
      </c>
      <c r="AY15" s="81">
        <v>0</v>
      </c>
      <c r="AZ15" s="81">
        <v>0</v>
      </c>
      <c r="BA15" s="81">
        <v>0</v>
      </c>
      <c r="BB15" s="51">
        <v>5.0000000000000001E-3</v>
      </c>
      <c r="BC15" s="81">
        <v>0</v>
      </c>
      <c r="BD15" s="81">
        <v>0</v>
      </c>
      <c r="BE15" s="51">
        <v>5.0000000000000001E-3</v>
      </c>
      <c r="BF15" s="81">
        <v>0</v>
      </c>
      <c r="BG15" s="81">
        <v>0</v>
      </c>
      <c r="BH15" s="54">
        <v>0.33</v>
      </c>
      <c r="BI15" s="54">
        <v>0.06</v>
      </c>
      <c r="BJ15" s="54">
        <v>0.27</v>
      </c>
      <c r="BK15" s="82">
        <v>0</v>
      </c>
      <c r="BL15" s="82">
        <v>0</v>
      </c>
      <c r="BM15" s="82">
        <v>0</v>
      </c>
      <c r="BN15" s="54">
        <v>0</v>
      </c>
      <c r="BO15" s="56">
        <v>72</v>
      </c>
      <c r="BP15" s="56">
        <v>163</v>
      </c>
      <c r="BQ15" s="56">
        <v>125</v>
      </c>
      <c r="BR15" s="56">
        <v>242</v>
      </c>
      <c r="BS15" s="56">
        <v>186</v>
      </c>
      <c r="BT15" s="56">
        <v>45</v>
      </c>
      <c r="BU15" s="56">
        <v>28</v>
      </c>
      <c r="BV15" s="56">
        <v>124</v>
      </c>
      <c r="BW15" s="56">
        <v>121</v>
      </c>
      <c r="BX15" s="56">
        <v>162</v>
      </c>
      <c r="BY15" s="56">
        <v>218</v>
      </c>
      <c r="BZ15" s="56">
        <v>70</v>
      </c>
      <c r="CA15" s="56">
        <v>273</v>
      </c>
      <c r="CB15" s="56">
        <v>283</v>
      </c>
      <c r="CC15" s="56">
        <v>511</v>
      </c>
      <c r="CD15" s="56">
        <v>151</v>
      </c>
      <c r="CE15" s="56">
        <v>123</v>
      </c>
      <c r="CF15" s="56">
        <v>140</v>
      </c>
      <c r="CG15" s="81">
        <v>0</v>
      </c>
      <c r="CH15" s="81">
        <v>0</v>
      </c>
      <c r="CI15" s="83">
        <v>0</v>
      </c>
      <c r="CJ15" s="81">
        <v>0</v>
      </c>
      <c r="CK15" s="81">
        <v>0</v>
      </c>
      <c r="CL15" s="83">
        <v>0</v>
      </c>
    </row>
    <row r="16" spans="1:90" x14ac:dyDescent="0.35">
      <c r="B16" s="9" t="s">
        <v>271</v>
      </c>
      <c r="C16" s="54">
        <v>29</v>
      </c>
      <c r="D16" s="54">
        <v>118</v>
      </c>
      <c r="E16" s="54">
        <v>2.1</v>
      </c>
      <c r="F16" s="54">
        <v>0</v>
      </c>
      <c r="G16" s="54">
        <v>2.1</v>
      </c>
      <c r="H16" s="54">
        <v>0.7</v>
      </c>
      <c r="I16" s="54">
        <v>0</v>
      </c>
      <c r="J16" s="54">
        <v>0.7</v>
      </c>
      <c r="K16" s="54">
        <v>0</v>
      </c>
      <c r="L16" s="54">
        <v>0.1</v>
      </c>
      <c r="M16" s="54">
        <v>0.05</v>
      </c>
      <c r="N16" s="54">
        <v>0.05</v>
      </c>
      <c r="O16" s="54">
        <v>6.81</v>
      </c>
      <c r="P16" s="54">
        <v>0</v>
      </c>
      <c r="Q16" s="54">
        <v>89</v>
      </c>
      <c r="R16" s="54">
        <v>0.89</v>
      </c>
      <c r="S16" s="54">
        <v>4</v>
      </c>
      <c r="T16" s="54">
        <v>5</v>
      </c>
      <c r="U16" s="54">
        <v>429</v>
      </c>
      <c r="V16" s="54">
        <v>121</v>
      </c>
      <c r="W16" s="54">
        <v>0.4</v>
      </c>
      <c r="X16" s="81">
        <v>0</v>
      </c>
      <c r="Y16" s="81">
        <v>0</v>
      </c>
      <c r="Z16" s="81">
        <v>0</v>
      </c>
      <c r="AA16" s="81">
        <v>0</v>
      </c>
      <c r="AB16" s="81">
        <v>0</v>
      </c>
      <c r="AC16" s="81">
        <v>0</v>
      </c>
      <c r="AD16" s="81">
        <v>0</v>
      </c>
      <c r="AE16" s="54">
        <v>0.1</v>
      </c>
      <c r="AF16" s="54">
        <v>0.13</v>
      </c>
      <c r="AG16" s="54">
        <v>5</v>
      </c>
      <c r="AH16" s="54">
        <v>4.2</v>
      </c>
      <c r="AI16" s="54">
        <v>0.18</v>
      </c>
      <c r="AJ16" s="54">
        <v>44</v>
      </c>
      <c r="AK16" s="81">
        <v>0</v>
      </c>
      <c r="AL16" s="81">
        <v>0</v>
      </c>
      <c r="AM16" s="81">
        <v>0</v>
      </c>
      <c r="AN16" s="54">
        <v>0</v>
      </c>
      <c r="AO16" s="54">
        <v>0</v>
      </c>
      <c r="AP16" s="54">
        <v>0</v>
      </c>
      <c r="AQ16" s="54">
        <v>0.12</v>
      </c>
      <c r="AR16" s="54">
        <v>2.1</v>
      </c>
      <c r="AS16" s="81">
        <v>0</v>
      </c>
      <c r="AT16" s="54">
        <v>0.15</v>
      </c>
      <c r="AU16" s="81">
        <v>0</v>
      </c>
      <c r="AV16" s="81">
        <v>0</v>
      </c>
      <c r="AW16" s="81">
        <v>0</v>
      </c>
      <c r="AX16" s="81">
        <v>0</v>
      </c>
      <c r="AY16" s="81">
        <v>0</v>
      </c>
      <c r="AZ16" s="81">
        <v>0</v>
      </c>
      <c r="BA16" s="81">
        <v>0</v>
      </c>
      <c r="BB16" s="51">
        <v>5.0000000000000001E-3</v>
      </c>
      <c r="BC16" s="81">
        <v>0</v>
      </c>
      <c r="BD16" s="81">
        <v>0</v>
      </c>
      <c r="BE16" s="51">
        <v>5.0000000000000001E-3</v>
      </c>
      <c r="BF16" s="81">
        <v>0</v>
      </c>
      <c r="BG16" s="81">
        <v>0</v>
      </c>
      <c r="BH16" s="54">
        <v>0.38</v>
      </c>
      <c r="BI16" s="54">
        <v>7.0000000000000007E-2</v>
      </c>
      <c r="BJ16" s="54">
        <v>0.31</v>
      </c>
      <c r="BK16" s="82">
        <v>0</v>
      </c>
      <c r="BL16" s="82">
        <v>0</v>
      </c>
      <c r="BM16" s="82">
        <v>0</v>
      </c>
      <c r="BN16" s="54">
        <v>0</v>
      </c>
      <c r="BO16" s="56">
        <v>49</v>
      </c>
      <c r="BP16" s="56">
        <v>111</v>
      </c>
      <c r="BQ16" s="56">
        <v>85</v>
      </c>
      <c r="BR16" s="56">
        <v>164</v>
      </c>
      <c r="BS16" s="56">
        <v>126</v>
      </c>
      <c r="BT16" s="56">
        <v>31</v>
      </c>
      <c r="BU16" s="56">
        <v>19</v>
      </c>
      <c r="BV16" s="56">
        <v>84</v>
      </c>
      <c r="BW16" s="56">
        <v>82</v>
      </c>
      <c r="BX16" s="56">
        <v>110</v>
      </c>
      <c r="BY16" s="56">
        <v>148</v>
      </c>
      <c r="BZ16" s="56">
        <v>48</v>
      </c>
      <c r="CA16" s="56">
        <v>185</v>
      </c>
      <c r="CB16" s="56">
        <v>192</v>
      </c>
      <c r="CC16" s="56">
        <v>346</v>
      </c>
      <c r="CD16" s="56">
        <v>102</v>
      </c>
      <c r="CE16" s="56">
        <v>83</v>
      </c>
      <c r="CF16" s="56">
        <v>94</v>
      </c>
      <c r="CG16" s="81">
        <v>0</v>
      </c>
      <c r="CH16" s="81">
        <v>0</v>
      </c>
      <c r="CI16" s="83">
        <v>0</v>
      </c>
      <c r="CJ16" s="81">
        <v>0</v>
      </c>
      <c r="CK16" s="81">
        <v>0</v>
      </c>
      <c r="CL16" s="83">
        <v>0</v>
      </c>
    </row>
    <row r="17" spans="1:90" x14ac:dyDescent="0.35">
      <c r="B17" s="9" t="s">
        <v>272</v>
      </c>
      <c r="C17" s="54">
        <v>31</v>
      </c>
      <c r="D17" s="54">
        <v>126</v>
      </c>
      <c r="E17" s="54">
        <v>1.7</v>
      </c>
      <c r="F17" s="54">
        <v>0</v>
      </c>
      <c r="G17" s="54">
        <v>1.7</v>
      </c>
      <c r="H17" s="54">
        <v>0.3</v>
      </c>
      <c r="I17" s="54">
        <v>0</v>
      </c>
      <c r="J17" s="54">
        <v>0.3</v>
      </c>
      <c r="K17" s="54">
        <v>0</v>
      </c>
      <c r="L17" s="54">
        <v>1.9</v>
      </c>
      <c r="M17" s="54">
        <v>0.95</v>
      </c>
      <c r="N17" s="54">
        <v>0.95</v>
      </c>
      <c r="O17" s="54">
        <v>7.01</v>
      </c>
      <c r="P17" s="54">
        <v>0</v>
      </c>
      <c r="Q17" s="54">
        <v>90</v>
      </c>
      <c r="R17" s="54">
        <v>1.2</v>
      </c>
      <c r="S17" s="54">
        <v>11</v>
      </c>
      <c r="T17" s="54">
        <v>2</v>
      </c>
      <c r="U17" s="54">
        <v>390</v>
      </c>
      <c r="V17" s="54">
        <v>162</v>
      </c>
      <c r="W17" s="54">
        <v>0.4</v>
      </c>
      <c r="X17" s="81">
        <v>0</v>
      </c>
      <c r="Y17" s="81">
        <v>0</v>
      </c>
      <c r="Z17" s="81">
        <v>0</v>
      </c>
      <c r="AA17" s="81">
        <v>0</v>
      </c>
      <c r="AB17" s="81">
        <v>0</v>
      </c>
      <c r="AC17" s="81">
        <v>0</v>
      </c>
      <c r="AD17" s="81">
        <v>0</v>
      </c>
      <c r="AE17" s="54">
        <v>0.13</v>
      </c>
      <c r="AF17" s="54">
        <v>0.06</v>
      </c>
      <c r="AG17" s="54">
        <v>5</v>
      </c>
      <c r="AH17" s="54">
        <v>4.2</v>
      </c>
      <c r="AI17" s="54">
        <v>0.18</v>
      </c>
      <c r="AJ17" s="54">
        <v>44</v>
      </c>
      <c r="AK17" s="81">
        <v>0</v>
      </c>
      <c r="AL17" s="81">
        <v>0</v>
      </c>
      <c r="AM17" s="81">
        <v>0</v>
      </c>
      <c r="AN17" s="54">
        <v>0</v>
      </c>
      <c r="AO17" s="54">
        <v>0</v>
      </c>
      <c r="AP17" s="54">
        <v>0</v>
      </c>
      <c r="AQ17" s="54">
        <v>0.188</v>
      </c>
      <c r="AR17" s="54">
        <v>3.1</v>
      </c>
      <c r="AS17" s="81">
        <v>0</v>
      </c>
      <c r="AT17" s="54">
        <v>7.0000000000000007E-2</v>
      </c>
      <c r="AU17" s="81">
        <v>0</v>
      </c>
      <c r="AV17" s="81">
        <v>0</v>
      </c>
      <c r="AW17" s="81">
        <v>0</v>
      </c>
      <c r="AX17" s="81">
        <v>0</v>
      </c>
      <c r="AY17" s="81">
        <v>0</v>
      </c>
      <c r="AZ17" s="81">
        <v>0</v>
      </c>
      <c r="BA17" s="81">
        <v>0</v>
      </c>
      <c r="BB17" s="51">
        <v>5.0000000000000001E-3</v>
      </c>
      <c r="BC17" s="81">
        <v>0</v>
      </c>
      <c r="BD17" s="81">
        <v>0</v>
      </c>
      <c r="BE17" s="51">
        <v>5.0000000000000001E-3</v>
      </c>
      <c r="BF17" s="81">
        <v>0</v>
      </c>
      <c r="BG17" s="81">
        <v>0</v>
      </c>
      <c r="BH17" s="54">
        <v>0.17</v>
      </c>
      <c r="BI17" s="54">
        <v>0.03</v>
      </c>
      <c r="BJ17" s="54">
        <v>0.14000000000000001</v>
      </c>
      <c r="BK17" s="82">
        <v>0</v>
      </c>
      <c r="BL17" s="82">
        <v>0</v>
      </c>
      <c r="BM17" s="82">
        <v>0</v>
      </c>
      <c r="BN17" s="54">
        <v>0</v>
      </c>
      <c r="BO17" s="56">
        <v>39</v>
      </c>
      <c r="BP17" s="56">
        <v>90</v>
      </c>
      <c r="BQ17" s="56">
        <v>69</v>
      </c>
      <c r="BR17" s="56">
        <v>133</v>
      </c>
      <c r="BS17" s="56">
        <v>102</v>
      </c>
      <c r="BT17" s="56">
        <v>25</v>
      </c>
      <c r="BU17" s="56">
        <v>15</v>
      </c>
      <c r="BV17" s="56">
        <v>68</v>
      </c>
      <c r="BW17" s="56">
        <v>66</v>
      </c>
      <c r="BX17" s="56">
        <v>89</v>
      </c>
      <c r="BY17" s="56">
        <v>120</v>
      </c>
      <c r="BZ17" s="56">
        <v>39</v>
      </c>
      <c r="CA17" s="56">
        <v>150</v>
      </c>
      <c r="CB17" s="56">
        <v>155</v>
      </c>
      <c r="CC17" s="56">
        <v>281</v>
      </c>
      <c r="CD17" s="56">
        <v>83</v>
      </c>
      <c r="CE17" s="56">
        <v>67</v>
      </c>
      <c r="CF17" s="56">
        <v>77</v>
      </c>
      <c r="CG17" s="81">
        <v>0</v>
      </c>
      <c r="CH17" s="81">
        <v>0</v>
      </c>
      <c r="CI17" s="83">
        <v>0</v>
      </c>
      <c r="CJ17" s="81">
        <v>0</v>
      </c>
      <c r="CK17" s="81">
        <v>0</v>
      </c>
      <c r="CL17" s="83">
        <v>0</v>
      </c>
    </row>
    <row r="18" spans="1:90" x14ac:dyDescent="0.35">
      <c r="B18" s="9" t="s">
        <v>273</v>
      </c>
      <c r="C18" s="54">
        <v>21</v>
      </c>
      <c r="D18" s="54">
        <v>86</v>
      </c>
      <c r="E18" s="54">
        <v>1.6</v>
      </c>
      <c r="F18" s="54">
        <v>0</v>
      </c>
      <c r="G18" s="54">
        <v>1.6</v>
      </c>
      <c r="H18" s="54">
        <v>0.5</v>
      </c>
      <c r="I18" s="54">
        <v>0</v>
      </c>
      <c r="J18" s="54">
        <v>0.5</v>
      </c>
      <c r="K18" s="54">
        <v>0</v>
      </c>
      <c r="L18" s="54">
        <v>0.2</v>
      </c>
      <c r="M18" s="54">
        <v>0</v>
      </c>
      <c r="N18" s="54">
        <v>0.2</v>
      </c>
      <c r="O18" s="54">
        <v>4.7</v>
      </c>
      <c r="P18" s="54">
        <v>0</v>
      </c>
      <c r="Q18" s="54">
        <v>91.5</v>
      </c>
      <c r="R18" s="54">
        <v>6.5</v>
      </c>
      <c r="S18" s="54">
        <v>4</v>
      </c>
      <c r="T18" s="54">
        <v>3</v>
      </c>
      <c r="U18" s="54">
        <v>367</v>
      </c>
      <c r="V18" s="54">
        <v>56</v>
      </c>
      <c r="W18" s="54">
        <v>0.65</v>
      </c>
      <c r="X18" s="81">
        <v>0</v>
      </c>
      <c r="Y18" s="81">
        <v>0</v>
      </c>
      <c r="Z18" s="81">
        <v>0</v>
      </c>
      <c r="AA18" s="81">
        <v>0</v>
      </c>
      <c r="AB18" s="81">
        <v>0</v>
      </c>
      <c r="AC18" s="81">
        <v>0</v>
      </c>
      <c r="AD18" s="81">
        <v>0</v>
      </c>
      <c r="AE18" s="54">
        <v>0.02</v>
      </c>
      <c r="AF18" s="54">
        <v>0.23</v>
      </c>
      <c r="AG18" s="54">
        <v>6</v>
      </c>
      <c r="AH18" s="54">
        <v>6.5</v>
      </c>
      <c r="AI18" s="54">
        <v>0.18</v>
      </c>
      <c r="AJ18" s="54">
        <v>44</v>
      </c>
      <c r="AK18" s="81">
        <v>0</v>
      </c>
      <c r="AL18" s="81">
        <v>0</v>
      </c>
      <c r="AM18" s="81">
        <v>0</v>
      </c>
      <c r="AN18" s="54">
        <v>217</v>
      </c>
      <c r="AO18" s="54">
        <v>0</v>
      </c>
      <c r="AP18" s="54">
        <v>1300</v>
      </c>
      <c r="AQ18" s="54">
        <v>0.12</v>
      </c>
      <c r="AR18" s="54">
        <v>2.1</v>
      </c>
      <c r="AS18" s="81">
        <v>0</v>
      </c>
      <c r="AT18" s="54">
        <v>0.09</v>
      </c>
      <c r="AU18" s="81">
        <v>0</v>
      </c>
      <c r="AV18" s="81">
        <v>0</v>
      </c>
      <c r="AW18" s="81">
        <v>0</v>
      </c>
      <c r="AX18" s="81">
        <v>0</v>
      </c>
      <c r="AY18" s="81">
        <v>0</v>
      </c>
      <c r="AZ18" s="81">
        <v>0</v>
      </c>
      <c r="BA18" s="81">
        <v>0</v>
      </c>
      <c r="BB18" s="51">
        <v>5.0000000000000001E-3</v>
      </c>
      <c r="BC18" s="81">
        <v>0</v>
      </c>
      <c r="BD18" s="81">
        <v>0</v>
      </c>
      <c r="BE18" s="51">
        <v>5.0000000000000001E-3</v>
      </c>
      <c r="BF18" s="81">
        <v>0</v>
      </c>
      <c r="BG18" s="81">
        <v>0</v>
      </c>
      <c r="BH18" s="54">
        <v>0.27</v>
      </c>
      <c r="BI18" s="54">
        <v>0.05</v>
      </c>
      <c r="BJ18" s="54">
        <v>0.22</v>
      </c>
      <c r="BK18" s="82">
        <v>0</v>
      </c>
      <c r="BL18" s="82">
        <v>0</v>
      </c>
      <c r="BM18" s="82">
        <v>0</v>
      </c>
      <c r="BN18" s="54">
        <v>0</v>
      </c>
      <c r="BO18" s="56">
        <v>37</v>
      </c>
      <c r="BP18" s="56">
        <v>84</v>
      </c>
      <c r="BQ18" s="56">
        <v>65</v>
      </c>
      <c r="BR18" s="56">
        <v>125</v>
      </c>
      <c r="BS18" s="56">
        <v>96</v>
      </c>
      <c r="BT18" s="56">
        <v>23</v>
      </c>
      <c r="BU18" s="56">
        <v>15</v>
      </c>
      <c r="BV18" s="56">
        <v>64</v>
      </c>
      <c r="BW18" s="56">
        <v>63</v>
      </c>
      <c r="BX18" s="56">
        <v>84</v>
      </c>
      <c r="BY18" s="56">
        <v>113</v>
      </c>
      <c r="BZ18" s="56">
        <v>36</v>
      </c>
      <c r="CA18" s="56">
        <v>141</v>
      </c>
      <c r="CB18" s="56">
        <v>146</v>
      </c>
      <c r="CC18" s="56">
        <v>264</v>
      </c>
      <c r="CD18" s="56">
        <v>78</v>
      </c>
      <c r="CE18" s="56">
        <v>63</v>
      </c>
      <c r="CF18" s="56">
        <v>72</v>
      </c>
      <c r="CG18" s="81">
        <v>0</v>
      </c>
      <c r="CH18" s="81">
        <v>0</v>
      </c>
      <c r="CI18" s="83">
        <v>0</v>
      </c>
      <c r="CJ18" s="81">
        <v>0</v>
      </c>
      <c r="CK18" s="81">
        <v>0</v>
      </c>
      <c r="CL18" s="83">
        <v>0</v>
      </c>
    </row>
    <row r="19" spans="1:90" x14ac:dyDescent="0.35">
      <c r="C19">
        <f>AVERAGE(C12:C18)</f>
        <v>27.714285714285715</v>
      </c>
      <c r="D19">
        <f t="shared" ref="D19:BO19" si="2">AVERAGE(D12:D18)</f>
        <v>114.85714285714286</v>
      </c>
      <c r="E19">
        <f t="shared" si="2"/>
        <v>2.3857142857142857</v>
      </c>
      <c r="F19">
        <f t="shared" si="2"/>
        <v>0</v>
      </c>
      <c r="G19">
        <f t="shared" si="2"/>
        <v>2.3857142857142857</v>
      </c>
      <c r="H19">
        <f t="shared" si="2"/>
        <v>0.5</v>
      </c>
      <c r="I19">
        <f t="shared" si="2"/>
        <v>0</v>
      </c>
      <c r="J19">
        <f t="shared" si="2"/>
        <v>0.5</v>
      </c>
      <c r="K19">
        <f t="shared" si="2"/>
        <v>0</v>
      </c>
      <c r="L19">
        <f t="shared" si="2"/>
        <v>1.2857142857142854</v>
      </c>
      <c r="M19">
        <f t="shared" si="2"/>
        <v>0.48571428571428565</v>
      </c>
      <c r="N19">
        <f t="shared" si="2"/>
        <v>0.79999999999999993</v>
      </c>
      <c r="O19">
        <f t="shared" si="2"/>
        <v>4.4157142857142855</v>
      </c>
      <c r="P19">
        <f t="shared" si="2"/>
        <v>0</v>
      </c>
      <c r="Q19">
        <f t="shared" si="2"/>
        <v>90.857142857142861</v>
      </c>
      <c r="R19">
        <f t="shared" si="2"/>
        <v>1.9557142857142857</v>
      </c>
      <c r="S19">
        <f t="shared" si="2"/>
        <v>10</v>
      </c>
      <c r="T19">
        <f t="shared" si="2"/>
        <v>10.571428571428571</v>
      </c>
      <c r="U19">
        <f t="shared" si="2"/>
        <v>345.85714285714283</v>
      </c>
      <c r="V19">
        <f t="shared" si="2"/>
        <v>107.85714285714286</v>
      </c>
      <c r="W19">
        <f t="shared" si="2"/>
        <v>0.35</v>
      </c>
      <c r="X19">
        <f t="shared" si="2"/>
        <v>0</v>
      </c>
      <c r="Y19">
        <f t="shared" si="2"/>
        <v>0</v>
      </c>
      <c r="Z19">
        <f t="shared" si="2"/>
        <v>0</v>
      </c>
      <c r="AA19">
        <f t="shared" si="2"/>
        <v>0</v>
      </c>
      <c r="AB19">
        <f t="shared" si="2"/>
        <v>0</v>
      </c>
      <c r="AC19">
        <f t="shared" si="2"/>
        <v>0</v>
      </c>
      <c r="AD19">
        <f t="shared" si="2"/>
        <v>0</v>
      </c>
      <c r="AE19">
        <f t="shared" si="2"/>
        <v>0.13285714285714284</v>
      </c>
      <c r="AF19">
        <f t="shared" si="2"/>
        <v>0.22285714285714286</v>
      </c>
      <c r="AG19">
        <f t="shared" si="2"/>
        <v>4.7142857142857144</v>
      </c>
      <c r="AH19">
        <f t="shared" si="2"/>
        <v>4.5714285714285712</v>
      </c>
      <c r="AI19">
        <f t="shared" si="2"/>
        <v>0.17999999999999997</v>
      </c>
      <c r="AJ19">
        <f t="shared" si="2"/>
        <v>44</v>
      </c>
      <c r="AK19">
        <f t="shared" si="2"/>
        <v>0</v>
      </c>
      <c r="AL19">
        <f t="shared" si="2"/>
        <v>0</v>
      </c>
      <c r="AM19">
        <f t="shared" si="2"/>
        <v>0</v>
      </c>
      <c r="AN19">
        <f t="shared" si="2"/>
        <v>31</v>
      </c>
      <c r="AO19">
        <f t="shared" si="2"/>
        <v>0</v>
      </c>
      <c r="AP19">
        <f t="shared" si="2"/>
        <v>185.71428571428572</v>
      </c>
      <c r="AQ19">
        <f t="shared" si="2"/>
        <v>0.12971428571428573</v>
      </c>
      <c r="AR19">
        <f t="shared" si="2"/>
        <v>2.2285714285714286</v>
      </c>
      <c r="AS19">
        <f t="shared" si="2"/>
        <v>0</v>
      </c>
      <c r="AT19">
        <f t="shared" si="2"/>
        <v>0.10857142857142855</v>
      </c>
      <c r="AU19">
        <f t="shared" si="2"/>
        <v>0</v>
      </c>
      <c r="AV19">
        <f t="shared" si="2"/>
        <v>0</v>
      </c>
      <c r="AW19">
        <f t="shared" si="2"/>
        <v>0</v>
      </c>
      <c r="AX19">
        <f t="shared" si="2"/>
        <v>0</v>
      </c>
      <c r="AY19">
        <f t="shared" si="2"/>
        <v>0</v>
      </c>
      <c r="AZ19">
        <f t="shared" si="2"/>
        <v>0</v>
      </c>
      <c r="BA19">
        <f t="shared" si="2"/>
        <v>0</v>
      </c>
      <c r="BB19">
        <f t="shared" si="2"/>
        <v>5.7142857142857143E-3</v>
      </c>
      <c r="BC19">
        <f t="shared" si="2"/>
        <v>0</v>
      </c>
      <c r="BD19">
        <f t="shared" si="2"/>
        <v>0</v>
      </c>
      <c r="BE19">
        <f t="shared" si="2"/>
        <v>5.0000000000000001E-3</v>
      </c>
      <c r="BF19">
        <f t="shared" si="2"/>
        <v>0</v>
      </c>
      <c r="BG19">
        <f t="shared" si="2"/>
        <v>0</v>
      </c>
      <c r="BH19">
        <f t="shared" si="2"/>
        <v>0.2742857142857143</v>
      </c>
      <c r="BI19">
        <f t="shared" si="2"/>
        <v>0.05</v>
      </c>
      <c r="BJ19">
        <f t="shared" si="2"/>
        <v>0.22428571428571428</v>
      </c>
      <c r="BK19">
        <f t="shared" si="2"/>
        <v>0</v>
      </c>
      <c r="BL19">
        <f t="shared" si="2"/>
        <v>0</v>
      </c>
      <c r="BM19">
        <f t="shared" si="2"/>
        <v>0</v>
      </c>
      <c r="BN19">
        <f t="shared" si="2"/>
        <v>0</v>
      </c>
      <c r="BO19">
        <f t="shared" si="2"/>
        <v>47.714285714285715</v>
      </c>
      <c r="BP19">
        <f t="shared" ref="BP19:CL19" si="3">AVERAGE(BP12:BP18)</f>
        <v>122.14285714285714</v>
      </c>
      <c r="BQ19">
        <f t="shared" si="3"/>
        <v>89.571428571428569</v>
      </c>
      <c r="BR19">
        <f t="shared" si="3"/>
        <v>172.42857142857142</v>
      </c>
      <c r="BS19">
        <f t="shared" si="3"/>
        <v>131.71428571428572</v>
      </c>
      <c r="BT19">
        <f t="shared" si="3"/>
        <v>34.857142857142854</v>
      </c>
      <c r="BU19">
        <f t="shared" si="3"/>
        <v>23.857142857142858</v>
      </c>
      <c r="BV19">
        <f t="shared" si="3"/>
        <v>90</v>
      </c>
      <c r="BW19">
        <f t="shared" si="3"/>
        <v>80.714285714285708</v>
      </c>
      <c r="BX19">
        <f t="shared" si="3"/>
        <v>116.14285714285714</v>
      </c>
      <c r="BY19">
        <f t="shared" si="3"/>
        <v>148.85714285714286</v>
      </c>
      <c r="BZ19">
        <f t="shared" si="3"/>
        <v>52.571428571428569</v>
      </c>
      <c r="CA19">
        <f t="shared" si="3"/>
        <v>206</v>
      </c>
      <c r="CB19">
        <f t="shared" si="3"/>
        <v>211.71428571428572</v>
      </c>
      <c r="CC19">
        <f t="shared" si="3"/>
        <v>361.14285714285717</v>
      </c>
      <c r="CD19">
        <f t="shared" si="3"/>
        <v>126</v>
      </c>
      <c r="CE19">
        <f t="shared" si="3"/>
        <v>101.85714285714286</v>
      </c>
      <c r="CF19">
        <f t="shared" si="3"/>
        <v>109</v>
      </c>
      <c r="CG19">
        <f t="shared" si="3"/>
        <v>0</v>
      </c>
      <c r="CH19">
        <f t="shared" si="3"/>
        <v>0</v>
      </c>
      <c r="CI19">
        <f t="shared" si="3"/>
        <v>0</v>
      </c>
      <c r="CJ19">
        <f t="shared" si="3"/>
        <v>0</v>
      </c>
      <c r="CK19">
        <f t="shared" si="3"/>
        <v>0</v>
      </c>
      <c r="CL19">
        <f t="shared" si="3"/>
        <v>0</v>
      </c>
    </row>
    <row r="22" spans="1:90" x14ac:dyDescent="0.35">
      <c r="A22" s="53" t="s">
        <v>337</v>
      </c>
      <c r="B22" s="9" t="s">
        <v>274</v>
      </c>
      <c r="C22" s="54">
        <v>359</v>
      </c>
      <c r="D22" s="54">
        <v>1494</v>
      </c>
      <c r="E22" s="54">
        <v>31.4</v>
      </c>
      <c r="F22" s="54">
        <v>31.4</v>
      </c>
      <c r="G22" s="54">
        <v>0</v>
      </c>
      <c r="H22" s="54">
        <v>25.6</v>
      </c>
      <c r="I22" s="54">
        <v>25.6</v>
      </c>
      <c r="J22" s="54">
        <v>0</v>
      </c>
      <c r="K22" s="54">
        <v>90</v>
      </c>
      <c r="L22" s="54">
        <v>0.8</v>
      </c>
      <c r="M22" s="54">
        <v>0</v>
      </c>
      <c r="N22" s="54">
        <v>0.8</v>
      </c>
      <c r="O22" s="54">
        <v>0</v>
      </c>
      <c r="P22" s="54">
        <v>0</v>
      </c>
      <c r="Q22" s="54">
        <v>36</v>
      </c>
      <c r="R22" s="54">
        <v>0.3</v>
      </c>
      <c r="S22" s="54">
        <v>870</v>
      </c>
      <c r="T22" s="54">
        <v>760</v>
      </c>
      <c r="U22" s="54">
        <v>89</v>
      </c>
      <c r="V22" s="54">
        <v>561</v>
      </c>
      <c r="W22" s="54">
        <v>4.3</v>
      </c>
      <c r="X22" s="54">
        <v>27</v>
      </c>
      <c r="Y22" s="54">
        <v>0.03</v>
      </c>
      <c r="Z22" s="54">
        <v>15</v>
      </c>
      <c r="AA22" s="54">
        <v>882</v>
      </c>
      <c r="AB22" s="54">
        <v>39</v>
      </c>
      <c r="AC22" s="54">
        <v>0.01</v>
      </c>
      <c r="AD22" s="54">
        <v>230</v>
      </c>
      <c r="AE22" s="54">
        <v>0.01</v>
      </c>
      <c r="AF22" s="54">
        <v>0.45</v>
      </c>
      <c r="AG22" s="54">
        <v>0</v>
      </c>
      <c r="AH22" s="54">
        <v>0.2</v>
      </c>
      <c r="AI22" s="54">
        <v>0.08</v>
      </c>
      <c r="AJ22" s="54">
        <v>6</v>
      </c>
      <c r="AK22" s="54">
        <v>0.43</v>
      </c>
      <c r="AL22" s="54">
        <v>1.8</v>
      </c>
      <c r="AM22" s="54">
        <v>1.7</v>
      </c>
      <c r="AN22" s="54">
        <v>358</v>
      </c>
      <c r="AO22" s="54">
        <v>352</v>
      </c>
      <c r="AP22" s="54">
        <v>38</v>
      </c>
      <c r="AQ22" s="54">
        <v>0.62</v>
      </c>
      <c r="AR22" s="54">
        <v>0.19</v>
      </c>
      <c r="AS22" s="55">
        <v>5.52</v>
      </c>
      <c r="AT22" s="54">
        <v>15.004</v>
      </c>
      <c r="AU22" s="54">
        <v>2.2759999999999998</v>
      </c>
      <c r="AV22" s="54">
        <v>0.78200000000000003</v>
      </c>
      <c r="AW22" s="54">
        <v>2.6309999999999998</v>
      </c>
      <c r="AX22" s="54">
        <v>6.5419999999999998</v>
      </c>
      <c r="AY22" s="54">
        <v>2.7730000000000001</v>
      </c>
      <c r="AZ22" s="54">
        <v>0</v>
      </c>
      <c r="BA22" s="54">
        <v>0</v>
      </c>
      <c r="BB22" s="54">
        <v>7.8220000000000001</v>
      </c>
      <c r="BC22" s="54">
        <v>0.498</v>
      </c>
      <c r="BD22" s="54">
        <v>0.71099999999999997</v>
      </c>
      <c r="BE22" s="54">
        <v>6.6130000000000004</v>
      </c>
      <c r="BF22" s="54">
        <v>0</v>
      </c>
      <c r="BG22" s="54">
        <v>0</v>
      </c>
      <c r="BH22" s="54">
        <v>0.85299999999999998</v>
      </c>
      <c r="BI22" s="54">
        <v>0.498</v>
      </c>
      <c r="BJ22" s="54">
        <v>0.35599999999999998</v>
      </c>
      <c r="BK22" s="54">
        <v>0</v>
      </c>
      <c r="BL22" s="54">
        <v>0</v>
      </c>
      <c r="BM22" s="54">
        <v>0</v>
      </c>
      <c r="BN22" s="54">
        <v>0</v>
      </c>
      <c r="BO22" s="56">
        <v>442</v>
      </c>
      <c r="BP22" s="56">
        <v>1168</v>
      </c>
      <c r="BQ22" s="56">
        <v>1594</v>
      </c>
      <c r="BR22" s="56">
        <v>2845</v>
      </c>
      <c r="BS22" s="56">
        <v>2439</v>
      </c>
      <c r="BT22" s="56">
        <v>782</v>
      </c>
      <c r="BU22" s="56">
        <v>167</v>
      </c>
      <c r="BV22" s="56">
        <v>1633</v>
      </c>
      <c r="BW22" s="56">
        <v>1797</v>
      </c>
      <c r="BX22" s="56">
        <v>1983</v>
      </c>
      <c r="BY22" s="56">
        <v>955</v>
      </c>
      <c r="BZ22" s="56">
        <v>885</v>
      </c>
      <c r="CA22" s="56">
        <v>916</v>
      </c>
      <c r="CB22" s="56">
        <v>2052</v>
      </c>
      <c r="CC22" s="56">
        <v>7020</v>
      </c>
      <c r="CD22" s="56">
        <v>579</v>
      </c>
      <c r="CE22" s="56">
        <v>3393</v>
      </c>
      <c r="CF22" s="56">
        <v>1780</v>
      </c>
      <c r="CG22" s="54">
        <v>0</v>
      </c>
      <c r="CH22" s="54">
        <v>0</v>
      </c>
      <c r="CI22" s="54">
        <v>0</v>
      </c>
      <c r="CJ22" s="54">
        <v>0</v>
      </c>
      <c r="CK22" s="54">
        <v>0</v>
      </c>
      <c r="CL22" s="54">
        <v>0.8</v>
      </c>
    </row>
    <row r="23" spans="1:90" x14ac:dyDescent="0.35">
      <c r="B23" s="9" t="s">
        <v>275</v>
      </c>
      <c r="C23" s="57">
        <v>328</v>
      </c>
      <c r="D23" s="57">
        <v>1366</v>
      </c>
      <c r="E23" s="57">
        <v>30.7</v>
      </c>
      <c r="F23" s="57">
        <v>30.7</v>
      </c>
      <c r="G23" s="57">
        <v>0</v>
      </c>
      <c r="H23" s="57">
        <v>22.8</v>
      </c>
      <c r="I23" s="57">
        <v>22.8</v>
      </c>
      <c r="J23" s="57">
        <v>0</v>
      </c>
      <c r="K23" s="57">
        <v>90</v>
      </c>
      <c r="L23" s="58">
        <v>0.05</v>
      </c>
      <c r="M23" s="57">
        <v>0</v>
      </c>
      <c r="N23" s="58">
        <v>0.05</v>
      </c>
      <c r="O23" s="57">
        <v>0</v>
      </c>
      <c r="P23" s="57">
        <v>0</v>
      </c>
      <c r="Q23" s="57">
        <v>40</v>
      </c>
      <c r="R23" s="57">
        <v>0.4</v>
      </c>
      <c r="S23" s="57">
        <v>770</v>
      </c>
      <c r="T23" s="57">
        <v>897</v>
      </c>
      <c r="U23" s="57">
        <v>97</v>
      </c>
      <c r="V23" s="57">
        <v>530</v>
      </c>
      <c r="W23" s="57">
        <v>2.2000000000000002</v>
      </c>
      <c r="X23" s="57">
        <v>39</v>
      </c>
      <c r="Y23" s="57">
        <v>0.05</v>
      </c>
      <c r="Z23" s="57">
        <v>4</v>
      </c>
      <c r="AA23" s="57">
        <v>1570</v>
      </c>
      <c r="AB23" s="57">
        <v>5</v>
      </c>
      <c r="AC23" s="58">
        <v>5.0000000000000001E-3</v>
      </c>
      <c r="AD23" s="57">
        <v>230</v>
      </c>
      <c r="AE23" s="57">
        <v>0.03</v>
      </c>
      <c r="AF23" s="57">
        <v>0.35</v>
      </c>
      <c r="AG23" s="58">
        <v>0.5</v>
      </c>
      <c r="AH23" s="57">
        <v>7.0000000000000007E-2</v>
      </c>
      <c r="AI23" s="57">
        <v>0.09</v>
      </c>
      <c r="AJ23" s="57">
        <v>40</v>
      </c>
      <c r="AK23" s="57">
        <v>0.38</v>
      </c>
      <c r="AL23" s="57">
        <v>1.8</v>
      </c>
      <c r="AM23" s="57">
        <v>2.1</v>
      </c>
      <c r="AN23" s="57">
        <v>200</v>
      </c>
      <c r="AO23" s="57">
        <v>175</v>
      </c>
      <c r="AP23" s="57">
        <v>150</v>
      </c>
      <c r="AQ23" s="57">
        <v>0.48</v>
      </c>
      <c r="AR23" s="57">
        <v>0.19</v>
      </c>
      <c r="AS23" s="59">
        <v>5.52</v>
      </c>
      <c r="AT23" s="57">
        <v>13.363</v>
      </c>
      <c r="AU23" s="57">
        <v>2.0270000000000001</v>
      </c>
      <c r="AV23" s="57">
        <v>0.69699999999999995</v>
      </c>
      <c r="AW23" s="57">
        <v>2.343</v>
      </c>
      <c r="AX23" s="57">
        <v>5.827</v>
      </c>
      <c r="AY23" s="57">
        <v>2.4700000000000002</v>
      </c>
      <c r="AZ23" s="57">
        <v>0</v>
      </c>
      <c r="BA23" s="57">
        <v>0</v>
      </c>
      <c r="BB23" s="57">
        <v>6.9669999999999996</v>
      </c>
      <c r="BC23" s="57">
        <v>0.443</v>
      </c>
      <c r="BD23" s="57">
        <v>0.63300000000000001</v>
      </c>
      <c r="BE23" s="57">
        <v>5.89</v>
      </c>
      <c r="BF23" s="57">
        <v>0</v>
      </c>
      <c r="BG23" s="57">
        <v>0</v>
      </c>
      <c r="BH23" s="57">
        <v>0.76</v>
      </c>
      <c r="BI23" s="57">
        <v>0.443</v>
      </c>
      <c r="BJ23" s="57">
        <v>0.317</v>
      </c>
      <c r="BK23" s="57">
        <v>0</v>
      </c>
      <c r="BL23" s="57">
        <v>0</v>
      </c>
      <c r="BM23" s="57">
        <v>0</v>
      </c>
      <c r="BN23" s="57">
        <v>0</v>
      </c>
      <c r="BO23" s="60">
        <v>367</v>
      </c>
      <c r="BP23" s="60">
        <v>964</v>
      </c>
      <c r="BQ23" s="60">
        <v>1552</v>
      </c>
      <c r="BR23" s="60">
        <v>2677</v>
      </c>
      <c r="BS23" s="60">
        <v>2363</v>
      </c>
      <c r="BT23" s="60">
        <v>901</v>
      </c>
      <c r="BU23" s="60">
        <v>149</v>
      </c>
      <c r="BV23" s="60">
        <v>1522</v>
      </c>
      <c r="BW23" s="60">
        <v>1599</v>
      </c>
      <c r="BX23" s="60">
        <v>1967</v>
      </c>
      <c r="BY23" s="60">
        <v>960</v>
      </c>
      <c r="BZ23" s="60">
        <v>791</v>
      </c>
      <c r="CA23" s="60">
        <v>909</v>
      </c>
      <c r="CB23" s="60">
        <v>1977</v>
      </c>
      <c r="CC23" s="60">
        <v>6826</v>
      </c>
      <c r="CD23" s="60">
        <v>542</v>
      </c>
      <c r="CE23" s="60">
        <v>2890</v>
      </c>
      <c r="CF23" s="60">
        <v>1512</v>
      </c>
      <c r="CG23" s="57">
        <v>0</v>
      </c>
      <c r="CH23" s="57">
        <v>0</v>
      </c>
      <c r="CI23" s="57">
        <v>0</v>
      </c>
      <c r="CJ23" s="57">
        <v>0</v>
      </c>
      <c r="CK23" s="57">
        <v>0</v>
      </c>
      <c r="CL23" s="58">
        <v>0.05</v>
      </c>
    </row>
    <row r="24" spans="1:90" x14ac:dyDescent="0.35">
      <c r="B24" s="9" t="s">
        <v>323</v>
      </c>
      <c r="C24" s="54">
        <v>319</v>
      </c>
      <c r="D24" s="54">
        <v>1323</v>
      </c>
      <c r="E24" s="54">
        <v>19.3</v>
      </c>
      <c r="F24" s="54">
        <v>19.3</v>
      </c>
      <c r="G24" s="54">
        <v>0</v>
      </c>
      <c r="H24" s="54">
        <v>26.9</v>
      </c>
      <c r="I24" s="54">
        <v>26.9</v>
      </c>
      <c r="J24" s="54">
        <v>0</v>
      </c>
      <c r="K24" s="54">
        <v>100</v>
      </c>
      <c r="L24" s="51">
        <v>0.05</v>
      </c>
      <c r="M24" s="54">
        <v>0</v>
      </c>
      <c r="N24" s="51">
        <v>0.05</v>
      </c>
      <c r="O24" s="54">
        <v>0</v>
      </c>
      <c r="P24" s="54">
        <v>0</v>
      </c>
      <c r="Q24" s="54">
        <v>48.6</v>
      </c>
      <c r="R24" s="54">
        <v>0.8</v>
      </c>
      <c r="S24" s="54">
        <v>540</v>
      </c>
      <c r="T24" s="54">
        <v>700</v>
      </c>
      <c r="U24" s="54">
        <v>100</v>
      </c>
      <c r="V24" s="54">
        <v>390</v>
      </c>
      <c r="W24" s="54">
        <v>2.2000000000000002</v>
      </c>
      <c r="X24" s="54">
        <v>27</v>
      </c>
      <c r="Y24" s="51">
        <v>5.0000000000000001E-3</v>
      </c>
      <c r="Z24" s="54">
        <v>14.5</v>
      </c>
      <c r="AA24" s="54">
        <v>1060</v>
      </c>
      <c r="AB24" s="61">
        <v>10.4</v>
      </c>
      <c r="AC24" s="51">
        <v>5.0000000000000001E-3</v>
      </c>
      <c r="AD24" s="62">
        <v>230</v>
      </c>
      <c r="AE24" s="54">
        <v>0.04</v>
      </c>
      <c r="AF24" s="54">
        <v>0.43</v>
      </c>
      <c r="AG24" s="51">
        <v>0.5</v>
      </c>
      <c r="AH24" s="54">
        <v>0.4</v>
      </c>
      <c r="AI24" s="54">
        <v>0.15</v>
      </c>
      <c r="AJ24" s="54">
        <v>58</v>
      </c>
      <c r="AK24" s="54">
        <v>0.35</v>
      </c>
      <c r="AL24" s="54">
        <v>5.6</v>
      </c>
      <c r="AM24" s="54">
        <v>1.2</v>
      </c>
      <c r="AN24" s="54">
        <v>320</v>
      </c>
      <c r="AO24" s="54">
        <v>285</v>
      </c>
      <c r="AP24" s="54">
        <v>210</v>
      </c>
      <c r="AQ24" s="54">
        <v>0.84</v>
      </c>
      <c r="AR24" s="54">
        <v>0.2</v>
      </c>
      <c r="AS24" s="55">
        <v>2.2999999999999998</v>
      </c>
      <c r="AT24" s="54">
        <v>16.919</v>
      </c>
      <c r="AU24" s="54">
        <v>1.8049999999999999</v>
      </c>
      <c r="AV24" s="54">
        <v>0.49</v>
      </c>
      <c r="AW24" s="54">
        <v>2.9790000000000001</v>
      </c>
      <c r="AX24" s="54">
        <v>8.0139999999999993</v>
      </c>
      <c r="AY24" s="54">
        <v>2.7989999999999999</v>
      </c>
      <c r="AZ24" s="62">
        <v>0</v>
      </c>
      <c r="BA24" s="62">
        <v>0</v>
      </c>
      <c r="BB24" s="54">
        <v>7.7869999999999999</v>
      </c>
      <c r="BC24" s="63">
        <v>0.43</v>
      </c>
      <c r="BD24" s="54">
        <v>0.97899999999999998</v>
      </c>
      <c r="BE24" s="54">
        <v>6.3780000000000001</v>
      </c>
      <c r="BF24" s="54">
        <v>0</v>
      </c>
      <c r="BG24" s="54">
        <v>0</v>
      </c>
      <c r="BH24" s="54">
        <v>0.80300000000000005</v>
      </c>
      <c r="BI24" s="54">
        <v>0.499</v>
      </c>
      <c r="BJ24" s="54">
        <v>0.30399999999999999</v>
      </c>
      <c r="BK24" s="54">
        <v>0</v>
      </c>
      <c r="BL24" s="54">
        <v>0</v>
      </c>
      <c r="BM24" s="54">
        <v>0</v>
      </c>
      <c r="BN24" s="54">
        <v>0</v>
      </c>
      <c r="BO24" s="56">
        <v>299</v>
      </c>
      <c r="BP24" s="56">
        <v>697</v>
      </c>
      <c r="BQ24" s="56">
        <v>942</v>
      </c>
      <c r="BR24" s="56">
        <v>1790</v>
      </c>
      <c r="BS24" s="56">
        <v>1718</v>
      </c>
      <c r="BT24" s="56">
        <v>549</v>
      </c>
      <c r="BU24" s="56">
        <v>106</v>
      </c>
      <c r="BV24" s="56">
        <v>1074</v>
      </c>
      <c r="BW24" s="56">
        <v>1113</v>
      </c>
      <c r="BX24" s="56">
        <v>1243</v>
      </c>
      <c r="BY24" s="56">
        <v>682</v>
      </c>
      <c r="BZ24" s="56">
        <v>664</v>
      </c>
      <c r="CA24" s="56">
        <v>797</v>
      </c>
      <c r="CB24" s="56">
        <v>1253</v>
      </c>
      <c r="CC24" s="56">
        <v>4071</v>
      </c>
      <c r="CD24" s="56">
        <v>368</v>
      </c>
      <c r="CE24" s="56">
        <v>2282</v>
      </c>
      <c r="CF24" s="56">
        <v>1084</v>
      </c>
      <c r="CG24" s="54">
        <v>0</v>
      </c>
      <c r="CH24" s="54">
        <v>0</v>
      </c>
      <c r="CI24" s="54">
        <v>0</v>
      </c>
      <c r="CJ24" s="54">
        <v>0</v>
      </c>
      <c r="CK24" s="54">
        <v>0</v>
      </c>
      <c r="CL24" s="51">
        <v>0.05</v>
      </c>
    </row>
    <row r="25" spans="1:90" x14ac:dyDescent="0.35">
      <c r="B25" s="9" t="s">
        <v>335</v>
      </c>
      <c r="C25" s="54">
        <v>287</v>
      </c>
      <c r="D25" s="54">
        <v>1186</v>
      </c>
      <c r="E25" s="54">
        <v>12.14</v>
      </c>
      <c r="F25" s="54">
        <v>12.14</v>
      </c>
      <c r="G25" s="54">
        <v>0</v>
      </c>
      <c r="H25" s="54">
        <v>25.7</v>
      </c>
      <c r="I25" s="54">
        <v>25.7</v>
      </c>
      <c r="J25" s="54">
        <v>0</v>
      </c>
      <c r="K25" s="54">
        <v>69.599999999999994</v>
      </c>
      <c r="L25" s="54">
        <v>1.78</v>
      </c>
      <c r="M25" s="54">
        <v>0</v>
      </c>
      <c r="N25" s="54">
        <v>1.78</v>
      </c>
      <c r="O25" s="54">
        <v>0</v>
      </c>
      <c r="P25" s="54">
        <v>0</v>
      </c>
      <c r="Q25" s="54">
        <v>58.68</v>
      </c>
      <c r="R25" s="54">
        <v>0.24</v>
      </c>
      <c r="S25" s="54">
        <v>127.2</v>
      </c>
      <c r="T25" s="54">
        <v>133.6</v>
      </c>
      <c r="U25" s="54">
        <v>127</v>
      </c>
      <c r="V25" s="54">
        <v>234.4</v>
      </c>
      <c r="W25" s="54">
        <v>1.68</v>
      </c>
      <c r="X25" s="54">
        <v>8.8000000000000007</v>
      </c>
      <c r="Y25" s="54">
        <v>0</v>
      </c>
      <c r="Z25" s="54">
        <v>1.8</v>
      </c>
      <c r="AA25" s="54">
        <v>510.2</v>
      </c>
      <c r="AB25" s="54">
        <v>3.2</v>
      </c>
      <c r="AC25" s="54">
        <v>0</v>
      </c>
      <c r="AD25" s="54">
        <v>74.8</v>
      </c>
      <c r="AE25" s="54">
        <v>2.5999999999999999E-2</v>
      </c>
      <c r="AF25" s="54">
        <v>0.20599999999999999</v>
      </c>
      <c r="AG25" s="54">
        <v>0.4</v>
      </c>
      <c r="AH25" s="54">
        <v>0.25600000000000001</v>
      </c>
      <c r="AI25" s="54">
        <v>5.8000000000000003E-2</v>
      </c>
      <c r="AJ25" s="54">
        <v>12.4</v>
      </c>
      <c r="AK25" s="54">
        <v>0.214</v>
      </c>
      <c r="AL25" s="54">
        <v>1.64</v>
      </c>
      <c r="AM25" s="54">
        <v>1.1000000000000001</v>
      </c>
      <c r="AN25" s="54">
        <v>230.2</v>
      </c>
      <c r="AO25" s="54">
        <v>203.4</v>
      </c>
      <c r="AP25" s="54">
        <v>158.80000000000001</v>
      </c>
      <c r="AQ25" s="54">
        <v>0.57799999999999996</v>
      </c>
      <c r="AR25" s="54">
        <v>0.16</v>
      </c>
      <c r="AS25" s="64">
        <v>2.7</v>
      </c>
      <c r="AT25" s="54">
        <v>15.0054</v>
      </c>
      <c r="AU25" s="54">
        <v>2.2229999999999999</v>
      </c>
      <c r="AV25" s="54">
        <v>0.80879999999999996</v>
      </c>
      <c r="AW25" s="54">
        <v>2.6492</v>
      </c>
      <c r="AX25" s="54">
        <v>6.3406000000000002</v>
      </c>
      <c r="AY25" s="54">
        <v>2.7145999999999999</v>
      </c>
      <c r="AZ25" s="54">
        <v>0</v>
      </c>
      <c r="BA25" s="54">
        <v>0</v>
      </c>
      <c r="BB25" s="54">
        <v>7.9151999999999996</v>
      </c>
      <c r="BC25" s="54">
        <v>0.40899999999999997</v>
      </c>
      <c r="BD25" s="54">
        <v>0.67079999999999995</v>
      </c>
      <c r="BE25" s="54">
        <v>6.6075999999999997</v>
      </c>
      <c r="BF25" s="54">
        <v>0</v>
      </c>
      <c r="BG25" s="54">
        <v>0</v>
      </c>
      <c r="BH25" s="54">
        <v>0.76480000000000004</v>
      </c>
      <c r="BI25" s="54">
        <v>0.40899999999999997</v>
      </c>
      <c r="BJ25" s="54">
        <v>0.35580000000000001</v>
      </c>
      <c r="BK25" s="54">
        <v>0</v>
      </c>
      <c r="BL25" s="54">
        <v>0</v>
      </c>
      <c r="BM25" s="54">
        <v>0</v>
      </c>
      <c r="BN25" s="54">
        <v>0</v>
      </c>
      <c r="BO25" s="56">
        <v>122</v>
      </c>
      <c r="BP25" s="56">
        <v>370</v>
      </c>
      <c r="BQ25" s="56">
        <v>342</v>
      </c>
      <c r="BR25" s="56">
        <v>939</v>
      </c>
      <c r="BS25" s="56">
        <v>796</v>
      </c>
      <c r="BT25" s="56">
        <v>364</v>
      </c>
      <c r="BU25" s="56">
        <v>94</v>
      </c>
      <c r="BV25" s="56">
        <v>541</v>
      </c>
      <c r="BW25" s="56">
        <v>568</v>
      </c>
      <c r="BX25" s="56">
        <v>443</v>
      </c>
      <c r="BY25" s="56">
        <v>359</v>
      </c>
      <c r="BZ25" s="56">
        <v>302</v>
      </c>
      <c r="CA25" s="56">
        <v>351</v>
      </c>
      <c r="CB25" s="56">
        <v>765</v>
      </c>
      <c r="CC25" s="56">
        <v>2015</v>
      </c>
      <c r="CD25" s="56">
        <v>218</v>
      </c>
      <c r="CE25" s="56">
        <v>1094</v>
      </c>
      <c r="CF25" s="56">
        <v>596</v>
      </c>
      <c r="CG25" s="54">
        <v>0</v>
      </c>
      <c r="CH25" s="54">
        <v>0</v>
      </c>
      <c r="CI25" s="54">
        <v>0</v>
      </c>
      <c r="CJ25" s="54">
        <v>0</v>
      </c>
      <c r="CK25" s="54">
        <v>0</v>
      </c>
      <c r="CL25" s="54">
        <v>1.78</v>
      </c>
    </row>
    <row r="26" spans="1:90" x14ac:dyDescent="0.35">
      <c r="B26" s="9" t="s">
        <v>292</v>
      </c>
      <c r="C26" s="54">
        <v>527</v>
      </c>
      <c r="D26" s="54">
        <v>2180</v>
      </c>
      <c r="E26" s="54">
        <v>22.1</v>
      </c>
      <c r="F26" s="54">
        <v>22.1</v>
      </c>
      <c r="G26" s="54">
        <v>0</v>
      </c>
      <c r="H26" s="54">
        <v>47</v>
      </c>
      <c r="I26" s="54">
        <v>47</v>
      </c>
      <c r="J26" s="54">
        <v>0</v>
      </c>
      <c r="K26" s="54">
        <v>157</v>
      </c>
      <c r="L26" s="54">
        <v>4.0999999999999996</v>
      </c>
      <c r="M26" s="54">
        <v>0</v>
      </c>
      <c r="N26" s="54">
        <v>4.0999999999999996</v>
      </c>
      <c r="O26" s="54">
        <v>0</v>
      </c>
      <c r="P26" s="54">
        <v>0</v>
      </c>
      <c r="Q26" s="54">
        <v>26.5</v>
      </c>
      <c r="R26" s="54">
        <v>0.6</v>
      </c>
      <c r="S26" s="54">
        <v>603</v>
      </c>
      <c r="T26" s="54">
        <v>491</v>
      </c>
      <c r="U26" s="54">
        <v>80</v>
      </c>
      <c r="V26" s="54">
        <v>370</v>
      </c>
      <c r="W26" s="54">
        <v>2.6</v>
      </c>
      <c r="X26" s="54">
        <v>29</v>
      </c>
      <c r="Y26" s="54">
        <v>0.18</v>
      </c>
      <c r="Z26" s="54">
        <v>9</v>
      </c>
      <c r="AA26" s="54">
        <v>698</v>
      </c>
      <c r="AB26" s="54">
        <v>14.2</v>
      </c>
      <c r="AC26" s="54">
        <v>0.01</v>
      </c>
      <c r="AD26" s="54">
        <v>79.400000000000006</v>
      </c>
      <c r="AE26" s="54">
        <v>0.01</v>
      </c>
      <c r="AF26" s="54">
        <v>0.23</v>
      </c>
      <c r="AG26" s="54">
        <v>0</v>
      </c>
      <c r="AH26" s="54">
        <v>0.42</v>
      </c>
      <c r="AI26" s="54">
        <v>0.05</v>
      </c>
      <c r="AJ26" s="54">
        <v>7</v>
      </c>
      <c r="AK26" s="54">
        <v>0.35</v>
      </c>
      <c r="AL26" s="54">
        <v>1.54</v>
      </c>
      <c r="AM26" s="54">
        <v>1.05</v>
      </c>
      <c r="AN26" s="54">
        <v>533</v>
      </c>
      <c r="AO26" s="54">
        <v>506</v>
      </c>
      <c r="AP26" s="54">
        <v>161</v>
      </c>
      <c r="AQ26" s="54">
        <v>1.08</v>
      </c>
      <c r="AR26" s="54">
        <v>0.35</v>
      </c>
      <c r="AS26" s="64">
        <v>3.76</v>
      </c>
      <c r="AT26" s="54">
        <v>27.63</v>
      </c>
      <c r="AU26" s="54">
        <v>4.08</v>
      </c>
      <c r="AV26" s="54">
        <v>1.1200000000000001</v>
      </c>
      <c r="AW26" s="54">
        <v>4.7</v>
      </c>
      <c r="AX26" s="54">
        <v>12.59</v>
      </c>
      <c r="AY26" s="54">
        <v>5.14</v>
      </c>
      <c r="AZ26" s="54">
        <v>0</v>
      </c>
      <c r="BA26" s="54">
        <v>0</v>
      </c>
      <c r="BB26" s="54">
        <v>12.78</v>
      </c>
      <c r="BC26" s="54">
        <v>0.37</v>
      </c>
      <c r="BD26" s="54">
        <v>1.18</v>
      </c>
      <c r="BE26" s="54">
        <v>11.23</v>
      </c>
      <c r="BF26" s="54">
        <v>0</v>
      </c>
      <c r="BG26" s="54">
        <v>0</v>
      </c>
      <c r="BH26" s="54">
        <v>1.46</v>
      </c>
      <c r="BI26" s="54">
        <v>0.88</v>
      </c>
      <c r="BJ26" s="54">
        <v>0.57999999999999996</v>
      </c>
      <c r="BK26" s="54">
        <v>0</v>
      </c>
      <c r="BL26" s="54">
        <v>0</v>
      </c>
      <c r="BM26" s="54">
        <v>0</v>
      </c>
      <c r="BN26" s="54">
        <v>0</v>
      </c>
      <c r="BO26" s="56">
        <v>265</v>
      </c>
      <c r="BP26" s="56">
        <v>700</v>
      </c>
      <c r="BQ26" s="56">
        <v>1120</v>
      </c>
      <c r="BR26" s="56">
        <v>1933</v>
      </c>
      <c r="BS26" s="56">
        <v>1702</v>
      </c>
      <c r="BT26" s="56">
        <v>648</v>
      </c>
      <c r="BU26" s="56">
        <v>109</v>
      </c>
      <c r="BV26" s="56">
        <v>1097</v>
      </c>
      <c r="BW26" s="56">
        <v>1148</v>
      </c>
      <c r="BX26" s="56">
        <v>1417</v>
      </c>
      <c r="BY26" s="56">
        <v>691</v>
      </c>
      <c r="BZ26" s="56">
        <v>570</v>
      </c>
      <c r="CA26" s="56">
        <v>656</v>
      </c>
      <c r="CB26" s="56">
        <v>1428</v>
      </c>
      <c r="CC26" s="56">
        <v>4918</v>
      </c>
      <c r="CD26" s="56">
        <v>391</v>
      </c>
      <c r="CE26" s="56">
        <v>2086</v>
      </c>
      <c r="CF26" s="56">
        <v>1092</v>
      </c>
      <c r="CG26" s="54">
        <v>0</v>
      </c>
      <c r="CH26" s="54">
        <v>0</v>
      </c>
      <c r="CI26" s="54">
        <v>0</v>
      </c>
      <c r="CJ26" s="54">
        <v>0</v>
      </c>
      <c r="CK26" s="54">
        <v>0</v>
      </c>
      <c r="CL26" s="54">
        <v>4.0999999999999996</v>
      </c>
    </row>
    <row r="27" spans="1:90" x14ac:dyDescent="0.35">
      <c r="B27" s="9" t="s">
        <v>325</v>
      </c>
      <c r="C27" s="54">
        <v>440</v>
      </c>
      <c r="D27" s="54">
        <v>1823</v>
      </c>
      <c r="E27" s="54">
        <v>24.7</v>
      </c>
      <c r="F27" s="54">
        <v>24.7</v>
      </c>
      <c r="G27" s="54">
        <v>0</v>
      </c>
      <c r="H27" s="54">
        <v>37.799999999999997</v>
      </c>
      <c r="I27" s="54">
        <v>37.799999999999997</v>
      </c>
      <c r="J27" s="54">
        <v>0</v>
      </c>
      <c r="K27" s="54">
        <v>111</v>
      </c>
      <c r="L27" s="54">
        <v>0.3</v>
      </c>
      <c r="M27" s="54">
        <v>0</v>
      </c>
      <c r="N27" s="54">
        <v>0.3</v>
      </c>
      <c r="O27" s="54">
        <v>0</v>
      </c>
      <c r="P27" s="54">
        <v>0</v>
      </c>
      <c r="Q27" s="54">
        <v>32.700000000000003</v>
      </c>
      <c r="R27" s="54">
        <v>0.21</v>
      </c>
      <c r="S27" s="54">
        <v>135</v>
      </c>
      <c r="T27" s="54">
        <v>202</v>
      </c>
      <c r="U27" s="54">
        <v>102</v>
      </c>
      <c r="V27" s="54">
        <v>418</v>
      </c>
      <c r="W27" s="54">
        <v>3.12</v>
      </c>
      <c r="X27" s="54">
        <v>28.6</v>
      </c>
      <c r="Y27" s="54">
        <v>0.03</v>
      </c>
      <c r="Z27" s="54">
        <v>9</v>
      </c>
      <c r="AA27" s="54">
        <v>698</v>
      </c>
      <c r="AB27" s="54">
        <v>14.2</v>
      </c>
      <c r="AC27" s="54">
        <v>0.01</v>
      </c>
      <c r="AD27" s="54">
        <v>79.400000000000006</v>
      </c>
      <c r="AE27" s="54">
        <v>0.01</v>
      </c>
      <c r="AF27" s="54">
        <v>0.32</v>
      </c>
      <c r="AG27" s="51">
        <v>0.5</v>
      </c>
      <c r="AH27" s="54">
        <v>0.42</v>
      </c>
      <c r="AI27" s="54">
        <v>0.05</v>
      </c>
      <c r="AJ27" s="54">
        <v>7</v>
      </c>
      <c r="AK27" s="54">
        <v>0.35</v>
      </c>
      <c r="AL27" s="54">
        <v>1.54</v>
      </c>
      <c r="AM27" s="54">
        <v>1.05</v>
      </c>
      <c r="AN27" s="54">
        <v>514</v>
      </c>
      <c r="AO27" s="54">
        <v>478</v>
      </c>
      <c r="AP27" s="54">
        <v>220</v>
      </c>
      <c r="AQ27" s="54">
        <v>1.02</v>
      </c>
      <c r="AR27" s="54">
        <v>0.35</v>
      </c>
      <c r="AS27" s="64">
        <v>3.76</v>
      </c>
      <c r="AT27" s="54">
        <v>22.23</v>
      </c>
      <c r="AU27" s="54">
        <v>3.26</v>
      </c>
      <c r="AV27" s="54">
        <v>0.88</v>
      </c>
      <c r="AW27" s="54">
        <v>3.79</v>
      </c>
      <c r="AX27" s="54">
        <v>10.18</v>
      </c>
      <c r="AY27" s="54">
        <v>4.12</v>
      </c>
      <c r="AZ27" s="65">
        <v>0</v>
      </c>
      <c r="BA27" s="65">
        <v>0</v>
      </c>
      <c r="BB27" s="54">
        <v>10.24</v>
      </c>
      <c r="BC27" s="54">
        <v>0.28000000000000003</v>
      </c>
      <c r="BD27" s="54">
        <v>0.96</v>
      </c>
      <c r="BE27" s="54">
        <v>9</v>
      </c>
      <c r="BF27" s="54">
        <v>0</v>
      </c>
      <c r="BG27" s="54">
        <v>0</v>
      </c>
      <c r="BH27" s="54">
        <v>1.17</v>
      </c>
      <c r="BI27" s="54">
        <v>0.7</v>
      </c>
      <c r="BJ27" s="54">
        <v>0.46</v>
      </c>
      <c r="BK27" s="54">
        <v>0</v>
      </c>
      <c r="BL27" s="54">
        <v>0</v>
      </c>
      <c r="BM27" s="54">
        <v>0</v>
      </c>
      <c r="BN27" s="54">
        <v>0.01</v>
      </c>
      <c r="BO27" s="56">
        <v>296</v>
      </c>
      <c r="BP27" s="56">
        <v>779</v>
      </c>
      <c r="BQ27" s="56">
        <v>1251</v>
      </c>
      <c r="BR27" s="56">
        <v>2158</v>
      </c>
      <c r="BS27" s="56">
        <v>1903</v>
      </c>
      <c r="BT27" s="56">
        <v>724</v>
      </c>
      <c r="BU27" s="56">
        <v>121</v>
      </c>
      <c r="BV27" s="56">
        <v>1225</v>
      </c>
      <c r="BW27" s="56">
        <v>1285</v>
      </c>
      <c r="BX27" s="56">
        <v>1584</v>
      </c>
      <c r="BY27" s="56">
        <v>772</v>
      </c>
      <c r="BZ27" s="56">
        <v>637</v>
      </c>
      <c r="CA27" s="56">
        <v>733</v>
      </c>
      <c r="CB27" s="56">
        <v>1595</v>
      </c>
      <c r="CC27" s="56">
        <v>5495</v>
      </c>
      <c r="CD27" s="56">
        <v>436</v>
      </c>
      <c r="CE27" s="56">
        <v>2329</v>
      </c>
      <c r="CF27" s="56">
        <v>1219</v>
      </c>
      <c r="CG27" s="54">
        <v>0</v>
      </c>
      <c r="CH27" s="54">
        <v>0</v>
      </c>
      <c r="CI27" s="54">
        <v>0</v>
      </c>
      <c r="CJ27" s="54">
        <v>0</v>
      </c>
      <c r="CK27" s="54">
        <v>0</v>
      </c>
      <c r="CL27" s="54">
        <v>0.3</v>
      </c>
    </row>
    <row r="28" spans="1:90" x14ac:dyDescent="0.35">
      <c r="B28" s="9" t="s">
        <v>293</v>
      </c>
      <c r="C28" s="54">
        <v>439</v>
      </c>
      <c r="D28" s="54">
        <v>1828</v>
      </c>
      <c r="E28" s="54">
        <v>37.700000000000003</v>
      </c>
      <c r="F28" s="54">
        <v>37.700000000000003</v>
      </c>
      <c r="G28" s="54">
        <v>0</v>
      </c>
      <c r="H28" s="54">
        <v>31.1</v>
      </c>
      <c r="I28" s="54">
        <v>31.1</v>
      </c>
      <c r="J28" s="54">
        <v>0</v>
      </c>
      <c r="K28" s="54">
        <v>90</v>
      </c>
      <c r="L28" s="54">
        <v>2.2999999999999998</v>
      </c>
      <c r="M28" s="54">
        <v>0</v>
      </c>
      <c r="N28" s="54">
        <v>2.2999999999999998</v>
      </c>
      <c r="O28" s="54">
        <v>0</v>
      </c>
      <c r="P28" s="54">
        <v>0</v>
      </c>
      <c r="Q28" s="54">
        <v>30</v>
      </c>
      <c r="R28" s="54">
        <v>0.3</v>
      </c>
      <c r="S28" s="54">
        <v>860</v>
      </c>
      <c r="T28" s="54">
        <v>1259</v>
      </c>
      <c r="U28" s="54">
        <v>139</v>
      </c>
      <c r="V28" s="54">
        <v>590</v>
      </c>
      <c r="W28" s="54">
        <v>4.2</v>
      </c>
      <c r="X28" s="54">
        <v>40</v>
      </c>
      <c r="Y28" s="54">
        <v>0.02</v>
      </c>
      <c r="Z28" s="54">
        <v>13.1</v>
      </c>
      <c r="AA28" s="54">
        <v>990</v>
      </c>
      <c r="AB28" s="54">
        <v>4</v>
      </c>
      <c r="AC28" s="54">
        <v>0.01</v>
      </c>
      <c r="AD28" s="54">
        <v>110</v>
      </c>
      <c r="AE28" s="54">
        <v>0.01</v>
      </c>
      <c r="AF28" s="54">
        <v>0.45</v>
      </c>
      <c r="AG28" s="51">
        <v>0.5</v>
      </c>
      <c r="AH28" s="54">
        <v>0.6</v>
      </c>
      <c r="AI28" s="54">
        <v>7.0000000000000007E-2</v>
      </c>
      <c r="AJ28" s="54">
        <v>10</v>
      </c>
      <c r="AK28" s="54">
        <v>0.48</v>
      </c>
      <c r="AL28" s="54">
        <v>2.2000000000000002</v>
      </c>
      <c r="AM28" s="54">
        <v>1.5</v>
      </c>
      <c r="AN28" s="54">
        <v>336</v>
      </c>
      <c r="AO28" s="54">
        <v>294</v>
      </c>
      <c r="AP28" s="54">
        <v>252</v>
      </c>
      <c r="AQ28" s="54">
        <v>0.43</v>
      </c>
      <c r="AR28" s="54">
        <v>0.16</v>
      </c>
      <c r="AS28" s="52">
        <v>2.2000000000000002</v>
      </c>
      <c r="AT28" s="54">
        <v>18.405999999999999</v>
      </c>
      <c r="AU28" s="54">
        <v>2.415</v>
      </c>
      <c r="AV28" s="54">
        <v>0.54</v>
      </c>
      <c r="AW28" s="54">
        <v>3.1320000000000001</v>
      </c>
      <c r="AX28" s="54">
        <v>9.0649999999999995</v>
      </c>
      <c r="AY28" s="54">
        <v>3.2530000000000001</v>
      </c>
      <c r="AZ28" s="54">
        <v>0</v>
      </c>
      <c r="BA28" s="54">
        <v>0</v>
      </c>
      <c r="BB28" s="54">
        <v>7.94</v>
      </c>
      <c r="BC28" s="54">
        <v>0</v>
      </c>
      <c r="BD28" s="54">
        <v>0.88200000000000001</v>
      </c>
      <c r="BE28" s="54">
        <v>7.0579999999999998</v>
      </c>
      <c r="BF28" s="54">
        <v>0</v>
      </c>
      <c r="BG28" s="54">
        <v>0</v>
      </c>
      <c r="BH28" s="54">
        <v>0.88200000000000001</v>
      </c>
      <c r="BI28" s="54">
        <v>0.57299999999999995</v>
      </c>
      <c r="BJ28" s="54">
        <v>0.309</v>
      </c>
      <c r="BK28" s="54">
        <v>0</v>
      </c>
      <c r="BL28" s="54">
        <v>0</v>
      </c>
      <c r="BM28" s="54">
        <v>0</v>
      </c>
      <c r="BN28" s="54">
        <v>0</v>
      </c>
      <c r="BO28" s="56">
        <v>451</v>
      </c>
      <c r="BP28" s="56">
        <v>1183</v>
      </c>
      <c r="BQ28" s="56">
        <v>1906</v>
      </c>
      <c r="BR28" s="56">
        <v>3287</v>
      </c>
      <c r="BS28" s="56">
        <v>2902</v>
      </c>
      <c r="BT28" s="56">
        <v>1107</v>
      </c>
      <c r="BU28" s="56">
        <v>182</v>
      </c>
      <c r="BV28" s="56">
        <v>1869</v>
      </c>
      <c r="BW28" s="56">
        <v>1964</v>
      </c>
      <c r="BX28" s="56">
        <v>2415</v>
      </c>
      <c r="BY28" s="56">
        <v>1179</v>
      </c>
      <c r="BZ28" s="56">
        <v>971</v>
      </c>
      <c r="CA28" s="56">
        <v>1116</v>
      </c>
      <c r="CB28" s="56">
        <v>2428</v>
      </c>
      <c r="CC28" s="56">
        <v>8383</v>
      </c>
      <c r="CD28" s="56">
        <v>665</v>
      </c>
      <c r="CE28" s="56">
        <v>3549</v>
      </c>
      <c r="CF28" s="56">
        <v>1857</v>
      </c>
      <c r="CG28" s="54">
        <v>0</v>
      </c>
      <c r="CH28" s="54">
        <v>0</v>
      </c>
      <c r="CI28" s="54">
        <v>0</v>
      </c>
      <c r="CJ28" s="54">
        <v>0</v>
      </c>
      <c r="CK28" s="54">
        <v>0</v>
      </c>
      <c r="CL28" s="54">
        <v>2.2999999999999998</v>
      </c>
    </row>
    <row r="29" spans="1:90" x14ac:dyDescent="0.35">
      <c r="B29" s="9" t="s">
        <v>319</v>
      </c>
      <c r="C29" s="54">
        <v>439</v>
      </c>
      <c r="D29" s="54">
        <v>1828</v>
      </c>
      <c r="E29" s="54">
        <v>37.700000000000003</v>
      </c>
      <c r="F29" s="54">
        <v>37.700000000000003</v>
      </c>
      <c r="G29" s="54">
        <v>0</v>
      </c>
      <c r="H29" s="54">
        <v>31.1</v>
      </c>
      <c r="I29" s="54">
        <v>31.1</v>
      </c>
      <c r="J29" s="54">
        <v>0</v>
      </c>
      <c r="K29" s="54">
        <v>90</v>
      </c>
      <c r="L29" s="54">
        <v>2.2999999999999998</v>
      </c>
      <c r="M29" s="54">
        <v>0</v>
      </c>
      <c r="N29" s="54">
        <v>2.2999999999999998</v>
      </c>
      <c r="O29" s="54">
        <v>0</v>
      </c>
      <c r="P29" s="54">
        <v>0</v>
      </c>
      <c r="Q29" s="54">
        <v>30</v>
      </c>
      <c r="R29" s="54">
        <v>0.3</v>
      </c>
      <c r="S29" s="54">
        <v>860</v>
      </c>
      <c r="T29" s="54">
        <v>1259</v>
      </c>
      <c r="U29" s="54">
        <v>139</v>
      </c>
      <c r="V29" s="54">
        <v>590</v>
      </c>
      <c r="W29" s="54">
        <v>4.2</v>
      </c>
      <c r="X29" s="54">
        <v>40</v>
      </c>
      <c r="Y29" s="54">
        <v>0.02</v>
      </c>
      <c r="Z29" s="54">
        <v>13.1</v>
      </c>
      <c r="AA29" s="54">
        <v>990</v>
      </c>
      <c r="AB29" s="54">
        <v>4</v>
      </c>
      <c r="AC29" s="54">
        <v>0.01</v>
      </c>
      <c r="AD29" s="54">
        <v>110</v>
      </c>
      <c r="AE29" s="54">
        <v>0.01</v>
      </c>
      <c r="AF29" s="54">
        <v>0.45</v>
      </c>
      <c r="AG29" s="54">
        <v>0</v>
      </c>
      <c r="AH29" s="54">
        <v>0.6</v>
      </c>
      <c r="AI29" s="54">
        <v>7.0000000000000007E-2</v>
      </c>
      <c r="AJ29" s="54">
        <v>10</v>
      </c>
      <c r="AK29" s="54">
        <v>0.48</v>
      </c>
      <c r="AL29" s="54">
        <v>2.2000000000000002</v>
      </c>
      <c r="AM29" s="54">
        <v>1.5</v>
      </c>
      <c r="AN29" s="54">
        <v>336</v>
      </c>
      <c r="AO29" s="54">
        <v>294</v>
      </c>
      <c r="AP29" s="54">
        <v>252</v>
      </c>
      <c r="AQ29" s="54">
        <v>0.43</v>
      </c>
      <c r="AR29" s="54">
        <v>0.16</v>
      </c>
      <c r="AS29" s="52">
        <v>2.2000000000000002</v>
      </c>
      <c r="AT29" s="54">
        <v>18.405999999999999</v>
      </c>
      <c r="AU29" s="54">
        <v>2.415</v>
      </c>
      <c r="AV29" s="54">
        <v>0.54</v>
      </c>
      <c r="AW29" s="54">
        <v>3.1320000000000001</v>
      </c>
      <c r="AX29" s="54">
        <v>9.0649999999999995</v>
      </c>
      <c r="AY29" s="54">
        <v>3.2530000000000001</v>
      </c>
      <c r="AZ29" s="65">
        <v>0</v>
      </c>
      <c r="BA29" s="65">
        <v>0</v>
      </c>
      <c r="BB29" s="54">
        <v>7.94</v>
      </c>
      <c r="BC29" s="54">
        <v>0</v>
      </c>
      <c r="BD29" s="54">
        <v>0.88200000000000001</v>
      </c>
      <c r="BE29" s="54">
        <v>7.0579999999999998</v>
      </c>
      <c r="BF29" s="54">
        <v>0</v>
      </c>
      <c r="BG29" s="54">
        <v>0</v>
      </c>
      <c r="BH29" s="54">
        <v>0.88200000000000001</v>
      </c>
      <c r="BI29" s="54">
        <v>0.57299999999999995</v>
      </c>
      <c r="BJ29" s="54">
        <v>0.309</v>
      </c>
      <c r="BK29" s="54">
        <v>0</v>
      </c>
      <c r="BL29" s="54">
        <v>0</v>
      </c>
      <c r="BM29" s="54">
        <v>0</v>
      </c>
      <c r="BN29" s="54">
        <v>0</v>
      </c>
      <c r="BO29" s="56">
        <v>451</v>
      </c>
      <c r="BP29" s="56">
        <v>1183</v>
      </c>
      <c r="BQ29" s="56">
        <v>1906</v>
      </c>
      <c r="BR29" s="56">
        <v>3287</v>
      </c>
      <c r="BS29" s="56">
        <v>2902</v>
      </c>
      <c r="BT29" s="56">
        <v>1107</v>
      </c>
      <c r="BU29" s="56">
        <v>182</v>
      </c>
      <c r="BV29" s="56">
        <v>1869</v>
      </c>
      <c r="BW29" s="56">
        <v>1964</v>
      </c>
      <c r="BX29" s="56">
        <v>2415</v>
      </c>
      <c r="BY29" s="56">
        <v>1179</v>
      </c>
      <c r="BZ29" s="56">
        <v>971</v>
      </c>
      <c r="CA29" s="56">
        <v>1116</v>
      </c>
      <c r="CB29" s="56">
        <v>2428</v>
      </c>
      <c r="CC29" s="56">
        <v>8383</v>
      </c>
      <c r="CD29" s="56">
        <v>665</v>
      </c>
      <c r="CE29" s="56">
        <v>3549</v>
      </c>
      <c r="CF29" s="56">
        <v>1857</v>
      </c>
      <c r="CG29" s="54">
        <v>0</v>
      </c>
      <c r="CH29" s="54">
        <v>0</v>
      </c>
      <c r="CI29" s="54">
        <v>0</v>
      </c>
      <c r="CJ29" s="54">
        <v>0</v>
      </c>
      <c r="CK29" s="54">
        <v>0</v>
      </c>
      <c r="CL29" s="54">
        <v>2.2999999999999998</v>
      </c>
    </row>
    <row r="30" spans="1:90" x14ac:dyDescent="0.35">
      <c r="B30" s="9" t="s">
        <v>326</v>
      </c>
      <c r="C30" s="54">
        <v>178</v>
      </c>
      <c r="D30" s="54">
        <v>739</v>
      </c>
      <c r="E30" s="54">
        <v>11.9</v>
      </c>
      <c r="F30" s="54">
        <v>11.9</v>
      </c>
      <c r="G30" s="54">
        <v>0</v>
      </c>
      <c r="H30" s="54">
        <v>14.3</v>
      </c>
      <c r="I30" s="54">
        <v>14.3</v>
      </c>
      <c r="J30" s="54">
        <v>0</v>
      </c>
      <c r="K30" s="54">
        <v>59</v>
      </c>
      <c r="L30" s="54">
        <v>0.5</v>
      </c>
      <c r="M30" s="54">
        <v>0</v>
      </c>
      <c r="N30" s="54">
        <v>0.5</v>
      </c>
      <c r="O30" s="54">
        <v>0</v>
      </c>
      <c r="P30" s="54">
        <v>0</v>
      </c>
      <c r="Q30" s="54">
        <v>68.400000000000006</v>
      </c>
      <c r="R30" s="54">
        <v>1.2</v>
      </c>
      <c r="S30" s="54">
        <v>396</v>
      </c>
      <c r="T30" s="54">
        <v>988</v>
      </c>
      <c r="U30" s="54">
        <v>96</v>
      </c>
      <c r="V30" s="54">
        <v>240</v>
      </c>
      <c r="W30" s="54">
        <v>3.12</v>
      </c>
      <c r="X30" s="54">
        <v>28.6</v>
      </c>
      <c r="Y30" s="54">
        <v>0.03</v>
      </c>
      <c r="Z30" s="54">
        <v>9.17</v>
      </c>
      <c r="AA30" s="54">
        <v>698</v>
      </c>
      <c r="AB30" s="54">
        <v>14.2</v>
      </c>
      <c r="AC30" s="54">
        <v>0.01</v>
      </c>
      <c r="AD30" s="54">
        <v>79.400000000000006</v>
      </c>
      <c r="AE30" s="54">
        <v>0.03</v>
      </c>
      <c r="AF30" s="54">
        <v>0.33</v>
      </c>
      <c r="AG30" s="51">
        <v>0.5</v>
      </c>
      <c r="AH30" s="54">
        <v>0.42</v>
      </c>
      <c r="AI30" s="54">
        <v>4.9000000000000002E-2</v>
      </c>
      <c r="AJ30" s="54">
        <v>7</v>
      </c>
      <c r="AK30" s="54">
        <v>0.34799999999999998</v>
      </c>
      <c r="AL30" s="54">
        <v>1.54</v>
      </c>
      <c r="AM30" s="54">
        <v>1.05</v>
      </c>
      <c r="AN30" s="54">
        <v>158</v>
      </c>
      <c r="AO30" s="54">
        <v>149</v>
      </c>
      <c r="AP30" s="54">
        <v>56</v>
      </c>
      <c r="AQ30" s="54">
        <v>0.47</v>
      </c>
      <c r="AR30" s="54">
        <v>0.35</v>
      </c>
      <c r="AS30" s="64">
        <v>1.65</v>
      </c>
      <c r="AT30" s="54">
        <v>9.1</v>
      </c>
      <c r="AU30" s="54">
        <v>1.51</v>
      </c>
      <c r="AV30" s="54">
        <v>0.57999999999999996</v>
      </c>
      <c r="AW30" s="54">
        <v>1.67</v>
      </c>
      <c r="AX30" s="54">
        <v>3.76</v>
      </c>
      <c r="AY30" s="54">
        <v>1.18</v>
      </c>
      <c r="AZ30" s="65">
        <v>0</v>
      </c>
      <c r="BA30" s="65">
        <v>0</v>
      </c>
      <c r="BB30" s="54">
        <v>3.85</v>
      </c>
      <c r="BC30" s="54">
        <v>0.01</v>
      </c>
      <c r="BD30" s="54">
        <v>0.21</v>
      </c>
      <c r="BE30" s="54">
        <v>3.4</v>
      </c>
      <c r="BF30" s="54">
        <v>0</v>
      </c>
      <c r="BG30" s="54">
        <v>0</v>
      </c>
      <c r="BH30" s="54">
        <v>0.47</v>
      </c>
      <c r="BI30" s="54">
        <v>0.22</v>
      </c>
      <c r="BJ30" s="54">
        <v>0.24</v>
      </c>
      <c r="BK30" s="54">
        <v>0</v>
      </c>
      <c r="BL30" s="54">
        <v>0</v>
      </c>
      <c r="BM30" s="54">
        <v>0</v>
      </c>
      <c r="BN30" s="54">
        <v>0.01</v>
      </c>
      <c r="BO30" s="56">
        <v>142</v>
      </c>
      <c r="BP30" s="56">
        <v>448</v>
      </c>
      <c r="BQ30" s="56">
        <v>623</v>
      </c>
      <c r="BR30" s="56">
        <v>1225</v>
      </c>
      <c r="BS30" s="56">
        <v>956</v>
      </c>
      <c r="BT30" s="56">
        <v>335</v>
      </c>
      <c r="BU30" s="56">
        <v>108</v>
      </c>
      <c r="BV30" s="56">
        <v>563</v>
      </c>
      <c r="BW30" s="56">
        <v>597</v>
      </c>
      <c r="BX30" s="56">
        <v>816</v>
      </c>
      <c r="BY30" s="56">
        <v>327</v>
      </c>
      <c r="BZ30" s="56">
        <v>281</v>
      </c>
      <c r="CA30" s="56">
        <v>424</v>
      </c>
      <c r="CB30" s="56">
        <v>889</v>
      </c>
      <c r="CC30" s="56">
        <v>2288</v>
      </c>
      <c r="CD30" s="56">
        <v>215</v>
      </c>
      <c r="CE30" s="56">
        <v>1225</v>
      </c>
      <c r="CF30" s="56">
        <v>571</v>
      </c>
      <c r="CG30" s="54">
        <v>0</v>
      </c>
      <c r="CH30" s="54">
        <v>0</v>
      </c>
      <c r="CI30" s="54">
        <v>0.1</v>
      </c>
      <c r="CJ30" s="54">
        <v>0</v>
      </c>
      <c r="CK30" s="54">
        <v>0</v>
      </c>
      <c r="CL30" s="54">
        <v>0.4</v>
      </c>
    </row>
    <row r="31" spans="1:90" x14ac:dyDescent="0.35">
      <c r="B31" s="9" t="s">
        <v>320</v>
      </c>
      <c r="C31" s="54">
        <v>368</v>
      </c>
      <c r="D31" s="54">
        <v>1526</v>
      </c>
      <c r="E31" s="54">
        <v>24.6</v>
      </c>
      <c r="F31" s="54">
        <v>24.6</v>
      </c>
      <c r="G31" s="54">
        <v>0</v>
      </c>
      <c r="H31" s="54">
        <v>29.6</v>
      </c>
      <c r="I31" s="54">
        <v>29.6</v>
      </c>
      <c r="J31" s="54">
        <v>0</v>
      </c>
      <c r="K31" s="54">
        <v>90</v>
      </c>
      <c r="L31" s="54">
        <v>0.8</v>
      </c>
      <c r="M31" s="54">
        <v>0</v>
      </c>
      <c r="N31" s="54">
        <v>0.8</v>
      </c>
      <c r="O31" s="54">
        <v>0</v>
      </c>
      <c r="P31" s="54">
        <v>0</v>
      </c>
      <c r="Q31" s="54">
        <v>42.8</v>
      </c>
      <c r="R31" s="54">
        <v>0.6</v>
      </c>
      <c r="S31" s="54">
        <v>531</v>
      </c>
      <c r="T31" s="54">
        <v>514</v>
      </c>
      <c r="U31" s="54">
        <v>145</v>
      </c>
      <c r="V31" s="54">
        <v>496</v>
      </c>
      <c r="W31" s="54">
        <v>2.4</v>
      </c>
      <c r="X31" s="54">
        <v>30</v>
      </c>
      <c r="Y31" s="54">
        <v>0.03</v>
      </c>
      <c r="Z31" s="54">
        <v>7.7</v>
      </c>
      <c r="AA31" s="54">
        <v>990</v>
      </c>
      <c r="AB31" s="54">
        <v>4</v>
      </c>
      <c r="AC31" s="54">
        <v>0.01</v>
      </c>
      <c r="AD31" s="54">
        <v>110</v>
      </c>
      <c r="AE31" s="54">
        <v>0.02</v>
      </c>
      <c r="AF31" s="54">
        <v>0.32</v>
      </c>
      <c r="AG31" s="54">
        <v>0</v>
      </c>
      <c r="AH31" s="54">
        <v>0.16</v>
      </c>
      <c r="AI31" s="54">
        <v>7.0000000000000007E-2</v>
      </c>
      <c r="AJ31" s="54">
        <v>10</v>
      </c>
      <c r="AK31" s="54">
        <v>0.48</v>
      </c>
      <c r="AL31" s="54">
        <v>2.2000000000000002</v>
      </c>
      <c r="AM31" s="54">
        <v>1.5</v>
      </c>
      <c r="AN31" s="54">
        <v>335</v>
      </c>
      <c r="AO31" s="54">
        <v>293</v>
      </c>
      <c r="AP31" s="54">
        <v>251</v>
      </c>
      <c r="AQ31" s="54">
        <v>0.49</v>
      </c>
      <c r="AR31" s="54">
        <v>0.16</v>
      </c>
      <c r="AS31" s="52">
        <v>2.2000000000000002</v>
      </c>
      <c r="AT31" s="54">
        <v>17.349</v>
      </c>
      <c r="AU31" s="54">
        <v>2.6309999999999998</v>
      </c>
      <c r="AV31" s="54">
        <v>0.90400000000000003</v>
      </c>
      <c r="AW31" s="54">
        <v>3.0419999999999998</v>
      </c>
      <c r="AX31" s="54">
        <v>7.5640000000000001</v>
      </c>
      <c r="AY31" s="54">
        <v>3.2069999999999999</v>
      </c>
      <c r="AZ31" s="54">
        <v>0</v>
      </c>
      <c r="BA31" s="54">
        <v>0</v>
      </c>
      <c r="BB31" s="54">
        <v>9.0440000000000005</v>
      </c>
      <c r="BC31" s="54">
        <v>0.57599999999999996</v>
      </c>
      <c r="BD31" s="54">
        <v>0.82199999999999995</v>
      </c>
      <c r="BE31" s="54">
        <v>7.6470000000000002</v>
      </c>
      <c r="BF31" s="54">
        <v>0</v>
      </c>
      <c r="BG31" s="54">
        <v>0</v>
      </c>
      <c r="BH31" s="54">
        <v>0.98699999999999999</v>
      </c>
      <c r="BI31" s="54">
        <v>0.57599999999999996</v>
      </c>
      <c r="BJ31" s="54">
        <v>0.41099999999999998</v>
      </c>
      <c r="BK31" s="54">
        <v>0</v>
      </c>
      <c r="BL31" s="54">
        <v>0</v>
      </c>
      <c r="BM31" s="54">
        <v>0</v>
      </c>
      <c r="BN31" s="54">
        <v>0</v>
      </c>
      <c r="BO31" s="56">
        <v>291</v>
      </c>
      <c r="BP31" s="56">
        <v>858</v>
      </c>
      <c r="BQ31" s="56">
        <v>1197</v>
      </c>
      <c r="BR31" s="56">
        <v>2275</v>
      </c>
      <c r="BS31" s="56">
        <v>1823</v>
      </c>
      <c r="BT31" s="56">
        <v>732</v>
      </c>
      <c r="BU31" s="56">
        <v>142</v>
      </c>
      <c r="BV31" s="56">
        <v>1203</v>
      </c>
      <c r="BW31" s="56">
        <v>1291</v>
      </c>
      <c r="BX31" s="56">
        <v>1564</v>
      </c>
      <c r="BY31" s="56">
        <v>729</v>
      </c>
      <c r="BZ31" s="56">
        <v>623</v>
      </c>
      <c r="CA31" s="56">
        <v>706</v>
      </c>
      <c r="CB31" s="56">
        <v>1588</v>
      </c>
      <c r="CC31" s="56">
        <v>4426</v>
      </c>
      <c r="CD31" s="56">
        <v>434</v>
      </c>
      <c r="CE31" s="56">
        <v>2622</v>
      </c>
      <c r="CF31" s="56">
        <v>1198</v>
      </c>
      <c r="CG31" s="54">
        <v>0</v>
      </c>
      <c r="CH31" s="54">
        <v>0</v>
      </c>
      <c r="CI31" s="54">
        <v>0</v>
      </c>
      <c r="CJ31" s="54">
        <v>0</v>
      </c>
      <c r="CK31" s="54">
        <v>0</v>
      </c>
      <c r="CL31" s="54">
        <v>0.8</v>
      </c>
    </row>
    <row r="32" spans="1:90" x14ac:dyDescent="0.35">
      <c r="B32" s="9" t="s">
        <v>331</v>
      </c>
      <c r="C32" s="54">
        <v>384</v>
      </c>
      <c r="D32" s="54">
        <v>1592</v>
      </c>
      <c r="E32" s="54">
        <v>24.5</v>
      </c>
      <c r="F32" s="54">
        <v>24.5</v>
      </c>
      <c r="G32" s="54">
        <v>0</v>
      </c>
      <c r="H32" s="54">
        <v>31</v>
      </c>
      <c r="I32" s="54">
        <v>31</v>
      </c>
      <c r="J32" s="54">
        <v>0</v>
      </c>
      <c r="K32" s="54">
        <v>90</v>
      </c>
      <c r="L32" s="54">
        <v>1.8</v>
      </c>
      <c r="M32" s="54">
        <v>0</v>
      </c>
      <c r="N32" s="54">
        <v>1.8</v>
      </c>
      <c r="O32" s="54">
        <v>0</v>
      </c>
      <c r="P32" s="54">
        <v>0</v>
      </c>
      <c r="Q32" s="54">
        <v>39.5</v>
      </c>
      <c r="R32" s="54">
        <v>0.6</v>
      </c>
      <c r="S32" s="54">
        <v>531</v>
      </c>
      <c r="T32" s="54">
        <v>514</v>
      </c>
      <c r="U32" s="54">
        <v>145</v>
      </c>
      <c r="V32" s="54">
        <v>496</v>
      </c>
      <c r="W32" s="54">
        <v>3.7</v>
      </c>
      <c r="X32" s="54">
        <v>30</v>
      </c>
      <c r="Y32" s="54">
        <v>0.03</v>
      </c>
      <c r="Z32" s="54">
        <v>8</v>
      </c>
      <c r="AA32" s="54">
        <v>990</v>
      </c>
      <c r="AB32" s="54">
        <v>4</v>
      </c>
      <c r="AC32" s="54">
        <v>0.01</v>
      </c>
      <c r="AD32" s="54">
        <v>110</v>
      </c>
      <c r="AE32" s="54">
        <v>0.02</v>
      </c>
      <c r="AF32" s="54">
        <v>0.32</v>
      </c>
      <c r="AG32" s="51">
        <v>0.5</v>
      </c>
      <c r="AH32" s="54">
        <v>0.16</v>
      </c>
      <c r="AI32" s="54">
        <v>7.0000000000000007E-2</v>
      </c>
      <c r="AJ32" s="54">
        <v>10</v>
      </c>
      <c r="AK32" s="54">
        <v>0.48</v>
      </c>
      <c r="AL32" s="54">
        <v>2.2000000000000002</v>
      </c>
      <c r="AM32" s="54">
        <v>1.5</v>
      </c>
      <c r="AN32" s="54">
        <v>335</v>
      </c>
      <c r="AO32" s="54">
        <v>293</v>
      </c>
      <c r="AP32" s="54">
        <v>251</v>
      </c>
      <c r="AQ32" s="54">
        <v>0.49</v>
      </c>
      <c r="AR32" s="54">
        <v>0.16</v>
      </c>
      <c r="AS32" s="55">
        <v>4.5</v>
      </c>
      <c r="AT32" s="54">
        <v>19.309999999999999</v>
      </c>
      <c r="AU32" s="54">
        <v>3.19</v>
      </c>
      <c r="AV32" s="54">
        <v>1.17</v>
      </c>
      <c r="AW32" s="54">
        <v>3.49</v>
      </c>
      <c r="AX32" s="54">
        <v>8.42</v>
      </c>
      <c r="AY32" s="54">
        <v>3.04</v>
      </c>
      <c r="AZ32" s="65">
        <v>0</v>
      </c>
      <c r="BA32" s="65">
        <v>0</v>
      </c>
      <c r="BB32" s="54">
        <v>7.92</v>
      </c>
      <c r="BC32" s="54">
        <v>0</v>
      </c>
      <c r="BD32" s="63">
        <v>0.04</v>
      </c>
      <c r="BE32" s="54">
        <v>7.88</v>
      </c>
      <c r="BF32" s="54">
        <v>0</v>
      </c>
      <c r="BG32" s="54">
        <v>0</v>
      </c>
      <c r="BH32" s="54">
        <v>2.13</v>
      </c>
      <c r="BI32" s="54">
        <v>1.29</v>
      </c>
      <c r="BJ32" s="54">
        <v>0.84</v>
      </c>
      <c r="BK32" s="54">
        <v>0</v>
      </c>
      <c r="BL32" s="54">
        <v>0</v>
      </c>
      <c r="BM32" s="54">
        <v>0</v>
      </c>
      <c r="BN32" s="54">
        <v>0</v>
      </c>
      <c r="BO32" s="56">
        <v>290</v>
      </c>
      <c r="BP32" s="56">
        <v>855</v>
      </c>
      <c r="BQ32" s="56">
        <v>1192</v>
      </c>
      <c r="BR32" s="56">
        <v>2266</v>
      </c>
      <c r="BS32" s="56">
        <v>1816</v>
      </c>
      <c r="BT32" s="56">
        <v>729</v>
      </c>
      <c r="BU32" s="56">
        <v>141</v>
      </c>
      <c r="BV32" s="56">
        <v>1198</v>
      </c>
      <c r="BW32" s="56">
        <v>1286</v>
      </c>
      <c r="BX32" s="56">
        <v>1558</v>
      </c>
      <c r="BY32" s="56">
        <v>726</v>
      </c>
      <c r="BZ32" s="56">
        <v>620</v>
      </c>
      <c r="CA32" s="56">
        <v>703</v>
      </c>
      <c r="CB32" s="56">
        <v>1582</v>
      </c>
      <c r="CC32" s="56">
        <v>4408</v>
      </c>
      <c r="CD32" s="56">
        <v>432</v>
      </c>
      <c r="CE32" s="56">
        <v>2611</v>
      </c>
      <c r="CF32" s="56">
        <v>1193</v>
      </c>
      <c r="CG32" s="54">
        <v>0</v>
      </c>
      <c r="CH32" s="54">
        <v>0</v>
      </c>
      <c r="CI32" s="54">
        <v>0</v>
      </c>
      <c r="CJ32" s="54">
        <v>0</v>
      </c>
      <c r="CK32" s="54">
        <v>0</v>
      </c>
      <c r="CL32" s="54">
        <v>1.8</v>
      </c>
    </row>
    <row r="33" spans="2:90" x14ac:dyDescent="0.35">
      <c r="B33" s="9" t="s">
        <v>294</v>
      </c>
      <c r="C33" s="54">
        <v>364</v>
      </c>
      <c r="D33" s="54">
        <v>1515</v>
      </c>
      <c r="E33" s="54">
        <v>27.7</v>
      </c>
      <c r="F33" s="54">
        <v>27.7</v>
      </c>
      <c r="G33" s="54">
        <v>0</v>
      </c>
      <c r="H33" s="54">
        <v>27.3</v>
      </c>
      <c r="I33" s="54">
        <v>27.3</v>
      </c>
      <c r="J33" s="54">
        <v>0</v>
      </c>
      <c r="K33" s="54">
        <v>104</v>
      </c>
      <c r="L33" s="54">
        <v>2.1</v>
      </c>
      <c r="M33" s="54">
        <v>0</v>
      </c>
      <c r="N33" s="54">
        <v>2.1</v>
      </c>
      <c r="O33" s="54">
        <v>0</v>
      </c>
      <c r="P33" s="54">
        <v>0</v>
      </c>
      <c r="Q33" s="54">
        <v>32.5</v>
      </c>
      <c r="R33" s="54">
        <v>2.1</v>
      </c>
      <c r="S33" s="54">
        <v>1160</v>
      </c>
      <c r="T33" s="54">
        <v>1890</v>
      </c>
      <c r="U33" s="54">
        <v>94</v>
      </c>
      <c r="V33" s="54">
        <v>675</v>
      </c>
      <c r="W33" s="54">
        <v>3.5</v>
      </c>
      <c r="X33" s="54">
        <v>41</v>
      </c>
      <c r="Y33" s="54">
        <v>1.01</v>
      </c>
      <c r="Z33" s="54">
        <v>15</v>
      </c>
      <c r="AA33" s="54">
        <v>2350</v>
      </c>
      <c r="AB33" s="54">
        <v>44</v>
      </c>
      <c r="AC33" s="51">
        <v>5.0000000000000001E-3</v>
      </c>
      <c r="AD33" s="54">
        <v>230</v>
      </c>
      <c r="AE33" s="54">
        <v>0.03</v>
      </c>
      <c r="AF33" s="54">
        <v>0.47</v>
      </c>
      <c r="AG33" s="51">
        <v>0.5</v>
      </c>
      <c r="AH33" s="54">
        <v>0.2</v>
      </c>
      <c r="AI33" s="54">
        <v>0.09</v>
      </c>
      <c r="AJ33" s="54">
        <v>7</v>
      </c>
      <c r="AK33" s="54">
        <v>0.42</v>
      </c>
      <c r="AL33" s="54">
        <v>2.4</v>
      </c>
      <c r="AM33" s="54">
        <v>1.1000000000000001</v>
      </c>
      <c r="AN33" s="54">
        <v>116</v>
      </c>
      <c r="AO33" s="54">
        <v>113</v>
      </c>
      <c r="AP33" s="54">
        <v>20</v>
      </c>
      <c r="AQ33" s="54">
        <v>0.73</v>
      </c>
      <c r="AR33" s="54">
        <v>0.5</v>
      </c>
      <c r="AS33" s="52">
        <v>2.2000000000000002</v>
      </c>
      <c r="AT33" s="54">
        <v>17.344000000000001</v>
      </c>
      <c r="AU33" s="54">
        <v>2.8420000000000001</v>
      </c>
      <c r="AV33" s="54">
        <v>0.92300000000000004</v>
      </c>
      <c r="AW33" s="54">
        <v>3.077</v>
      </c>
      <c r="AX33" s="54">
        <v>7.3620000000000001</v>
      </c>
      <c r="AY33" s="54">
        <v>2.4319999999999999</v>
      </c>
      <c r="AZ33" s="62">
        <v>0</v>
      </c>
      <c r="BA33" s="62">
        <v>0</v>
      </c>
      <c r="BB33" s="54">
        <v>7.9429999999999996</v>
      </c>
      <c r="BC33" s="63">
        <v>0.49199999999999999</v>
      </c>
      <c r="BD33" s="54">
        <v>0.41599999999999998</v>
      </c>
      <c r="BE33" s="54">
        <v>7.0350000000000001</v>
      </c>
      <c r="BF33" s="54">
        <v>0</v>
      </c>
      <c r="BG33" s="54">
        <v>0</v>
      </c>
      <c r="BH33" s="54">
        <v>0.60099999999999998</v>
      </c>
      <c r="BI33" s="54">
        <v>0.28799999999999998</v>
      </c>
      <c r="BJ33" s="54">
        <v>0.314</v>
      </c>
      <c r="BK33" s="54">
        <v>0</v>
      </c>
      <c r="BL33" s="54">
        <v>0</v>
      </c>
      <c r="BM33" s="54">
        <v>0</v>
      </c>
      <c r="BN33" s="54">
        <v>0</v>
      </c>
      <c r="BO33" s="56">
        <v>349</v>
      </c>
      <c r="BP33" s="56">
        <v>951</v>
      </c>
      <c r="BQ33" s="56">
        <v>1462</v>
      </c>
      <c r="BR33" s="56">
        <v>2807</v>
      </c>
      <c r="BS33" s="56">
        <v>2173</v>
      </c>
      <c r="BT33" s="56">
        <v>844</v>
      </c>
      <c r="BU33" s="56">
        <v>141</v>
      </c>
      <c r="BV33" s="56">
        <v>1388</v>
      </c>
      <c r="BW33" s="56">
        <v>1494</v>
      </c>
      <c r="BX33" s="56">
        <v>1975</v>
      </c>
      <c r="BY33" s="56">
        <v>730</v>
      </c>
      <c r="BZ33" s="56">
        <v>685</v>
      </c>
      <c r="CA33" s="56">
        <v>812</v>
      </c>
      <c r="CB33" s="56">
        <v>1875</v>
      </c>
      <c r="CC33" s="56">
        <v>5449</v>
      </c>
      <c r="CD33" s="56">
        <v>491</v>
      </c>
      <c r="CE33" s="56">
        <v>3228</v>
      </c>
      <c r="CF33" s="56">
        <v>1357</v>
      </c>
      <c r="CG33" s="54">
        <v>0</v>
      </c>
      <c r="CH33" s="54">
        <v>0</v>
      </c>
      <c r="CI33" s="54">
        <v>0.1</v>
      </c>
      <c r="CJ33" s="54">
        <v>0</v>
      </c>
      <c r="CK33" s="54">
        <v>0</v>
      </c>
      <c r="CL33" s="54">
        <v>2</v>
      </c>
    </row>
    <row r="34" spans="2:90" x14ac:dyDescent="0.35">
      <c r="B34" s="9" t="s">
        <v>295</v>
      </c>
      <c r="C34" s="54">
        <v>368</v>
      </c>
      <c r="D34" s="54">
        <v>1526</v>
      </c>
      <c r="E34" s="54">
        <v>24.6</v>
      </c>
      <c r="F34" s="54">
        <v>24.6</v>
      </c>
      <c r="G34" s="54">
        <v>0</v>
      </c>
      <c r="H34" s="54">
        <v>29.6</v>
      </c>
      <c r="I34" s="54">
        <v>29.6</v>
      </c>
      <c r="J34" s="54">
        <v>0</v>
      </c>
      <c r="K34" s="54">
        <v>90</v>
      </c>
      <c r="L34" s="54">
        <v>0.8</v>
      </c>
      <c r="M34" s="54">
        <v>0</v>
      </c>
      <c r="N34" s="54">
        <v>0.8</v>
      </c>
      <c r="O34" s="54">
        <v>0</v>
      </c>
      <c r="P34" s="54">
        <v>0</v>
      </c>
      <c r="Q34" s="54">
        <v>42.8</v>
      </c>
      <c r="R34" s="54">
        <v>0.6</v>
      </c>
      <c r="S34" s="54">
        <v>531</v>
      </c>
      <c r="T34" s="54">
        <v>514</v>
      </c>
      <c r="U34" s="54">
        <v>145</v>
      </c>
      <c r="V34" s="54">
        <v>496</v>
      </c>
      <c r="W34" s="54">
        <v>2.4</v>
      </c>
      <c r="X34" s="54">
        <v>30</v>
      </c>
      <c r="Y34" s="54">
        <v>0.03</v>
      </c>
      <c r="Z34" s="54">
        <v>7.7</v>
      </c>
      <c r="AA34" s="54">
        <v>990</v>
      </c>
      <c r="AB34" s="54">
        <v>4</v>
      </c>
      <c r="AC34" s="54">
        <v>0.01</v>
      </c>
      <c r="AD34" s="54">
        <v>110</v>
      </c>
      <c r="AE34" s="54">
        <v>0.02</v>
      </c>
      <c r="AF34" s="54">
        <v>0.32</v>
      </c>
      <c r="AG34" s="51">
        <v>0.5</v>
      </c>
      <c r="AH34" s="54">
        <v>0.16</v>
      </c>
      <c r="AI34" s="54">
        <v>7.0000000000000007E-2</v>
      </c>
      <c r="AJ34" s="54">
        <v>10</v>
      </c>
      <c r="AK34" s="54">
        <v>0.48</v>
      </c>
      <c r="AL34" s="54">
        <v>2.2000000000000002</v>
      </c>
      <c r="AM34" s="54">
        <v>1.5</v>
      </c>
      <c r="AN34" s="54">
        <v>335</v>
      </c>
      <c r="AO34" s="54">
        <v>293</v>
      </c>
      <c r="AP34" s="54">
        <v>251</v>
      </c>
      <c r="AQ34" s="54">
        <v>0.49</v>
      </c>
      <c r="AR34" s="54">
        <v>0.16</v>
      </c>
      <c r="AS34" s="55">
        <v>4.5</v>
      </c>
      <c r="AT34" s="54">
        <v>17.349</v>
      </c>
      <c r="AU34" s="54">
        <v>2.6309999999999998</v>
      </c>
      <c r="AV34" s="54">
        <v>0.90400000000000003</v>
      </c>
      <c r="AW34" s="54">
        <v>3.0419999999999998</v>
      </c>
      <c r="AX34" s="54">
        <v>7.5640000000000001</v>
      </c>
      <c r="AY34" s="54">
        <v>3.2069999999999999</v>
      </c>
      <c r="AZ34" s="54">
        <v>0</v>
      </c>
      <c r="BA34" s="54">
        <v>0</v>
      </c>
      <c r="BB34" s="54">
        <v>9.0440000000000005</v>
      </c>
      <c r="BC34" s="54">
        <v>0.57599999999999996</v>
      </c>
      <c r="BD34" s="54">
        <v>0.82199999999999995</v>
      </c>
      <c r="BE34" s="54">
        <v>7.6470000000000002</v>
      </c>
      <c r="BF34" s="54">
        <v>0</v>
      </c>
      <c r="BG34" s="54">
        <v>0</v>
      </c>
      <c r="BH34" s="54">
        <v>0.98699999999999999</v>
      </c>
      <c r="BI34" s="54">
        <v>0.57599999999999996</v>
      </c>
      <c r="BJ34" s="54">
        <v>0.41099999999999998</v>
      </c>
      <c r="BK34" s="54">
        <v>0</v>
      </c>
      <c r="BL34" s="54">
        <v>0</v>
      </c>
      <c r="BM34" s="54">
        <v>0</v>
      </c>
      <c r="BN34" s="54">
        <v>0</v>
      </c>
      <c r="BO34" s="56">
        <v>291</v>
      </c>
      <c r="BP34" s="56">
        <v>858</v>
      </c>
      <c r="BQ34" s="56">
        <v>1197</v>
      </c>
      <c r="BR34" s="56">
        <v>2275</v>
      </c>
      <c r="BS34" s="56">
        <v>1823</v>
      </c>
      <c r="BT34" s="56">
        <v>732</v>
      </c>
      <c r="BU34" s="56">
        <v>142</v>
      </c>
      <c r="BV34" s="56">
        <v>1203</v>
      </c>
      <c r="BW34" s="56">
        <v>1291</v>
      </c>
      <c r="BX34" s="56">
        <v>1564</v>
      </c>
      <c r="BY34" s="56">
        <v>729</v>
      </c>
      <c r="BZ34" s="56">
        <v>623</v>
      </c>
      <c r="CA34" s="56">
        <v>706</v>
      </c>
      <c r="CB34" s="56">
        <v>1588</v>
      </c>
      <c r="CC34" s="56">
        <v>4426</v>
      </c>
      <c r="CD34" s="56">
        <v>434</v>
      </c>
      <c r="CE34" s="56">
        <v>2622</v>
      </c>
      <c r="CF34" s="56">
        <v>1198</v>
      </c>
      <c r="CG34" s="54">
        <v>0</v>
      </c>
      <c r="CH34" s="54">
        <v>0</v>
      </c>
      <c r="CI34" s="54">
        <v>0</v>
      </c>
      <c r="CJ34" s="54">
        <v>0</v>
      </c>
      <c r="CK34" s="54">
        <v>0</v>
      </c>
      <c r="CL34" s="54">
        <v>0.8</v>
      </c>
    </row>
    <row r="35" spans="2:90" x14ac:dyDescent="0.35">
      <c r="B35" s="9" t="s">
        <v>296</v>
      </c>
      <c r="C35" s="54">
        <v>263</v>
      </c>
      <c r="D35" s="54">
        <v>1090</v>
      </c>
      <c r="E35" s="54">
        <v>17.3</v>
      </c>
      <c r="F35" s="54">
        <v>17.3</v>
      </c>
      <c r="G35" s="54">
        <v>0</v>
      </c>
      <c r="H35" s="54">
        <v>21.3</v>
      </c>
      <c r="I35" s="54">
        <v>21.3</v>
      </c>
      <c r="J35" s="54">
        <v>0</v>
      </c>
      <c r="K35" s="54">
        <v>90</v>
      </c>
      <c r="L35" s="54">
        <v>0.5</v>
      </c>
      <c r="M35" s="54">
        <v>0</v>
      </c>
      <c r="N35" s="54">
        <v>0.5</v>
      </c>
      <c r="O35" s="54">
        <v>0</v>
      </c>
      <c r="P35" s="54">
        <v>0</v>
      </c>
      <c r="Q35" s="54">
        <v>54.8</v>
      </c>
      <c r="R35" s="54">
        <v>0.8</v>
      </c>
      <c r="S35" s="54">
        <v>290</v>
      </c>
      <c r="T35" s="54">
        <v>299</v>
      </c>
      <c r="U35" s="54">
        <v>36</v>
      </c>
      <c r="V35" s="54">
        <v>420</v>
      </c>
      <c r="W35" s="54">
        <v>2.6</v>
      </c>
      <c r="X35" s="54">
        <v>30</v>
      </c>
      <c r="Y35" s="51">
        <v>5.0000000000000001E-3</v>
      </c>
      <c r="Z35" s="54">
        <v>7.7</v>
      </c>
      <c r="AA35" s="54">
        <v>990</v>
      </c>
      <c r="AB35" s="54">
        <v>4</v>
      </c>
      <c r="AC35" s="51">
        <v>5.0000000000000001E-3</v>
      </c>
      <c r="AD35" s="54">
        <v>110</v>
      </c>
      <c r="AE35" s="54">
        <v>0.03</v>
      </c>
      <c r="AF35" s="54">
        <v>0.31</v>
      </c>
      <c r="AG35" s="51">
        <v>0.5</v>
      </c>
      <c r="AH35" s="54">
        <v>0.08</v>
      </c>
      <c r="AI35" s="54">
        <v>0.09</v>
      </c>
      <c r="AJ35" s="54">
        <v>19</v>
      </c>
      <c r="AK35" s="54">
        <v>0.25</v>
      </c>
      <c r="AL35" s="54">
        <v>2.2000000000000002</v>
      </c>
      <c r="AM35" s="54">
        <v>2.1</v>
      </c>
      <c r="AN35" s="54">
        <v>142</v>
      </c>
      <c r="AO35" s="54">
        <v>139</v>
      </c>
      <c r="AP35" s="54">
        <v>20</v>
      </c>
      <c r="AQ35" s="54">
        <v>0.22</v>
      </c>
      <c r="AR35" s="54">
        <v>0.16</v>
      </c>
      <c r="AS35" s="55">
        <v>4.5</v>
      </c>
      <c r="AT35" s="54">
        <v>12.484</v>
      </c>
      <c r="AU35" s="54">
        <v>1.893</v>
      </c>
      <c r="AV35" s="54">
        <v>0.65100000000000002</v>
      </c>
      <c r="AW35" s="54">
        <v>2.1890000000000001</v>
      </c>
      <c r="AX35" s="54">
        <v>5.4429999999999996</v>
      </c>
      <c r="AY35" s="54">
        <v>2.3079999999999998</v>
      </c>
      <c r="AZ35" s="54">
        <v>0</v>
      </c>
      <c r="BA35" s="54">
        <v>0</v>
      </c>
      <c r="BB35" s="54">
        <v>6.508</v>
      </c>
      <c r="BC35" s="54">
        <v>0.41399999999999998</v>
      </c>
      <c r="BD35" s="54">
        <v>0.59199999999999997</v>
      </c>
      <c r="BE35" s="54">
        <v>5.5030000000000001</v>
      </c>
      <c r="BF35" s="54">
        <v>0</v>
      </c>
      <c r="BG35" s="54">
        <v>0</v>
      </c>
      <c r="BH35" s="54">
        <v>0.71</v>
      </c>
      <c r="BI35" s="54">
        <v>0.41399999999999998</v>
      </c>
      <c r="BJ35" s="54">
        <v>0.29599999999999999</v>
      </c>
      <c r="BK35" s="54">
        <v>0</v>
      </c>
      <c r="BL35" s="54">
        <v>0</v>
      </c>
      <c r="BM35" s="54">
        <v>0</v>
      </c>
      <c r="BN35" s="54">
        <v>0</v>
      </c>
      <c r="BO35" s="56">
        <v>189</v>
      </c>
      <c r="BP35" s="56">
        <v>615</v>
      </c>
      <c r="BQ35" s="56">
        <v>754</v>
      </c>
      <c r="BR35" s="56">
        <v>1410</v>
      </c>
      <c r="BS35" s="56">
        <v>1189</v>
      </c>
      <c r="BT35" s="56">
        <v>500</v>
      </c>
      <c r="BU35" s="56">
        <v>115</v>
      </c>
      <c r="BV35" s="56">
        <v>820</v>
      </c>
      <c r="BW35" s="56">
        <v>877</v>
      </c>
      <c r="BX35" s="56">
        <v>935</v>
      </c>
      <c r="BY35" s="56">
        <v>582</v>
      </c>
      <c r="BZ35" s="56">
        <v>451</v>
      </c>
      <c r="CA35" s="56">
        <v>484</v>
      </c>
      <c r="CB35" s="56">
        <v>1049</v>
      </c>
      <c r="CC35" s="56">
        <v>2755</v>
      </c>
      <c r="CD35" s="56">
        <v>303</v>
      </c>
      <c r="CE35" s="56">
        <v>1632</v>
      </c>
      <c r="CF35" s="56">
        <v>836</v>
      </c>
      <c r="CG35" s="54">
        <v>0</v>
      </c>
      <c r="CH35" s="54">
        <v>0</v>
      </c>
      <c r="CI35" s="54">
        <v>0</v>
      </c>
      <c r="CJ35" s="54">
        <v>0</v>
      </c>
      <c r="CK35" s="54">
        <v>0</v>
      </c>
      <c r="CL35" s="54">
        <v>0.5</v>
      </c>
    </row>
    <row r="36" spans="2:90" x14ac:dyDescent="0.35">
      <c r="B36" s="9" t="s">
        <v>327</v>
      </c>
      <c r="C36" s="54">
        <v>370</v>
      </c>
      <c r="D36" s="54">
        <v>1536</v>
      </c>
      <c r="E36" s="54">
        <v>26.9</v>
      </c>
      <c r="F36" s="54">
        <v>26.9</v>
      </c>
      <c r="G36" s="54">
        <v>0</v>
      </c>
      <c r="H36" s="54">
        <v>28.5</v>
      </c>
      <c r="I36" s="54">
        <v>28.5</v>
      </c>
      <c r="J36" s="54">
        <v>0</v>
      </c>
      <c r="K36" s="54">
        <v>90</v>
      </c>
      <c r="L36" s="54">
        <v>1.5</v>
      </c>
      <c r="M36" s="54">
        <v>0</v>
      </c>
      <c r="N36" s="54">
        <v>1.5</v>
      </c>
      <c r="O36" s="54">
        <v>0</v>
      </c>
      <c r="P36" s="54">
        <v>0</v>
      </c>
      <c r="Q36" s="54">
        <v>41.3</v>
      </c>
      <c r="R36" s="54">
        <v>0.6</v>
      </c>
      <c r="S36" s="54">
        <v>360</v>
      </c>
      <c r="T36" s="54">
        <v>514</v>
      </c>
      <c r="U36" s="54">
        <v>145</v>
      </c>
      <c r="V36" s="54">
        <v>300</v>
      </c>
      <c r="W36" s="54">
        <v>3.7</v>
      </c>
      <c r="X36" s="54">
        <v>30</v>
      </c>
      <c r="Y36" s="54">
        <v>0.03</v>
      </c>
      <c r="Z36" s="54">
        <v>7.7</v>
      </c>
      <c r="AA36" s="54">
        <v>990</v>
      </c>
      <c r="AB36" s="54">
        <v>4</v>
      </c>
      <c r="AC36" s="54">
        <v>0.01</v>
      </c>
      <c r="AD36" s="54">
        <v>110</v>
      </c>
      <c r="AE36" s="54">
        <v>0.02</v>
      </c>
      <c r="AF36" s="54">
        <v>0.32</v>
      </c>
      <c r="AG36" s="51">
        <v>0.5</v>
      </c>
      <c r="AH36" s="54">
        <v>0.16</v>
      </c>
      <c r="AI36" s="54">
        <v>7.0000000000000007E-2</v>
      </c>
      <c r="AJ36" s="54">
        <v>10</v>
      </c>
      <c r="AK36" s="54">
        <v>0.48</v>
      </c>
      <c r="AL36" s="54">
        <v>2.2000000000000002</v>
      </c>
      <c r="AM36" s="54">
        <v>1.5</v>
      </c>
      <c r="AN36" s="54">
        <v>264</v>
      </c>
      <c r="AO36" s="54">
        <v>231</v>
      </c>
      <c r="AP36" s="54">
        <v>198</v>
      </c>
      <c r="AQ36" s="54">
        <v>0.49</v>
      </c>
      <c r="AR36" s="54">
        <v>0.16</v>
      </c>
      <c r="AS36" s="55">
        <v>4.5</v>
      </c>
      <c r="AT36" s="54">
        <v>17.753</v>
      </c>
      <c r="AU36" s="54">
        <v>2.9329999999999998</v>
      </c>
      <c r="AV36" s="54">
        <v>1.0760000000000001</v>
      </c>
      <c r="AW36" s="54">
        <v>3.2090000000000001</v>
      </c>
      <c r="AX36" s="54">
        <v>7.7409999999999997</v>
      </c>
      <c r="AY36" s="54">
        <v>2.7949999999999999</v>
      </c>
      <c r="AZ36" s="54">
        <v>0</v>
      </c>
      <c r="BA36" s="54">
        <v>0</v>
      </c>
      <c r="BB36" s="54">
        <v>7.2809999999999997</v>
      </c>
      <c r="BC36" s="54">
        <v>0</v>
      </c>
      <c r="BD36" s="63">
        <v>3.5999999999999997E-2</v>
      </c>
      <c r="BE36" s="54">
        <v>7.2450000000000001</v>
      </c>
      <c r="BF36" s="54">
        <v>0</v>
      </c>
      <c r="BG36" s="54">
        <v>0</v>
      </c>
      <c r="BH36" s="54">
        <v>1.958</v>
      </c>
      <c r="BI36" s="54">
        <v>1.1859999999999999</v>
      </c>
      <c r="BJ36" s="54">
        <v>0.77200000000000002</v>
      </c>
      <c r="BK36" s="54">
        <v>0</v>
      </c>
      <c r="BL36" s="54">
        <v>0</v>
      </c>
      <c r="BM36" s="54">
        <v>0</v>
      </c>
      <c r="BN36" s="54">
        <v>0</v>
      </c>
      <c r="BO36" s="56">
        <v>363</v>
      </c>
      <c r="BP36" s="56">
        <v>1033</v>
      </c>
      <c r="BQ36" s="56">
        <v>1147</v>
      </c>
      <c r="BR36" s="56">
        <v>2416</v>
      </c>
      <c r="BS36" s="56">
        <v>2783</v>
      </c>
      <c r="BT36" s="56">
        <v>721</v>
      </c>
      <c r="BU36" s="56">
        <v>122</v>
      </c>
      <c r="BV36" s="56">
        <v>1353</v>
      </c>
      <c r="BW36" s="56">
        <v>1598</v>
      </c>
      <c r="BX36" s="56">
        <v>1725</v>
      </c>
      <c r="BY36" s="56">
        <v>1075</v>
      </c>
      <c r="BZ36" s="56">
        <v>1173</v>
      </c>
      <c r="CA36" s="56">
        <v>742</v>
      </c>
      <c r="CB36" s="56">
        <v>1834</v>
      </c>
      <c r="CC36" s="56">
        <v>6557</v>
      </c>
      <c r="CD36" s="56">
        <v>455</v>
      </c>
      <c r="CE36" s="56">
        <v>2909</v>
      </c>
      <c r="CF36" s="56">
        <v>1547</v>
      </c>
      <c r="CG36" s="54">
        <v>0</v>
      </c>
      <c r="CH36" s="54">
        <v>0</v>
      </c>
      <c r="CI36" s="54">
        <v>0</v>
      </c>
      <c r="CJ36" s="54">
        <v>0</v>
      </c>
      <c r="CK36" s="54">
        <v>0</v>
      </c>
      <c r="CL36" s="54">
        <v>1.5</v>
      </c>
    </row>
    <row r="37" spans="2:90" x14ac:dyDescent="0.35">
      <c r="B37" s="9" t="s">
        <v>332</v>
      </c>
      <c r="C37" s="54">
        <v>324</v>
      </c>
      <c r="D37" s="54">
        <v>1346</v>
      </c>
      <c r="E37" s="54">
        <v>21.1</v>
      </c>
      <c r="F37" s="54">
        <v>21.1</v>
      </c>
      <c r="G37" s="54">
        <v>0</v>
      </c>
      <c r="H37" s="54">
        <v>25.4</v>
      </c>
      <c r="I37" s="54">
        <v>25.4</v>
      </c>
      <c r="J37" s="54">
        <v>0</v>
      </c>
      <c r="K37" s="54">
        <v>71</v>
      </c>
      <c r="L37" s="54">
        <v>3</v>
      </c>
      <c r="M37" s="54">
        <v>0</v>
      </c>
      <c r="N37" s="54">
        <v>3</v>
      </c>
      <c r="O37" s="54">
        <v>0</v>
      </c>
      <c r="P37" s="54">
        <v>0</v>
      </c>
      <c r="Q37" s="54">
        <v>46</v>
      </c>
      <c r="R37" s="54">
        <v>0.6</v>
      </c>
      <c r="S37" s="54">
        <v>531</v>
      </c>
      <c r="T37" s="54">
        <v>514</v>
      </c>
      <c r="U37" s="54">
        <v>145</v>
      </c>
      <c r="V37" s="54">
        <v>496</v>
      </c>
      <c r="W37" s="54">
        <v>37</v>
      </c>
      <c r="X37" s="54">
        <v>30</v>
      </c>
      <c r="Y37" s="54">
        <v>0.03</v>
      </c>
      <c r="Z37" s="54">
        <v>8</v>
      </c>
      <c r="AA37" s="54">
        <v>990</v>
      </c>
      <c r="AB37" s="54">
        <v>4</v>
      </c>
      <c r="AC37" s="54">
        <v>0.01</v>
      </c>
      <c r="AD37" s="54">
        <v>110</v>
      </c>
      <c r="AE37" s="54">
        <v>0.02</v>
      </c>
      <c r="AF37" s="54">
        <v>0.32</v>
      </c>
      <c r="AG37" s="51">
        <v>0.5</v>
      </c>
      <c r="AH37" s="54">
        <v>0.16</v>
      </c>
      <c r="AI37" s="54">
        <v>7.0000000000000007E-2</v>
      </c>
      <c r="AJ37" s="54">
        <v>10</v>
      </c>
      <c r="AK37" s="54">
        <v>0.48</v>
      </c>
      <c r="AL37" s="54">
        <v>2.2000000000000002</v>
      </c>
      <c r="AM37" s="54">
        <v>1.5</v>
      </c>
      <c r="AN37" s="54">
        <v>335</v>
      </c>
      <c r="AO37" s="54">
        <v>293</v>
      </c>
      <c r="AP37" s="54">
        <v>251</v>
      </c>
      <c r="AQ37" s="54">
        <v>0.34</v>
      </c>
      <c r="AR37" s="54">
        <v>0.16</v>
      </c>
      <c r="AS37" s="55">
        <v>4.5</v>
      </c>
      <c r="AT37" s="54">
        <v>15.821999999999999</v>
      </c>
      <c r="AU37" s="54">
        <v>2.6139999999999999</v>
      </c>
      <c r="AV37" s="54">
        <v>0.95899999999999996</v>
      </c>
      <c r="AW37" s="54">
        <v>2.86</v>
      </c>
      <c r="AX37" s="54">
        <v>6.899</v>
      </c>
      <c r="AY37" s="54">
        <v>2.4910000000000001</v>
      </c>
      <c r="AZ37" s="54">
        <v>0</v>
      </c>
      <c r="BA37" s="54">
        <v>0</v>
      </c>
      <c r="BB37" s="54">
        <v>6.4889999999999999</v>
      </c>
      <c r="BC37" s="54">
        <v>0</v>
      </c>
      <c r="BD37" s="63">
        <v>3.2000000000000001E-2</v>
      </c>
      <c r="BE37" s="54">
        <v>6.4569999999999999</v>
      </c>
      <c r="BF37" s="54">
        <v>0</v>
      </c>
      <c r="BG37" s="54">
        <v>0</v>
      </c>
      <c r="BH37" s="54">
        <v>1.7450000000000001</v>
      </c>
      <c r="BI37" s="54">
        <v>1.0569999999999999</v>
      </c>
      <c r="BJ37" s="54">
        <v>0.68799999999999994</v>
      </c>
      <c r="BK37" s="54">
        <v>0</v>
      </c>
      <c r="BL37" s="54">
        <v>0</v>
      </c>
      <c r="BM37" s="54">
        <v>0</v>
      </c>
      <c r="BN37" s="54">
        <v>0</v>
      </c>
      <c r="BO37" s="56">
        <v>230</v>
      </c>
      <c r="BP37" s="56">
        <v>750</v>
      </c>
      <c r="BQ37" s="56">
        <v>920</v>
      </c>
      <c r="BR37" s="56">
        <v>1720</v>
      </c>
      <c r="BS37" s="56">
        <v>1450</v>
      </c>
      <c r="BT37" s="56">
        <v>610</v>
      </c>
      <c r="BU37" s="56">
        <v>140</v>
      </c>
      <c r="BV37" s="56">
        <v>1000</v>
      </c>
      <c r="BW37" s="56">
        <v>1070</v>
      </c>
      <c r="BX37" s="56">
        <v>1140</v>
      </c>
      <c r="BY37" s="56">
        <v>710</v>
      </c>
      <c r="BZ37" s="56">
        <v>550</v>
      </c>
      <c r="CA37" s="56">
        <v>590</v>
      </c>
      <c r="CB37" s="56">
        <v>1280</v>
      </c>
      <c r="CC37" s="56">
        <v>3360</v>
      </c>
      <c r="CD37" s="56">
        <v>370</v>
      </c>
      <c r="CE37" s="56">
        <v>1990</v>
      </c>
      <c r="CF37" s="56">
        <v>1020</v>
      </c>
      <c r="CG37" s="54">
        <v>0</v>
      </c>
      <c r="CH37" s="54">
        <v>0</v>
      </c>
      <c r="CI37" s="54">
        <v>0</v>
      </c>
      <c r="CJ37" s="54">
        <v>0</v>
      </c>
      <c r="CK37" s="54">
        <v>0</v>
      </c>
      <c r="CL37" s="54">
        <v>3</v>
      </c>
    </row>
    <row r="38" spans="2:90" x14ac:dyDescent="0.35">
      <c r="B38" s="9" t="s">
        <v>322</v>
      </c>
      <c r="C38" s="54">
        <v>297</v>
      </c>
      <c r="D38" s="54">
        <v>1232</v>
      </c>
      <c r="E38" s="54">
        <v>20.9</v>
      </c>
      <c r="F38" s="54">
        <v>20.9</v>
      </c>
      <c r="G38" s="54">
        <v>0</v>
      </c>
      <c r="H38" s="54">
        <v>23.7</v>
      </c>
      <c r="I38" s="54">
        <v>23.7</v>
      </c>
      <c r="J38" s="54">
        <v>0</v>
      </c>
      <c r="K38" s="54">
        <v>75</v>
      </c>
      <c r="L38" s="51">
        <v>0.05</v>
      </c>
      <c r="M38" s="54">
        <v>0</v>
      </c>
      <c r="N38" s="51">
        <v>0.05</v>
      </c>
      <c r="O38" s="54">
        <v>0</v>
      </c>
      <c r="P38" s="54">
        <v>0</v>
      </c>
      <c r="Q38" s="54">
        <v>50.7</v>
      </c>
      <c r="R38" s="54">
        <v>0.2</v>
      </c>
      <c r="S38" s="54">
        <v>350</v>
      </c>
      <c r="T38" s="54">
        <v>650</v>
      </c>
      <c r="U38" s="54">
        <v>100</v>
      </c>
      <c r="V38" s="54">
        <v>310</v>
      </c>
      <c r="W38" s="54">
        <v>2.7</v>
      </c>
      <c r="X38" s="54">
        <v>21</v>
      </c>
      <c r="Y38" s="54">
        <v>7.0000000000000007E-2</v>
      </c>
      <c r="Z38" s="54">
        <v>3</v>
      </c>
      <c r="AA38" s="54">
        <v>1120</v>
      </c>
      <c r="AB38" s="54">
        <v>46</v>
      </c>
      <c r="AC38" s="51">
        <v>5.0000000000000001E-3</v>
      </c>
      <c r="AD38" s="54">
        <v>230</v>
      </c>
      <c r="AE38" s="54">
        <v>0.05</v>
      </c>
      <c r="AF38" s="54">
        <v>0.52</v>
      </c>
      <c r="AG38" s="51">
        <v>0.5</v>
      </c>
      <c r="AH38" s="54">
        <v>1</v>
      </c>
      <c r="AI38" s="54">
        <v>0.22</v>
      </c>
      <c r="AJ38" s="54">
        <v>102</v>
      </c>
      <c r="AK38" s="54">
        <v>0.36</v>
      </c>
      <c r="AL38" s="54">
        <v>7.6</v>
      </c>
      <c r="AM38" s="54">
        <v>1.1000000000000001</v>
      </c>
      <c r="AN38" s="54">
        <v>283</v>
      </c>
      <c r="AO38" s="54">
        <v>230</v>
      </c>
      <c r="AP38" s="54">
        <v>315</v>
      </c>
      <c r="AQ38" s="54">
        <v>0.65</v>
      </c>
      <c r="AR38" s="54">
        <v>0.18</v>
      </c>
      <c r="AS38" s="55">
        <v>2</v>
      </c>
      <c r="AT38" s="54">
        <v>14.907</v>
      </c>
      <c r="AU38" s="54">
        <v>1.589</v>
      </c>
      <c r="AV38" s="54">
        <v>0.432</v>
      </c>
      <c r="AW38" s="54">
        <v>2.6240000000000001</v>
      </c>
      <c r="AX38" s="54">
        <v>7.06</v>
      </c>
      <c r="AY38" s="54">
        <v>2.4660000000000002</v>
      </c>
      <c r="AZ38" s="62">
        <v>0</v>
      </c>
      <c r="BA38" s="62">
        <v>0</v>
      </c>
      <c r="BB38" s="54">
        <v>6.8609999999999998</v>
      </c>
      <c r="BC38" s="63">
        <v>0.379</v>
      </c>
      <c r="BD38" s="54">
        <v>0.86299999999999999</v>
      </c>
      <c r="BE38" s="54">
        <v>5.6189999999999998</v>
      </c>
      <c r="BF38" s="54">
        <v>0</v>
      </c>
      <c r="BG38" s="54">
        <v>0</v>
      </c>
      <c r="BH38" s="54">
        <v>0.70699999999999996</v>
      </c>
      <c r="BI38" s="54">
        <v>0.44</v>
      </c>
      <c r="BJ38" s="54">
        <v>0.26800000000000002</v>
      </c>
      <c r="BK38" s="54">
        <v>0</v>
      </c>
      <c r="BL38" s="54">
        <v>0</v>
      </c>
      <c r="BM38" s="54">
        <v>0</v>
      </c>
      <c r="BN38" s="54">
        <v>0</v>
      </c>
      <c r="BO38" s="56">
        <v>324</v>
      </c>
      <c r="BP38" s="56">
        <v>757</v>
      </c>
      <c r="BQ38" s="56">
        <v>1022</v>
      </c>
      <c r="BR38" s="56">
        <v>1942</v>
      </c>
      <c r="BS38" s="56">
        <v>1864</v>
      </c>
      <c r="BT38" s="56">
        <v>596</v>
      </c>
      <c r="BU38" s="56">
        <v>115</v>
      </c>
      <c r="BV38" s="56">
        <v>1166</v>
      </c>
      <c r="BW38" s="56">
        <v>1209</v>
      </c>
      <c r="BX38" s="56">
        <v>1350</v>
      </c>
      <c r="BY38" s="56">
        <v>740</v>
      </c>
      <c r="BZ38" s="56">
        <v>721</v>
      </c>
      <c r="CA38" s="56">
        <v>865</v>
      </c>
      <c r="CB38" s="56">
        <v>1360</v>
      </c>
      <c r="CC38" s="56">
        <v>4420</v>
      </c>
      <c r="CD38" s="56">
        <v>400</v>
      </c>
      <c r="CE38" s="56">
        <v>2476</v>
      </c>
      <c r="CF38" s="56">
        <v>1176</v>
      </c>
      <c r="CG38" s="54">
        <v>0</v>
      </c>
      <c r="CH38" s="54">
        <v>0</v>
      </c>
      <c r="CI38" s="54">
        <v>0</v>
      </c>
      <c r="CJ38" s="54">
        <v>0</v>
      </c>
      <c r="CK38" s="54">
        <v>0</v>
      </c>
      <c r="CL38" s="51">
        <v>0.05</v>
      </c>
    </row>
    <row r="39" spans="2:90" x14ac:dyDescent="0.35">
      <c r="B39" s="9" t="s">
        <v>297</v>
      </c>
      <c r="C39" s="54">
        <v>381</v>
      </c>
      <c r="D39" s="54">
        <v>1580</v>
      </c>
      <c r="E39" s="54">
        <v>25</v>
      </c>
      <c r="F39" s="54">
        <v>25</v>
      </c>
      <c r="G39" s="54">
        <v>0</v>
      </c>
      <c r="H39" s="54">
        <v>31</v>
      </c>
      <c r="I39" s="54">
        <v>31</v>
      </c>
      <c r="J39" s="54">
        <v>0</v>
      </c>
      <c r="K39" s="54">
        <v>90</v>
      </c>
      <c r="L39" s="54">
        <v>0.5</v>
      </c>
      <c r="M39" s="54">
        <v>0</v>
      </c>
      <c r="N39" s="54">
        <v>0.5</v>
      </c>
      <c r="O39" s="54">
        <v>0</v>
      </c>
      <c r="P39" s="54">
        <v>0</v>
      </c>
      <c r="Q39" s="54">
        <v>38.5</v>
      </c>
      <c r="R39" s="54">
        <v>0.5</v>
      </c>
      <c r="S39" s="54">
        <v>810</v>
      </c>
      <c r="T39" s="54">
        <v>610</v>
      </c>
      <c r="U39" s="54">
        <v>120</v>
      </c>
      <c r="V39" s="54">
        <v>545</v>
      </c>
      <c r="W39" s="54">
        <v>2.2999999999999998</v>
      </c>
      <c r="X39" s="54">
        <v>25</v>
      </c>
      <c r="Y39" s="54">
        <v>0.03</v>
      </c>
      <c r="Z39" s="54">
        <v>12</v>
      </c>
      <c r="AA39" s="54">
        <v>1030</v>
      </c>
      <c r="AB39" s="54">
        <v>39</v>
      </c>
      <c r="AC39" s="51">
        <v>5.0000000000000001E-3</v>
      </c>
      <c r="AD39" s="54">
        <v>230</v>
      </c>
      <c r="AE39" s="54">
        <v>0.01</v>
      </c>
      <c r="AF39" s="54">
        <v>0.45</v>
      </c>
      <c r="AG39" s="54">
        <v>0</v>
      </c>
      <c r="AH39" s="54">
        <v>0.1</v>
      </c>
      <c r="AI39" s="54">
        <v>0.1</v>
      </c>
      <c r="AJ39" s="54">
        <v>33</v>
      </c>
      <c r="AK39" s="54">
        <v>0.36</v>
      </c>
      <c r="AL39" s="54">
        <v>3</v>
      </c>
      <c r="AM39" s="54">
        <v>1.1000000000000001</v>
      </c>
      <c r="AN39" s="54">
        <v>327</v>
      </c>
      <c r="AO39" s="54">
        <v>293</v>
      </c>
      <c r="AP39" s="54">
        <v>203</v>
      </c>
      <c r="AQ39" s="54">
        <v>0.48</v>
      </c>
      <c r="AR39" s="54">
        <v>0.23</v>
      </c>
      <c r="AS39" s="55">
        <v>2.9</v>
      </c>
      <c r="AT39" s="54">
        <v>18.52</v>
      </c>
      <c r="AU39" s="54">
        <v>2.44</v>
      </c>
      <c r="AV39" s="54">
        <v>0.68</v>
      </c>
      <c r="AW39" s="54">
        <v>3.17</v>
      </c>
      <c r="AX39" s="54">
        <v>8.64</v>
      </c>
      <c r="AY39" s="54">
        <v>3.59</v>
      </c>
      <c r="AZ39" s="54">
        <v>0</v>
      </c>
      <c r="BA39" s="54">
        <v>0</v>
      </c>
      <c r="BB39" s="54">
        <v>8.52</v>
      </c>
      <c r="BC39" s="54">
        <v>0</v>
      </c>
      <c r="BD39" s="54">
        <v>0.88</v>
      </c>
      <c r="BE39" s="54">
        <v>7.64</v>
      </c>
      <c r="BF39" s="54">
        <v>0</v>
      </c>
      <c r="BG39" s="54">
        <v>0</v>
      </c>
      <c r="BH39" s="54">
        <v>0.88</v>
      </c>
      <c r="BI39" s="54">
        <v>0.5</v>
      </c>
      <c r="BJ39" s="54">
        <v>0.38</v>
      </c>
      <c r="BK39" s="54">
        <v>0</v>
      </c>
      <c r="BL39" s="54">
        <v>0</v>
      </c>
      <c r="BM39" s="54">
        <v>0</v>
      </c>
      <c r="BN39" s="54">
        <v>0</v>
      </c>
      <c r="BO39" s="56">
        <v>321</v>
      </c>
      <c r="BP39" s="56">
        <v>890</v>
      </c>
      <c r="BQ39" s="56">
        <v>1552</v>
      </c>
      <c r="BR39" s="56">
        <v>2395</v>
      </c>
      <c r="BS39" s="56">
        <v>2080</v>
      </c>
      <c r="BT39" s="56">
        <v>655</v>
      </c>
      <c r="BU39" s="56">
        <v>126</v>
      </c>
      <c r="BV39" s="56">
        <v>1316</v>
      </c>
      <c r="BW39" s="56">
        <v>1207</v>
      </c>
      <c r="BX39" s="56">
        <v>1670</v>
      </c>
      <c r="BY39" s="56">
        <v>945</v>
      </c>
      <c r="BZ39" s="56">
        <v>878</v>
      </c>
      <c r="CA39" s="56">
        <v>706</v>
      </c>
      <c r="CB39" s="56">
        <v>1606</v>
      </c>
      <c r="CC39" s="56">
        <v>6116</v>
      </c>
      <c r="CD39" s="56">
        <v>431</v>
      </c>
      <c r="CE39" s="56">
        <v>2817</v>
      </c>
      <c r="CF39" s="56">
        <v>1462</v>
      </c>
      <c r="CG39" s="54">
        <v>0</v>
      </c>
      <c r="CH39" s="54">
        <v>0</v>
      </c>
      <c r="CI39" s="54">
        <v>0</v>
      </c>
      <c r="CJ39" s="54">
        <v>0</v>
      </c>
      <c r="CK39" s="54">
        <v>0</v>
      </c>
      <c r="CL39" s="54">
        <v>0.5</v>
      </c>
    </row>
    <row r="40" spans="2:90" x14ac:dyDescent="0.35">
      <c r="B40" s="9" t="s">
        <v>278</v>
      </c>
      <c r="C40" s="54">
        <v>115</v>
      </c>
      <c r="D40" s="54">
        <v>479</v>
      </c>
      <c r="E40" s="54">
        <v>9.6999999999999993</v>
      </c>
      <c r="F40" s="54">
        <v>9.6999999999999993</v>
      </c>
      <c r="G40" s="54">
        <v>0</v>
      </c>
      <c r="H40" s="54">
        <v>7.1</v>
      </c>
      <c r="I40" s="54">
        <v>7.1</v>
      </c>
      <c r="J40" s="54">
        <v>0</v>
      </c>
      <c r="K40" s="54">
        <v>24</v>
      </c>
      <c r="L40" s="54">
        <v>3.2</v>
      </c>
      <c r="M40" s="54">
        <v>0</v>
      </c>
      <c r="N40" s="54">
        <v>3.2</v>
      </c>
      <c r="O40" s="54">
        <v>0</v>
      </c>
      <c r="P40" s="54">
        <v>0</v>
      </c>
      <c r="Q40" s="54">
        <v>78.8</v>
      </c>
      <c r="R40" s="54">
        <v>0.1</v>
      </c>
      <c r="S40" s="54">
        <v>73</v>
      </c>
      <c r="T40" s="54">
        <v>290</v>
      </c>
      <c r="U40" s="54">
        <v>89</v>
      </c>
      <c r="V40" s="54">
        <v>75</v>
      </c>
      <c r="W40" s="54">
        <v>0.6</v>
      </c>
      <c r="X40" s="54">
        <v>9</v>
      </c>
      <c r="Y40" s="54">
        <v>0.04</v>
      </c>
      <c r="Z40" s="54">
        <v>4</v>
      </c>
      <c r="AA40" s="54">
        <v>550</v>
      </c>
      <c r="AB40" s="54">
        <v>4</v>
      </c>
      <c r="AC40" s="51">
        <v>5.0000000000000001E-3</v>
      </c>
      <c r="AD40" s="54">
        <v>110</v>
      </c>
      <c r="AE40" s="54">
        <v>0.01</v>
      </c>
      <c r="AF40" s="54">
        <v>0.4</v>
      </c>
      <c r="AG40" s="54">
        <v>0</v>
      </c>
      <c r="AH40" s="54">
        <v>0.12</v>
      </c>
      <c r="AI40" s="54">
        <v>0.08</v>
      </c>
      <c r="AJ40" s="54">
        <v>27</v>
      </c>
      <c r="AK40" s="54">
        <v>0.4</v>
      </c>
      <c r="AL40" s="54">
        <v>3</v>
      </c>
      <c r="AM40" s="54">
        <v>0.7</v>
      </c>
      <c r="AN40" s="54">
        <v>83</v>
      </c>
      <c r="AO40" s="54">
        <v>80</v>
      </c>
      <c r="AP40" s="54">
        <v>18</v>
      </c>
      <c r="AQ40" s="51">
        <v>5.0000000000000001E-3</v>
      </c>
      <c r="AR40" s="54">
        <v>0.05</v>
      </c>
      <c r="AS40" s="55">
        <v>0.2</v>
      </c>
      <c r="AT40" s="54">
        <v>4.242</v>
      </c>
      <c r="AU40" s="54">
        <v>0.63900000000000001</v>
      </c>
      <c r="AV40" s="54">
        <v>0.23100000000000001</v>
      </c>
      <c r="AW40" s="54">
        <v>0.746</v>
      </c>
      <c r="AX40" s="54">
        <v>1.74</v>
      </c>
      <c r="AY40" s="54">
        <v>0.746</v>
      </c>
      <c r="AZ40" s="54">
        <v>0</v>
      </c>
      <c r="BA40" s="54">
        <v>0</v>
      </c>
      <c r="BB40" s="54">
        <v>2.254</v>
      </c>
      <c r="BC40" s="54">
        <v>8.8999999999999996E-2</v>
      </c>
      <c r="BD40" s="54">
        <v>0.17799999999999999</v>
      </c>
      <c r="BE40" s="54">
        <v>1.8640000000000001</v>
      </c>
      <c r="BF40" s="54">
        <v>0</v>
      </c>
      <c r="BG40" s="54">
        <v>0</v>
      </c>
      <c r="BH40" s="54">
        <v>0.19500000000000001</v>
      </c>
      <c r="BI40" s="54">
        <v>8.8999999999999996E-2</v>
      </c>
      <c r="BJ40" s="54">
        <v>0.107</v>
      </c>
      <c r="BK40" s="54">
        <v>0</v>
      </c>
      <c r="BL40" s="54">
        <v>0</v>
      </c>
      <c r="BM40" s="54">
        <v>0</v>
      </c>
      <c r="BN40" s="54">
        <v>0</v>
      </c>
      <c r="BO40" s="66">
        <v>108</v>
      </c>
      <c r="BP40" s="56">
        <v>397</v>
      </c>
      <c r="BQ40" s="56">
        <v>488</v>
      </c>
      <c r="BR40" s="56">
        <v>978</v>
      </c>
      <c r="BS40" s="56">
        <v>736</v>
      </c>
      <c r="BT40" s="56">
        <v>242</v>
      </c>
      <c r="BU40" s="56">
        <v>84</v>
      </c>
      <c r="BV40" s="56">
        <v>499</v>
      </c>
      <c r="BW40" s="56">
        <v>487</v>
      </c>
      <c r="BX40" s="56">
        <v>642</v>
      </c>
      <c r="BY40" s="56">
        <v>348</v>
      </c>
      <c r="BZ40" s="56">
        <v>309</v>
      </c>
      <c r="CA40" s="56">
        <v>293</v>
      </c>
      <c r="CB40" s="56">
        <v>700</v>
      </c>
      <c r="CC40" s="56">
        <v>1610</v>
      </c>
      <c r="CD40" s="56">
        <v>194</v>
      </c>
      <c r="CE40" s="56">
        <v>800</v>
      </c>
      <c r="CF40" s="56">
        <v>517</v>
      </c>
      <c r="CG40" s="54">
        <v>0</v>
      </c>
      <c r="CH40" s="54">
        <v>0</v>
      </c>
      <c r="CI40" s="54">
        <v>0</v>
      </c>
      <c r="CJ40" s="54">
        <v>0</v>
      </c>
      <c r="CK40" s="54">
        <v>0</v>
      </c>
      <c r="CL40" s="54">
        <v>3.2</v>
      </c>
    </row>
    <row r="41" spans="2:90" x14ac:dyDescent="0.35">
      <c r="B41" s="9" t="s">
        <v>276</v>
      </c>
      <c r="C41" s="54">
        <v>281</v>
      </c>
      <c r="D41" s="54">
        <v>1166</v>
      </c>
      <c r="E41" s="54">
        <v>16.100000000000001</v>
      </c>
      <c r="F41" s="54">
        <v>16.100000000000001</v>
      </c>
      <c r="G41" s="54">
        <v>0</v>
      </c>
      <c r="H41" s="54">
        <v>23.3</v>
      </c>
      <c r="I41" s="54">
        <v>23.3</v>
      </c>
      <c r="J41" s="54">
        <v>0</v>
      </c>
      <c r="K41" s="54">
        <v>53</v>
      </c>
      <c r="L41" s="54">
        <v>1.9</v>
      </c>
      <c r="M41" s="54">
        <v>0</v>
      </c>
      <c r="N41" s="54">
        <v>1.9</v>
      </c>
      <c r="O41" s="54">
        <v>0</v>
      </c>
      <c r="P41" s="54">
        <v>0</v>
      </c>
      <c r="Q41" s="54">
        <v>58.3</v>
      </c>
      <c r="R41" s="54">
        <v>0.1</v>
      </c>
      <c r="S41" s="54">
        <v>557</v>
      </c>
      <c r="T41" s="54">
        <v>350</v>
      </c>
      <c r="U41" s="54">
        <v>110</v>
      </c>
      <c r="V41" s="54">
        <v>285</v>
      </c>
      <c r="W41" s="54">
        <v>2.33</v>
      </c>
      <c r="X41" s="54">
        <v>20</v>
      </c>
      <c r="Y41" s="54">
        <v>0.54</v>
      </c>
      <c r="Z41" s="54">
        <v>6.4</v>
      </c>
      <c r="AA41" s="54">
        <v>820</v>
      </c>
      <c r="AB41" s="54">
        <v>29</v>
      </c>
      <c r="AC41" s="51">
        <v>5.0000000000000001E-3</v>
      </c>
      <c r="AD41" s="54">
        <v>110</v>
      </c>
      <c r="AE41" s="54">
        <v>0.05</v>
      </c>
      <c r="AF41" s="54">
        <v>0.36</v>
      </c>
      <c r="AG41" s="51">
        <v>0.5</v>
      </c>
      <c r="AH41" s="54">
        <v>0.12</v>
      </c>
      <c r="AI41" s="54">
        <v>0.08</v>
      </c>
      <c r="AJ41" s="54">
        <v>19</v>
      </c>
      <c r="AK41" s="54">
        <v>0.51</v>
      </c>
      <c r="AL41" s="54">
        <v>3.6</v>
      </c>
      <c r="AM41" s="54">
        <v>0.6</v>
      </c>
      <c r="AN41" s="54">
        <v>135</v>
      </c>
      <c r="AO41" s="54">
        <v>127</v>
      </c>
      <c r="AP41" s="54">
        <v>48</v>
      </c>
      <c r="AQ41" s="54">
        <v>0.24</v>
      </c>
      <c r="AR41" s="54">
        <v>0.45</v>
      </c>
      <c r="AS41" s="55">
        <v>2.2999999999999998</v>
      </c>
      <c r="AT41" s="54">
        <v>13.656000000000001</v>
      </c>
      <c r="AU41" s="54">
        <v>2.0710000000000002</v>
      </c>
      <c r="AV41" s="54">
        <v>0.71199999999999997</v>
      </c>
      <c r="AW41" s="54">
        <v>2.395</v>
      </c>
      <c r="AX41" s="54">
        <v>5.9539999999999997</v>
      </c>
      <c r="AY41" s="54">
        <v>2.524</v>
      </c>
      <c r="AZ41" s="54">
        <v>0</v>
      </c>
      <c r="BA41" s="54">
        <v>0</v>
      </c>
      <c r="BB41" s="54">
        <v>7.1189999999999998</v>
      </c>
      <c r="BC41" s="54">
        <v>0.45300000000000001</v>
      </c>
      <c r="BD41" s="54">
        <v>0.64700000000000002</v>
      </c>
      <c r="BE41" s="54">
        <v>6.0190000000000001</v>
      </c>
      <c r="BF41" s="54">
        <v>0</v>
      </c>
      <c r="BG41" s="54">
        <v>0</v>
      </c>
      <c r="BH41" s="54">
        <v>0.77700000000000002</v>
      </c>
      <c r="BI41" s="54">
        <v>0.45300000000000001</v>
      </c>
      <c r="BJ41" s="54">
        <v>0.32400000000000001</v>
      </c>
      <c r="BK41" s="54">
        <v>0</v>
      </c>
      <c r="BL41" s="54">
        <v>0</v>
      </c>
      <c r="BM41" s="54">
        <v>0</v>
      </c>
      <c r="BN41" s="54">
        <v>0</v>
      </c>
      <c r="BO41" s="56">
        <v>220</v>
      </c>
      <c r="BP41" s="56">
        <v>530</v>
      </c>
      <c r="BQ41" s="56">
        <v>630</v>
      </c>
      <c r="BR41" s="56">
        <v>1250</v>
      </c>
      <c r="BS41" s="56">
        <v>1010</v>
      </c>
      <c r="BT41" s="56">
        <v>400</v>
      </c>
      <c r="BU41" s="56">
        <v>100</v>
      </c>
      <c r="BV41" s="56">
        <v>680</v>
      </c>
      <c r="BW41" s="56">
        <v>760</v>
      </c>
      <c r="BX41" s="56">
        <v>820</v>
      </c>
      <c r="BY41" s="56">
        <v>450</v>
      </c>
      <c r="BZ41" s="56">
        <v>360</v>
      </c>
      <c r="CA41" s="56">
        <v>430</v>
      </c>
      <c r="CB41" s="56">
        <v>1020</v>
      </c>
      <c r="CC41" s="56">
        <v>2630</v>
      </c>
      <c r="CD41" s="56">
        <v>250</v>
      </c>
      <c r="CE41" s="56">
        <v>1480</v>
      </c>
      <c r="CF41" s="56">
        <v>770</v>
      </c>
      <c r="CG41" s="54">
        <v>0</v>
      </c>
      <c r="CH41" s="54">
        <v>0</v>
      </c>
      <c r="CI41" s="54">
        <v>0</v>
      </c>
      <c r="CJ41" s="54">
        <v>0</v>
      </c>
      <c r="CK41" s="54">
        <v>0</v>
      </c>
      <c r="CL41" s="54">
        <v>1.9</v>
      </c>
    </row>
    <row r="42" spans="2:90" x14ac:dyDescent="0.35">
      <c r="B42" s="9" t="s">
        <v>298</v>
      </c>
      <c r="C42" s="54">
        <v>266</v>
      </c>
      <c r="D42" s="54">
        <v>1105</v>
      </c>
      <c r="E42" s="54">
        <v>19.100000000000001</v>
      </c>
      <c r="F42" s="54">
        <v>19.100000000000001</v>
      </c>
      <c r="G42" s="54">
        <v>0</v>
      </c>
      <c r="H42" s="54">
        <v>20</v>
      </c>
      <c r="I42" s="54">
        <v>20</v>
      </c>
      <c r="J42" s="54">
        <v>0</v>
      </c>
      <c r="K42" s="54">
        <v>90</v>
      </c>
      <c r="L42" s="54">
        <v>2.5</v>
      </c>
      <c r="M42" s="54">
        <v>0</v>
      </c>
      <c r="N42" s="54">
        <v>2.5</v>
      </c>
      <c r="O42" s="54">
        <v>0</v>
      </c>
      <c r="P42" s="54">
        <v>0</v>
      </c>
      <c r="Q42" s="54">
        <v>52.5</v>
      </c>
      <c r="R42" s="54">
        <v>0.3</v>
      </c>
      <c r="S42" s="54">
        <v>360</v>
      </c>
      <c r="T42" s="54">
        <v>770</v>
      </c>
      <c r="U42" s="54">
        <v>93</v>
      </c>
      <c r="V42" s="54">
        <v>300</v>
      </c>
      <c r="W42" s="54">
        <v>1</v>
      </c>
      <c r="X42" s="54">
        <v>16</v>
      </c>
      <c r="Y42" s="51">
        <v>5.0000000000000001E-3</v>
      </c>
      <c r="Z42" s="54">
        <v>9</v>
      </c>
      <c r="AA42" s="54">
        <v>1310</v>
      </c>
      <c r="AB42" s="54">
        <v>46</v>
      </c>
      <c r="AC42" s="51">
        <v>5.0000000000000001E-3</v>
      </c>
      <c r="AD42" s="54">
        <v>230</v>
      </c>
      <c r="AE42" s="54">
        <v>0.03</v>
      </c>
      <c r="AF42" s="54">
        <v>0.3</v>
      </c>
      <c r="AG42" s="51">
        <v>0.5</v>
      </c>
      <c r="AH42" s="54">
        <v>0.1</v>
      </c>
      <c r="AI42" s="54">
        <v>7.0000000000000007E-2</v>
      </c>
      <c r="AJ42" s="54">
        <v>52</v>
      </c>
      <c r="AK42" s="54">
        <v>0.23</v>
      </c>
      <c r="AL42" s="54">
        <v>2.9</v>
      </c>
      <c r="AM42" s="54">
        <v>1.3</v>
      </c>
      <c r="AN42" s="54">
        <v>343</v>
      </c>
      <c r="AO42" s="54">
        <v>315</v>
      </c>
      <c r="AP42" s="54">
        <v>165</v>
      </c>
      <c r="AQ42" s="54">
        <v>0.54</v>
      </c>
      <c r="AR42" s="54">
        <v>0.24</v>
      </c>
      <c r="AS42" s="55">
        <v>2.4</v>
      </c>
      <c r="AT42" s="54">
        <v>9.6679999999999993</v>
      </c>
      <c r="AU42" s="54">
        <v>1.41</v>
      </c>
      <c r="AV42" s="54">
        <v>0.435</v>
      </c>
      <c r="AW42" s="54">
        <v>1.498</v>
      </c>
      <c r="AX42" s="54">
        <v>4.1619999999999999</v>
      </c>
      <c r="AY42" s="54">
        <v>2.1619999999999999</v>
      </c>
      <c r="AZ42" s="54">
        <v>0</v>
      </c>
      <c r="BA42" s="54">
        <v>0</v>
      </c>
      <c r="BB42" s="54">
        <v>5.24</v>
      </c>
      <c r="BC42" s="54">
        <v>0</v>
      </c>
      <c r="BD42" s="54">
        <v>0.54600000000000004</v>
      </c>
      <c r="BE42" s="54">
        <v>4.694</v>
      </c>
      <c r="BF42" s="54">
        <v>0</v>
      </c>
      <c r="BG42" s="54">
        <v>0</v>
      </c>
      <c r="BH42" s="54">
        <v>0.53900000000000003</v>
      </c>
      <c r="BI42" s="54">
        <v>0.33200000000000002</v>
      </c>
      <c r="BJ42" s="54">
        <v>0.20699999999999999</v>
      </c>
      <c r="BK42" s="54">
        <v>0</v>
      </c>
      <c r="BL42" s="54">
        <v>0</v>
      </c>
      <c r="BM42" s="54">
        <v>0</v>
      </c>
      <c r="BN42" s="54">
        <v>0</v>
      </c>
      <c r="BO42" s="56">
        <v>210</v>
      </c>
      <c r="BP42" s="56">
        <v>710</v>
      </c>
      <c r="BQ42" s="56">
        <v>900</v>
      </c>
      <c r="BR42" s="56">
        <v>1530</v>
      </c>
      <c r="BS42" s="56">
        <v>1390</v>
      </c>
      <c r="BT42" s="56">
        <v>600</v>
      </c>
      <c r="BU42" s="56">
        <v>140</v>
      </c>
      <c r="BV42" s="56">
        <v>920</v>
      </c>
      <c r="BW42" s="56">
        <v>1030</v>
      </c>
      <c r="BX42" s="56">
        <v>1060</v>
      </c>
      <c r="BY42" s="56">
        <v>530</v>
      </c>
      <c r="BZ42" s="56">
        <v>490</v>
      </c>
      <c r="CA42" s="56">
        <v>600</v>
      </c>
      <c r="CB42" s="56">
        <v>1390</v>
      </c>
      <c r="CC42" s="56">
        <v>3160</v>
      </c>
      <c r="CD42" s="56">
        <v>360</v>
      </c>
      <c r="CE42" s="56">
        <v>1800</v>
      </c>
      <c r="CF42" s="56">
        <v>930</v>
      </c>
      <c r="CG42" s="54">
        <v>0</v>
      </c>
      <c r="CH42" s="54">
        <v>0</v>
      </c>
      <c r="CI42" s="54">
        <v>0</v>
      </c>
      <c r="CJ42" s="54">
        <v>0</v>
      </c>
      <c r="CK42" s="54">
        <v>0</v>
      </c>
      <c r="CL42" s="54">
        <v>2.5</v>
      </c>
    </row>
    <row r="43" spans="2:90" x14ac:dyDescent="0.35">
      <c r="B43" s="9" t="s">
        <v>277</v>
      </c>
      <c r="C43" s="54">
        <v>345</v>
      </c>
      <c r="D43" s="54">
        <v>1434</v>
      </c>
      <c r="E43" s="54">
        <v>29</v>
      </c>
      <c r="F43" s="54">
        <v>29</v>
      </c>
      <c r="G43" s="54">
        <v>0</v>
      </c>
      <c r="H43" s="54">
        <v>25</v>
      </c>
      <c r="I43" s="54">
        <v>25</v>
      </c>
      <c r="J43" s="54">
        <v>0</v>
      </c>
      <c r="K43" s="54">
        <v>102</v>
      </c>
      <c r="L43" s="54">
        <v>1</v>
      </c>
      <c r="M43" s="54">
        <v>0</v>
      </c>
      <c r="N43" s="54">
        <v>1</v>
      </c>
      <c r="O43" s="54">
        <v>0</v>
      </c>
      <c r="P43" s="54">
        <v>0</v>
      </c>
      <c r="Q43" s="54">
        <v>42</v>
      </c>
      <c r="R43" s="54">
        <v>0.5</v>
      </c>
      <c r="S43" s="54">
        <v>750</v>
      </c>
      <c r="T43" s="54">
        <v>1250</v>
      </c>
      <c r="U43" s="54">
        <v>100</v>
      </c>
      <c r="V43" s="54">
        <v>430</v>
      </c>
      <c r="W43" s="54">
        <v>2.2000000000000002</v>
      </c>
      <c r="X43" s="54">
        <v>39</v>
      </c>
      <c r="Y43" s="54">
        <v>0.05</v>
      </c>
      <c r="Z43" s="54">
        <v>4</v>
      </c>
      <c r="AA43" s="54">
        <v>1570</v>
      </c>
      <c r="AB43" s="54">
        <v>5</v>
      </c>
      <c r="AC43" s="51">
        <v>5.0000000000000001E-3</v>
      </c>
      <c r="AD43" s="54">
        <v>230</v>
      </c>
      <c r="AE43" s="54">
        <v>0.03</v>
      </c>
      <c r="AF43" s="54">
        <v>0.2</v>
      </c>
      <c r="AG43" s="54">
        <v>1</v>
      </c>
      <c r="AH43" s="54">
        <v>0.1</v>
      </c>
      <c r="AI43" s="54">
        <v>0.09</v>
      </c>
      <c r="AJ43" s="54">
        <v>40</v>
      </c>
      <c r="AK43" s="54">
        <v>0.38</v>
      </c>
      <c r="AL43" s="54">
        <v>1.8</v>
      </c>
      <c r="AM43" s="54">
        <v>2.1</v>
      </c>
      <c r="AN43" s="54">
        <v>317</v>
      </c>
      <c r="AO43" s="54">
        <v>290</v>
      </c>
      <c r="AP43" s="54">
        <v>160</v>
      </c>
      <c r="AQ43" s="54">
        <v>0.48</v>
      </c>
      <c r="AR43" s="54">
        <v>0.19</v>
      </c>
      <c r="AS43" s="55">
        <v>2.2999999999999998</v>
      </c>
      <c r="AT43" s="54">
        <v>15.802</v>
      </c>
      <c r="AU43" s="54">
        <v>2.113</v>
      </c>
      <c r="AV43" s="54">
        <v>0.44600000000000001</v>
      </c>
      <c r="AW43" s="54">
        <v>2.6469999999999998</v>
      </c>
      <c r="AX43" s="54">
        <v>7.2539999999999996</v>
      </c>
      <c r="AY43" s="54">
        <v>2.6829999999999998</v>
      </c>
      <c r="AZ43" s="62">
        <v>0</v>
      </c>
      <c r="BA43" s="62">
        <v>0</v>
      </c>
      <c r="BB43" s="54">
        <v>7.3070000000000004</v>
      </c>
      <c r="BC43" s="63">
        <v>0.36099999999999999</v>
      </c>
      <c r="BD43" s="54">
        <v>0.73099999999999998</v>
      </c>
      <c r="BE43" s="54">
        <v>6.2149999999999999</v>
      </c>
      <c r="BF43" s="54">
        <v>0</v>
      </c>
      <c r="BG43" s="54">
        <v>0</v>
      </c>
      <c r="BH43" s="54">
        <v>0.59799999999999998</v>
      </c>
      <c r="BI43" s="54">
        <v>0.376</v>
      </c>
      <c r="BJ43" s="54">
        <v>0.222</v>
      </c>
      <c r="BK43" s="54">
        <v>0</v>
      </c>
      <c r="BL43" s="54">
        <v>0</v>
      </c>
      <c r="BM43" s="54">
        <v>0</v>
      </c>
      <c r="BN43" s="54">
        <v>0</v>
      </c>
      <c r="BO43" s="56">
        <v>408</v>
      </c>
      <c r="BP43" s="56">
        <v>1081</v>
      </c>
      <c r="BQ43" s="56">
        <v>1517</v>
      </c>
      <c r="BR43" s="56">
        <v>2981</v>
      </c>
      <c r="BS43" s="56">
        <v>3086</v>
      </c>
      <c r="BT43" s="56">
        <v>836</v>
      </c>
      <c r="BU43" s="56">
        <v>296</v>
      </c>
      <c r="BV43" s="56">
        <v>1663</v>
      </c>
      <c r="BW43" s="56">
        <v>1690</v>
      </c>
      <c r="BX43" s="56">
        <v>2100</v>
      </c>
      <c r="BY43" s="56">
        <v>1118</v>
      </c>
      <c r="BZ43" s="56">
        <v>1199</v>
      </c>
      <c r="CA43" s="56">
        <v>886</v>
      </c>
      <c r="CB43" s="56">
        <v>2027</v>
      </c>
      <c r="CC43" s="56">
        <v>7134</v>
      </c>
      <c r="CD43" s="56">
        <v>564</v>
      </c>
      <c r="CE43" s="56">
        <v>3771</v>
      </c>
      <c r="CF43" s="56">
        <v>1795</v>
      </c>
      <c r="CG43" s="54">
        <v>0</v>
      </c>
      <c r="CH43" s="54">
        <v>0</v>
      </c>
      <c r="CI43" s="54">
        <v>0</v>
      </c>
      <c r="CJ43" s="54">
        <v>0</v>
      </c>
      <c r="CK43" s="54">
        <v>0</v>
      </c>
      <c r="CL43" s="54">
        <v>1</v>
      </c>
    </row>
    <row r="44" spans="2:90" x14ac:dyDescent="0.35">
      <c r="B44" s="9" t="s">
        <v>318</v>
      </c>
      <c r="C44" s="54">
        <v>306</v>
      </c>
      <c r="D44" s="54">
        <v>1272</v>
      </c>
      <c r="E44" s="54">
        <v>26</v>
      </c>
      <c r="F44" s="54">
        <v>26</v>
      </c>
      <c r="G44" s="54">
        <v>0</v>
      </c>
      <c r="H44" s="54">
        <v>22</v>
      </c>
      <c r="I44" s="54">
        <v>22</v>
      </c>
      <c r="J44" s="54">
        <v>0</v>
      </c>
      <c r="K44" s="54">
        <v>102</v>
      </c>
      <c r="L44" s="54">
        <v>1</v>
      </c>
      <c r="M44" s="54">
        <v>0</v>
      </c>
      <c r="N44" s="54">
        <v>1</v>
      </c>
      <c r="O44" s="54">
        <v>0</v>
      </c>
      <c r="P44" s="54">
        <v>0</v>
      </c>
      <c r="Q44" s="54">
        <v>48</v>
      </c>
      <c r="R44" s="54">
        <v>0.5</v>
      </c>
      <c r="S44" s="54">
        <v>675</v>
      </c>
      <c r="T44" s="54">
        <v>1250</v>
      </c>
      <c r="U44" s="54">
        <v>100</v>
      </c>
      <c r="V44" s="54">
        <v>387</v>
      </c>
      <c r="W44" s="54">
        <v>2.2000000000000002</v>
      </c>
      <c r="X44" s="54">
        <v>39</v>
      </c>
      <c r="Y44" s="54">
        <v>0.05</v>
      </c>
      <c r="Z44" s="54">
        <v>4</v>
      </c>
      <c r="AA44" s="54">
        <v>1570</v>
      </c>
      <c r="AB44" s="54">
        <v>5</v>
      </c>
      <c r="AC44" s="51">
        <v>5.0000000000000001E-3</v>
      </c>
      <c r="AD44" s="54">
        <v>230</v>
      </c>
      <c r="AE44" s="54">
        <v>0.03</v>
      </c>
      <c r="AF44" s="54">
        <v>0.2</v>
      </c>
      <c r="AG44" s="54">
        <v>1</v>
      </c>
      <c r="AH44" s="54">
        <v>0.1</v>
      </c>
      <c r="AI44" s="54">
        <v>0.09</v>
      </c>
      <c r="AJ44" s="54">
        <v>40</v>
      </c>
      <c r="AK44" s="54">
        <v>0.38</v>
      </c>
      <c r="AL44" s="54">
        <v>1.8</v>
      </c>
      <c r="AM44" s="54">
        <v>2.1</v>
      </c>
      <c r="AN44" s="54">
        <v>283</v>
      </c>
      <c r="AO44" s="54">
        <v>260</v>
      </c>
      <c r="AP44" s="54">
        <v>140</v>
      </c>
      <c r="AQ44" s="54">
        <v>0.42</v>
      </c>
      <c r="AR44" s="54">
        <v>0.16</v>
      </c>
      <c r="AS44" s="55">
        <v>2.2999999999999998</v>
      </c>
      <c r="AT44" s="54">
        <v>13.141999999999999</v>
      </c>
      <c r="AU44" s="54">
        <v>1.9119999999999999</v>
      </c>
      <c r="AV44" s="54">
        <v>0.73</v>
      </c>
      <c r="AW44" s="54">
        <v>2.3250000000000002</v>
      </c>
      <c r="AX44" s="54">
        <v>5.4089999999999998</v>
      </c>
      <c r="AY44" s="54">
        <v>2.3250000000000002</v>
      </c>
      <c r="AZ44" s="65">
        <v>0</v>
      </c>
      <c r="BA44" s="65">
        <v>0</v>
      </c>
      <c r="BB44" s="54">
        <v>7.0030000000000001</v>
      </c>
      <c r="BC44" s="54">
        <v>0.28799999999999998</v>
      </c>
      <c r="BD44" s="54">
        <v>0.55700000000000005</v>
      </c>
      <c r="BE44" s="54">
        <v>5.7830000000000004</v>
      </c>
      <c r="BF44" s="54">
        <v>0</v>
      </c>
      <c r="BG44" s="54">
        <v>0</v>
      </c>
      <c r="BH44" s="54">
        <v>0.59599999999999997</v>
      </c>
      <c r="BI44" s="54">
        <v>0.28799999999999998</v>
      </c>
      <c r="BJ44" s="54">
        <v>0.307</v>
      </c>
      <c r="BK44" s="54">
        <v>0</v>
      </c>
      <c r="BL44" s="54">
        <v>0</v>
      </c>
      <c r="BM44" s="54">
        <v>0</v>
      </c>
      <c r="BN44" s="54">
        <v>0</v>
      </c>
      <c r="BO44" s="56">
        <v>362</v>
      </c>
      <c r="BP44" s="56">
        <v>1257</v>
      </c>
      <c r="BQ44" s="56">
        <v>1428</v>
      </c>
      <c r="BR44" s="56">
        <v>2611</v>
      </c>
      <c r="BS44" s="56">
        <v>2078</v>
      </c>
      <c r="BT44" s="56">
        <v>735</v>
      </c>
      <c r="BU44" s="56">
        <v>245</v>
      </c>
      <c r="BV44" s="56">
        <v>1385</v>
      </c>
      <c r="BW44" s="56">
        <v>1140</v>
      </c>
      <c r="BX44" s="56">
        <v>1875</v>
      </c>
      <c r="BY44" s="56">
        <v>1023</v>
      </c>
      <c r="BZ44" s="56">
        <v>778</v>
      </c>
      <c r="CA44" s="56">
        <v>980</v>
      </c>
      <c r="CB44" s="56">
        <v>2163</v>
      </c>
      <c r="CC44" s="56">
        <v>5861</v>
      </c>
      <c r="CD44" s="56">
        <v>575</v>
      </c>
      <c r="CE44" s="56">
        <v>2398</v>
      </c>
      <c r="CF44" s="56">
        <v>1502</v>
      </c>
      <c r="CG44" s="54">
        <v>0</v>
      </c>
      <c r="CH44" s="54">
        <v>0</v>
      </c>
      <c r="CI44" s="54">
        <v>0</v>
      </c>
      <c r="CJ44" s="54">
        <v>0</v>
      </c>
      <c r="CK44" s="54">
        <v>0</v>
      </c>
      <c r="CL44" s="54">
        <v>1</v>
      </c>
    </row>
    <row r="45" spans="2:90" x14ac:dyDescent="0.35">
      <c r="B45" s="9" t="s">
        <v>299</v>
      </c>
      <c r="C45" s="54">
        <v>403</v>
      </c>
      <c r="D45" s="54">
        <v>1674</v>
      </c>
      <c r="E45" s="54">
        <v>28.5</v>
      </c>
      <c r="F45" s="54">
        <v>28.5</v>
      </c>
      <c r="G45" s="54">
        <v>0</v>
      </c>
      <c r="H45" s="54">
        <v>30.6</v>
      </c>
      <c r="I45" s="54">
        <v>30.6</v>
      </c>
      <c r="J45" s="54">
        <v>0</v>
      </c>
      <c r="K45" s="54">
        <v>100</v>
      </c>
      <c r="L45" s="54">
        <v>3.6</v>
      </c>
      <c r="M45" s="54">
        <v>0</v>
      </c>
      <c r="N45" s="54">
        <v>3.6</v>
      </c>
      <c r="O45" s="54">
        <v>0</v>
      </c>
      <c r="P45" s="54">
        <v>0</v>
      </c>
      <c r="Q45" s="54">
        <v>34.6</v>
      </c>
      <c r="R45" s="54">
        <v>0.3</v>
      </c>
      <c r="S45" s="54">
        <v>1145</v>
      </c>
      <c r="T45" s="54">
        <v>450</v>
      </c>
      <c r="U45" s="54">
        <v>107</v>
      </c>
      <c r="V45" s="54">
        <v>700</v>
      </c>
      <c r="W45" s="54">
        <v>5</v>
      </c>
      <c r="X45" s="54">
        <v>35</v>
      </c>
      <c r="Y45" s="54">
        <v>1.46</v>
      </c>
      <c r="Z45" s="54">
        <v>7</v>
      </c>
      <c r="AA45" s="54">
        <v>690</v>
      </c>
      <c r="AB45" s="54">
        <v>39</v>
      </c>
      <c r="AC45" s="51">
        <v>5.0000000000000001E-3</v>
      </c>
      <c r="AD45" s="54">
        <v>200</v>
      </c>
      <c r="AE45" s="54">
        <v>0.01</v>
      </c>
      <c r="AF45" s="54">
        <v>0.45</v>
      </c>
      <c r="AG45" s="54">
        <v>1</v>
      </c>
      <c r="AH45" s="54">
        <v>0.1</v>
      </c>
      <c r="AI45" s="54">
        <v>0.09</v>
      </c>
      <c r="AJ45" s="54">
        <v>20</v>
      </c>
      <c r="AK45" s="54">
        <v>0.4</v>
      </c>
      <c r="AL45" s="54">
        <v>3</v>
      </c>
      <c r="AM45" s="54">
        <v>2</v>
      </c>
      <c r="AN45" s="54">
        <v>136</v>
      </c>
      <c r="AO45" s="54">
        <v>124</v>
      </c>
      <c r="AP45" s="54">
        <v>70</v>
      </c>
      <c r="AQ45" s="54">
        <v>0.44</v>
      </c>
      <c r="AR45" s="54">
        <v>1.1000000000000001</v>
      </c>
      <c r="AS45" s="54">
        <v>6.59</v>
      </c>
      <c r="AT45" s="54">
        <v>17.829999999999998</v>
      </c>
      <c r="AU45" s="54">
        <v>2.56</v>
      </c>
      <c r="AV45" s="54">
        <v>0.96599999999999997</v>
      </c>
      <c r="AW45" s="54">
        <v>3.5990000000000002</v>
      </c>
      <c r="AX45" s="54">
        <v>8.17</v>
      </c>
      <c r="AY45" s="54">
        <v>2.54</v>
      </c>
      <c r="AZ45" s="62">
        <v>0</v>
      </c>
      <c r="BA45" s="62">
        <v>0</v>
      </c>
      <c r="BB45" s="54">
        <v>6.14</v>
      </c>
      <c r="BC45" s="63">
        <v>0</v>
      </c>
      <c r="BD45" s="54">
        <v>0.81399999999999995</v>
      </c>
      <c r="BE45" s="54">
        <v>5.3259999999999996</v>
      </c>
      <c r="BF45" s="62">
        <v>0</v>
      </c>
      <c r="BG45" s="62">
        <v>0</v>
      </c>
      <c r="BH45" s="54">
        <v>0.83399999999999996</v>
      </c>
      <c r="BI45" s="54">
        <v>0.5</v>
      </c>
      <c r="BJ45" s="54">
        <v>0.30399999999999999</v>
      </c>
      <c r="BK45" s="54">
        <v>2.7E-2</v>
      </c>
      <c r="BL45" s="62">
        <v>0</v>
      </c>
      <c r="BM45" s="62">
        <v>0</v>
      </c>
      <c r="BN45" s="54">
        <v>0</v>
      </c>
      <c r="BO45" s="56">
        <v>454</v>
      </c>
      <c r="BP45" s="56">
        <v>1104</v>
      </c>
      <c r="BQ45" s="56">
        <v>1473</v>
      </c>
      <c r="BR45" s="56">
        <v>2687</v>
      </c>
      <c r="BS45" s="56">
        <v>2435</v>
      </c>
      <c r="BT45" s="56">
        <v>818</v>
      </c>
      <c r="BU45" s="56">
        <v>187</v>
      </c>
      <c r="BV45" s="56">
        <v>1539</v>
      </c>
      <c r="BW45" s="56">
        <v>1675</v>
      </c>
      <c r="BX45" s="56">
        <v>1926</v>
      </c>
      <c r="BY45" s="56">
        <v>966</v>
      </c>
      <c r="BZ45" s="56">
        <v>919</v>
      </c>
      <c r="CA45" s="56">
        <v>869</v>
      </c>
      <c r="CB45" s="56">
        <v>2043</v>
      </c>
      <c r="CC45" s="56">
        <v>5981</v>
      </c>
      <c r="CD45" s="56">
        <v>541</v>
      </c>
      <c r="CE45" s="56">
        <v>3620</v>
      </c>
      <c r="CF45" s="56">
        <v>1725</v>
      </c>
      <c r="CG45" s="54">
        <v>0</v>
      </c>
      <c r="CH45" s="54">
        <v>0</v>
      </c>
      <c r="CI45" s="54">
        <v>0</v>
      </c>
      <c r="CJ45" s="54">
        <v>0</v>
      </c>
      <c r="CK45" s="54">
        <v>0</v>
      </c>
      <c r="CL45" s="54">
        <v>3.6</v>
      </c>
    </row>
    <row r="46" spans="2:90" x14ac:dyDescent="0.35">
      <c r="B46" s="9" t="s">
        <v>228</v>
      </c>
      <c r="C46" s="54">
        <v>250</v>
      </c>
      <c r="D46" s="54">
        <v>1037</v>
      </c>
      <c r="E46" s="54">
        <v>15.6</v>
      </c>
      <c r="F46" s="54">
        <v>15.6</v>
      </c>
      <c r="G46" s="54">
        <v>0</v>
      </c>
      <c r="H46" s="54">
        <v>20.2</v>
      </c>
      <c r="I46" s="54">
        <v>20.2</v>
      </c>
      <c r="J46" s="54">
        <v>0</v>
      </c>
      <c r="K46" s="54">
        <v>70</v>
      </c>
      <c r="L46" s="54">
        <v>1.5</v>
      </c>
      <c r="M46" s="54">
        <v>0</v>
      </c>
      <c r="N46" s="54">
        <v>1.5</v>
      </c>
      <c r="O46" s="54">
        <v>0</v>
      </c>
      <c r="P46" s="54">
        <v>0</v>
      </c>
      <c r="Q46" s="54">
        <v>56.5</v>
      </c>
      <c r="R46" s="54">
        <v>0.2</v>
      </c>
      <c r="S46" s="54">
        <v>360</v>
      </c>
      <c r="T46" s="54">
        <v>1440</v>
      </c>
      <c r="U46" s="54">
        <v>95</v>
      </c>
      <c r="V46" s="54">
        <v>280</v>
      </c>
      <c r="W46" s="54">
        <v>0.9</v>
      </c>
      <c r="X46" s="54">
        <v>20</v>
      </c>
      <c r="Y46" s="54">
        <v>7.0000000000000007E-2</v>
      </c>
      <c r="Z46" s="54">
        <v>15</v>
      </c>
      <c r="AA46" s="54">
        <v>2350</v>
      </c>
      <c r="AB46" s="54">
        <v>29</v>
      </c>
      <c r="AC46" s="51">
        <v>5.0000000000000001E-3</v>
      </c>
      <c r="AD46" s="54">
        <v>200</v>
      </c>
      <c r="AE46" s="54">
        <v>0.04</v>
      </c>
      <c r="AF46" s="54">
        <v>0.21</v>
      </c>
      <c r="AG46" s="51">
        <v>0.5</v>
      </c>
      <c r="AH46" s="54">
        <v>0.2</v>
      </c>
      <c r="AI46" s="54">
        <v>7.0000000000000007E-2</v>
      </c>
      <c r="AJ46" s="54">
        <v>23</v>
      </c>
      <c r="AK46" s="54">
        <v>0.36</v>
      </c>
      <c r="AL46" s="54">
        <v>2.4</v>
      </c>
      <c r="AM46" s="54">
        <v>1.1000000000000001</v>
      </c>
      <c r="AN46" s="54">
        <v>226</v>
      </c>
      <c r="AO46" s="54">
        <v>220</v>
      </c>
      <c r="AP46" s="54">
        <v>33</v>
      </c>
      <c r="AQ46" s="54">
        <v>0.37</v>
      </c>
      <c r="AR46" s="54">
        <v>0.5</v>
      </c>
      <c r="AS46" s="55">
        <v>1.8</v>
      </c>
      <c r="AT46" s="54">
        <v>14.186999999999999</v>
      </c>
      <c r="AU46" s="54">
        <v>3.6749999999999998</v>
      </c>
      <c r="AV46" s="54">
        <v>1.1000000000000001</v>
      </c>
      <c r="AW46" s="54">
        <v>2.621</v>
      </c>
      <c r="AX46" s="54">
        <v>4.8899999999999997</v>
      </c>
      <c r="AY46" s="54">
        <v>1.4119999999999999</v>
      </c>
      <c r="AZ46" s="62">
        <v>0</v>
      </c>
      <c r="BA46" s="62">
        <v>0</v>
      </c>
      <c r="BB46" s="54">
        <v>4.3879999999999999</v>
      </c>
      <c r="BC46" s="63">
        <v>0.25</v>
      </c>
      <c r="BD46" s="54">
        <v>0.36499999999999999</v>
      </c>
      <c r="BE46" s="54">
        <v>3.7730000000000001</v>
      </c>
      <c r="BF46" s="54">
        <v>0</v>
      </c>
      <c r="BG46" s="54">
        <v>0</v>
      </c>
      <c r="BH46" s="54">
        <v>0.56100000000000005</v>
      </c>
      <c r="BI46" s="54">
        <v>0.309</v>
      </c>
      <c r="BJ46" s="54">
        <v>0.252</v>
      </c>
      <c r="BK46" s="54">
        <v>0</v>
      </c>
      <c r="BL46" s="54">
        <v>0</v>
      </c>
      <c r="BM46" s="54">
        <v>0</v>
      </c>
      <c r="BN46" s="54">
        <v>0</v>
      </c>
      <c r="BO46" s="56">
        <v>220</v>
      </c>
      <c r="BP46" s="56">
        <v>699</v>
      </c>
      <c r="BQ46" s="56">
        <v>882</v>
      </c>
      <c r="BR46" s="56">
        <v>1531</v>
      </c>
      <c r="BS46" s="56">
        <v>1338</v>
      </c>
      <c r="BT46" s="56">
        <v>404</v>
      </c>
      <c r="BU46" s="56">
        <v>91</v>
      </c>
      <c r="BV46" s="56">
        <v>741</v>
      </c>
      <c r="BW46" s="56">
        <v>733</v>
      </c>
      <c r="BX46" s="56">
        <v>1169</v>
      </c>
      <c r="BY46" s="56">
        <v>516</v>
      </c>
      <c r="BZ46" s="56">
        <v>436</v>
      </c>
      <c r="CA46" s="56">
        <v>702</v>
      </c>
      <c r="CB46" s="56">
        <v>855</v>
      </c>
      <c r="CC46" s="56">
        <v>2658</v>
      </c>
      <c r="CD46" s="56">
        <v>106</v>
      </c>
      <c r="CE46" s="56">
        <v>1513</v>
      </c>
      <c r="CF46" s="56">
        <v>1283</v>
      </c>
      <c r="CG46" s="54">
        <v>0</v>
      </c>
      <c r="CH46" s="54">
        <v>0</v>
      </c>
      <c r="CI46" s="54">
        <v>0.1</v>
      </c>
      <c r="CJ46" s="54">
        <v>0</v>
      </c>
      <c r="CK46" s="54">
        <v>0</v>
      </c>
      <c r="CL46" s="54">
        <v>1.4</v>
      </c>
    </row>
    <row r="47" spans="2:90" x14ac:dyDescent="0.35">
      <c r="B47" s="9" t="s">
        <v>300</v>
      </c>
      <c r="C47" s="54">
        <v>268</v>
      </c>
      <c r="D47" s="54">
        <v>1113</v>
      </c>
      <c r="E47" s="54">
        <v>20.6</v>
      </c>
      <c r="F47" s="54">
        <v>20.6</v>
      </c>
      <c r="G47" s="54">
        <v>0</v>
      </c>
      <c r="H47" s="54">
        <v>20.3</v>
      </c>
      <c r="I47" s="54">
        <v>20.3</v>
      </c>
      <c r="J47" s="54">
        <v>0</v>
      </c>
      <c r="K47" s="54">
        <v>48</v>
      </c>
      <c r="L47" s="54">
        <v>0.7</v>
      </c>
      <c r="M47" s="54">
        <v>0</v>
      </c>
      <c r="N47" s="54">
        <v>0.7</v>
      </c>
      <c r="O47" s="54">
        <v>0</v>
      </c>
      <c r="P47" s="54">
        <v>0</v>
      </c>
      <c r="Q47" s="54">
        <v>54.8</v>
      </c>
      <c r="R47" s="54">
        <v>0.4</v>
      </c>
      <c r="S47" s="54">
        <v>162</v>
      </c>
      <c r="T47" s="54">
        <v>118</v>
      </c>
      <c r="U47" s="54">
        <v>145</v>
      </c>
      <c r="V47" s="54">
        <v>355</v>
      </c>
      <c r="W47" s="54">
        <v>2.6</v>
      </c>
      <c r="X47" s="54">
        <v>10</v>
      </c>
      <c r="Y47" s="51">
        <v>5.0000000000000001E-3</v>
      </c>
      <c r="Z47" s="54">
        <v>3</v>
      </c>
      <c r="AA47" s="54">
        <v>990</v>
      </c>
      <c r="AB47" s="54">
        <v>4</v>
      </c>
      <c r="AC47" s="51">
        <v>5.0000000000000001E-3</v>
      </c>
      <c r="AD47" s="54">
        <v>110</v>
      </c>
      <c r="AE47" s="54">
        <v>0.03</v>
      </c>
      <c r="AF47" s="54">
        <v>0.27</v>
      </c>
      <c r="AG47" s="54">
        <v>0</v>
      </c>
      <c r="AH47" s="54">
        <v>0.3</v>
      </c>
      <c r="AI47" s="54">
        <v>0.09</v>
      </c>
      <c r="AJ47" s="54">
        <v>19</v>
      </c>
      <c r="AK47" s="54">
        <v>0.25</v>
      </c>
      <c r="AL47" s="54">
        <v>2.2000000000000002</v>
      </c>
      <c r="AM47" s="54">
        <v>2.1</v>
      </c>
      <c r="AN47" s="54">
        <v>240</v>
      </c>
      <c r="AO47" s="54">
        <v>210</v>
      </c>
      <c r="AP47" s="54">
        <v>180</v>
      </c>
      <c r="AQ47" s="54">
        <v>0.33</v>
      </c>
      <c r="AR47" s="54">
        <v>0.16</v>
      </c>
      <c r="AS47" s="52">
        <v>2.2999999999999998</v>
      </c>
      <c r="AT47" s="54">
        <v>11.898</v>
      </c>
      <c r="AU47" s="54">
        <v>1.804</v>
      </c>
      <c r="AV47" s="54">
        <v>0.62</v>
      </c>
      <c r="AW47" s="54">
        <v>2.0859999999999999</v>
      </c>
      <c r="AX47" s="54">
        <v>5.1879999999999997</v>
      </c>
      <c r="AY47" s="54">
        <v>2.1989999999999998</v>
      </c>
      <c r="AZ47" s="54">
        <v>0</v>
      </c>
      <c r="BA47" s="54">
        <v>0</v>
      </c>
      <c r="BB47" s="54">
        <v>6.2030000000000003</v>
      </c>
      <c r="BC47" s="54">
        <v>0.39500000000000002</v>
      </c>
      <c r="BD47" s="54">
        <v>0.56399999999999995</v>
      </c>
      <c r="BE47" s="54">
        <v>5.2439999999999998</v>
      </c>
      <c r="BF47" s="54">
        <v>0</v>
      </c>
      <c r="BG47" s="54">
        <v>0</v>
      </c>
      <c r="BH47" s="54">
        <v>0.67700000000000005</v>
      </c>
      <c r="BI47" s="54">
        <v>0.39500000000000002</v>
      </c>
      <c r="BJ47" s="54">
        <v>0.28199999999999997</v>
      </c>
      <c r="BK47" s="54">
        <v>0</v>
      </c>
      <c r="BL47" s="54">
        <v>0</v>
      </c>
      <c r="BM47" s="54">
        <v>0</v>
      </c>
      <c r="BN47" s="54">
        <v>0</v>
      </c>
      <c r="BO47" s="56">
        <v>198</v>
      </c>
      <c r="BP47" s="56">
        <v>595</v>
      </c>
      <c r="BQ47" s="56">
        <v>529</v>
      </c>
      <c r="BR47" s="56">
        <v>1542</v>
      </c>
      <c r="BS47" s="56">
        <v>1322</v>
      </c>
      <c r="BT47" s="56">
        <v>628</v>
      </c>
      <c r="BU47" s="56">
        <v>154</v>
      </c>
      <c r="BV47" s="56">
        <v>903</v>
      </c>
      <c r="BW47" s="56">
        <v>969</v>
      </c>
      <c r="BX47" s="56">
        <v>694</v>
      </c>
      <c r="BY47" s="56">
        <v>606</v>
      </c>
      <c r="BZ47" s="56">
        <v>507</v>
      </c>
      <c r="CA47" s="56">
        <v>584</v>
      </c>
      <c r="CB47" s="56">
        <v>1267</v>
      </c>
      <c r="CC47" s="56">
        <v>3305</v>
      </c>
      <c r="CD47" s="56">
        <v>364</v>
      </c>
      <c r="CE47" s="56">
        <v>1818</v>
      </c>
      <c r="CF47" s="56">
        <v>991</v>
      </c>
      <c r="CG47" s="54">
        <v>0</v>
      </c>
      <c r="CH47" s="54">
        <v>0</v>
      </c>
      <c r="CI47" s="54">
        <v>0</v>
      </c>
      <c r="CJ47" s="54">
        <v>0</v>
      </c>
      <c r="CK47" s="54">
        <v>0</v>
      </c>
      <c r="CL47" s="51">
        <v>0.05</v>
      </c>
    </row>
    <row r="48" spans="2:90" x14ac:dyDescent="0.35">
      <c r="B48" s="9" t="s">
        <v>301</v>
      </c>
      <c r="C48" s="54">
        <v>343</v>
      </c>
      <c r="D48" s="54">
        <v>1425</v>
      </c>
      <c r="E48" s="54">
        <v>24.5</v>
      </c>
      <c r="F48" s="54">
        <v>24.5</v>
      </c>
      <c r="G48" s="54">
        <v>0</v>
      </c>
      <c r="H48" s="54">
        <v>26.9</v>
      </c>
      <c r="I48" s="54">
        <v>26.9</v>
      </c>
      <c r="J48" s="54">
        <v>0</v>
      </c>
      <c r="K48" s="54">
        <v>82</v>
      </c>
      <c r="L48" s="54">
        <v>0.8</v>
      </c>
      <c r="M48" s="54">
        <v>0</v>
      </c>
      <c r="N48" s="54">
        <v>0.8</v>
      </c>
      <c r="O48" s="54">
        <v>0</v>
      </c>
      <c r="P48" s="54">
        <v>0</v>
      </c>
      <c r="Q48" s="54">
        <v>41.1</v>
      </c>
      <c r="R48" s="54">
        <v>0.3</v>
      </c>
      <c r="S48" s="54">
        <v>870</v>
      </c>
      <c r="T48" s="54">
        <v>686</v>
      </c>
      <c r="U48" s="54">
        <v>89</v>
      </c>
      <c r="V48" s="54">
        <v>561</v>
      </c>
      <c r="W48" s="54">
        <v>4.3</v>
      </c>
      <c r="X48" s="54">
        <v>27</v>
      </c>
      <c r="Y48" s="54">
        <v>0.03</v>
      </c>
      <c r="Z48" s="54">
        <v>15</v>
      </c>
      <c r="AA48" s="54">
        <v>882</v>
      </c>
      <c r="AB48" s="54">
        <v>44</v>
      </c>
      <c r="AC48" s="54">
        <v>0.01</v>
      </c>
      <c r="AD48" s="54">
        <v>230</v>
      </c>
      <c r="AE48" s="54">
        <v>0.01</v>
      </c>
      <c r="AF48" s="54">
        <v>0.45</v>
      </c>
      <c r="AG48" s="54">
        <v>0</v>
      </c>
      <c r="AH48" s="54">
        <v>0.2</v>
      </c>
      <c r="AI48" s="54">
        <v>0.08</v>
      </c>
      <c r="AJ48" s="54">
        <v>6</v>
      </c>
      <c r="AK48" s="54">
        <v>0.43</v>
      </c>
      <c r="AL48" s="54">
        <v>1.8</v>
      </c>
      <c r="AM48" s="54">
        <v>1.7</v>
      </c>
      <c r="AN48" s="54">
        <v>153</v>
      </c>
      <c r="AO48" s="54">
        <v>140</v>
      </c>
      <c r="AP48" s="54">
        <v>80</v>
      </c>
      <c r="AQ48" s="54">
        <v>0.62</v>
      </c>
      <c r="AR48" s="54">
        <v>0.19</v>
      </c>
      <c r="AS48" s="55">
        <v>2.6</v>
      </c>
      <c r="AT48" s="54">
        <v>14.73</v>
      </c>
      <c r="AU48" s="54">
        <v>1.87</v>
      </c>
      <c r="AV48" s="54">
        <v>0.69</v>
      </c>
      <c r="AW48" s="54">
        <v>2.56</v>
      </c>
      <c r="AX48" s="54">
        <v>7.31</v>
      </c>
      <c r="AY48" s="54">
        <v>2.2999999999999998</v>
      </c>
      <c r="AZ48" s="54">
        <v>0</v>
      </c>
      <c r="BA48" s="54">
        <v>0</v>
      </c>
      <c r="BB48" s="54">
        <v>6.9</v>
      </c>
      <c r="BC48" s="54">
        <v>0</v>
      </c>
      <c r="BD48" s="54">
        <v>0.77</v>
      </c>
      <c r="BE48" s="54">
        <v>6.13</v>
      </c>
      <c r="BF48" s="54">
        <v>0</v>
      </c>
      <c r="BG48" s="54">
        <v>0</v>
      </c>
      <c r="BH48" s="54">
        <v>1.42</v>
      </c>
      <c r="BI48" s="54">
        <v>0.74</v>
      </c>
      <c r="BJ48" s="54">
        <v>0.68</v>
      </c>
      <c r="BK48" s="54">
        <v>0</v>
      </c>
      <c r="BL48" s="54">
        <v>0</v>
      </c>
      <c r="BM48" s="54">
        <v>0</v>
      </c>
      <c r="BN48" s="54">
        <v>0</v>
      </c>
      <c r="BO48" s="56">
        <v>345</v>
      </c>
      <c r="BP48" s="56">
        <v>911</v>
      </c>
      <c r="BQ48" s="56">
        <v>1244</v>
      </c>
      <c r="BR48" s="56">
        <v>2220</v>
      </c>
      <c r="BS48" s="56">
        <v>1903</v>
      </c>
      <c r="BT48" s="56">
        <v>610</v>
      </c>
      <c r="BU48" s="56">
        <v>130</v>
      </c>
      <c r="BV48" s="56">
        <v>1274</v>
      </c>
      <c r="BW48" s="56">
        <v>1402</v>
      </c>
      <c r="BX48" s="56">
        <v>1547</v>
      </c>
      <c r="BY48" s="56">
        <v>745</v>
      </c>
      <c r="BZ48" s="56">
        <v>690</v>
      </c>
      <c r="CA48" s="56">
        <v>715</v>
      </c>
      <c r="CB48" s="56">
        <v>1601</v>
      </c>
      <c r="CC48" s="56">
        <v>5478</v>
      </c>
      <c r="CD48" s="56">
        <v>452</v>
      </c>
      <c r="CE48" s="56">
        <v>2647</v>
      </c>
      <c r="CF48" s="56">
        <v>1389</v>
      </c>
      <c r="CG48" s="54">
        <v>0</v>
      </c>
      <c r="CH48" s="54">
        <v>0</v>
      </c>
      <c r="CI48" s="54">
        <v>0</v>
      </c>
      <c r="CJ48" s="54">
        <v>0</v>
      </c>
      <c r="CK48" s="54">
        <v>0</v>
      </c>
      <c r="CL48" s="54">
        <v>0.8</v>
      </c>
    </row>
    <row r="49" spans="2:90" x14ac:dyDescent="0.35">
      <c r="B49" s="9" t="s">
        <v>315</v>
      </c>
      <c r="C49" s="54">
        <v>313</v>
      </c>
      <c r="D49" s="54">
        <v>1293</v>
      </c>
      <c r="E49" s="54">
        <v>8.6</v>
      </c>
      <c r="F49" s="54">
        <v>8.6</v>
      </c>
      <c r="G49" s="54">
        <v>0</v>
      </c>
      <c r="H49" s="54">
        <v>31</v>
      </c>
      <c r="I49" s="54">
        <v>31</v>
      </c>
      <c r="J49" s="54">
        <v>0</v>
      </c>
      <c r="K49" s="54">
        <v>90</v>
      </c>
      <c r="L49" s="51">
        <v>0.05</v>
      </c>
      <c r="M49" s="54">
        <v>0</v>
      </c>
      <c r="N49" s="51">
        <v>0.05</v>
      </c>
      <c r="O49" s="54">
        <v>0</v>
      </c>
      <c r="P49" s="54">
        <v>0</v>
      </c>
      <c r="Q49" s="54">
        <v>58</v>
      </c>
      <c r="R49" s="54">
        <v>0.1</v>
      </c>
      <c r="S49" s="54">
        <v>110</v>
      </c>
      <c r="T49" s="54">
        <v>330</v>
      </c>
      <c r="U49" s="54">
        <v>150</v>
      </c>
      <c r="V49" s="54">
        <v>130</v>
      </c>
      <c r="W49" s="54">
        <v>0.7</v>
      </c>
      <c r="X49" s="54">
        <v>9</v>
      </c>
      <c r="Y49" s="54">
        <v>0.1</v>
      </c>
      <c r="Z49" s="54">
        <v>3</v>
      </c>
      <c r="AA49" s="54">
        <v>600</v>
      </c>
      <c r="AB49" s="54">
        <v>29</v>
      </c>
      <c r="AC49" s="51">
        <v>5.0000000000000001E-3</v>
      </c>
      <c r="AD49" s="54">
        <v>110</v>
      </c>
      <c r="AE49" s="54">
        <v>0.03</v>
      </c>
      <c r="AF49" s="54">
        <v>0.17</v>
      </c>
      <c r="AG49" s="51">
        <v>0.5</v>
      </c>
      <c r="AH49" s="54">
        <v>0.1</v>
      </c>
      <c r="AI49" s="54">
        <v>0.05</v>
      </c>
      <c r="AJ49" s="54">
        <v>13</v>
      </c>
      <c r="AK49" s="54">
        <v>0.31</v>
      </c>
      <c r="AL49" s="54">
        <v>2</v>
      </c>
      <c r="AM49" s="54">
        <v>0.3</v>
      </c>
      <c r="AN49" s="54">
        <v>293</v>
      </c>
      <c r="AO49" s="54">
        <v>275</v>
      </c>
      <c r="AP49" s="54">
        <v>105</v>
      </c>
      <c r="AQ49" s="54">
        <v>0.24</v>
      </c>
      <c r="AR49" s="54">
        <v>0.17</v>
      </c>
      <c r="AS49" s="55">
        <v>1.6</v>
      </c>
      <c r="AT49" s="54">
        <v>18.518999999999998</v>
      </c>
      <c r="AU49" s="54">
        <v>2.694</v>
      </c>
      <c r="AV49" s="54">
        <v>1.0289999999999999</v>
      </c>
      <c r="AW49" s="54">
        <v>3.2759999999999998</v>
      </c>
      <c r="AX49" s="54">
        <v>7.6210000000000004</v>
      </c>
      <c r="AY49" s="54">
        <v>3.2759999999999998</v>
      </c>
      <c r="AZ49" s="54">
        <v>0</v>
      </c>
      <c r="BA49" s="54">
        <v>0</v>
      </c>
      <c r="BB49" s="54">
        <v>9.8689999999999998</v>
      </c>
      <c r="BC49" s="54">
        <v>0.40600000000000003</v>
      </c>
      <c r="BD49" s="54">
        <v>0.78500000000000003</v>
      </c>
      <c r="BE49" s="54">
        <v>8.1489999999999991</v>
      </c>
      <c r="BF49" s="54">
        <v>0</v>
      </c>
      <c r="BG49" s="54">
        <v>0</v>
      </c>
      <c r="BH49" s="54">
        <v>0.83899999999999997</v>
      </c>
      <c r="BI49" s="54">
        <v>0.40600000000000003</v>
      </c>
      <c r="BJ49" s="54">
        <v>0.433</v>
      </c>
      <c r="BK49" s="54">
        <v>0</v>
      </c>
      <c r="BL49" s="54">
        <v>0</v>
      </c>
      <c r="BM49" s="54">
        <v>0</v>
      </c>
      <c r="BN49" s="54">
        <v>0</v>
      </c>
      <c r="BO49" s="56">
        <v>125</v>
      </c>
      <c r="BP49" s="56">
        <v>329</v>
      </c>
      <c r="BQ49" s="56">
        <v>437</v>
      </c>
      <c r="BR49" s="56">
        <v>933</v>
      </c>
      <c r="BS49" s="56">
        <v>790</v>
      </c>
      <c r="BT49" s="56">
        <v>282</v>
      </c>
      <c r="BU49" s="56">
        <v>55</v>
      </c>
      <c r="BV49" s="56">
        <v>488</v>
      </c>
      <c r="BW49" s="56">
        <v>466</v>
      </c>
      <c r="BX49" s="56">
        <v>716</v>
      </c>
      <c r="BY49" s="56">
        <v>286</v>
      </c>
      <c r="BZ49" s="56">
        <v>267</v>
      </c>
      <c r="CA49" s="56">
        <v>315</v>
      </c>
      <c r="CB49" s="56">
        <v>578</v>
      </c>
      <c r="CC49" s="56">
        <v>1821</v>
      </c>
      <c r="CD49" s="56">
        <v>163</v>
      </c>
      <c r="CE49" s="56">
        <v>1216</v>
      </c>
      <c r="CF49" s="56">
        <v>543</v>
      </c>
      <c r="CG49" s="54">
        <v>0</v>
      </c>
      <c r="CH49" s="54">
        <v>0</v>
      </c>
      <c r="CI49" s="54">
        <v>0</v>
      </c>
      <c r="CJ49" s="54">
        <v>0</v>
      </c>
      <c r="CK49" s="54">
        <v>0</v>
      </c>
      <c r="CL49" s="51">
        <v>0.05</v>
      </c>
    </row>
    <row r="50" spans="2:90" x14ac:dyDescent="0.35">
      <c r="B50" s="9" t="s">
        <v>333</v>
      </c>
      <c r="C50" s="54">
        <v>389</v>
      </c>
      <c r="D50" s="54">
        <v>1608</v>
      </c>
      <c r="E50" s="54">
        <v>13.35</v>
      </c>
      <c r="F50" s="54">
        <v>13.35</v>
      </c>
      <c r="G50" s="54">
        <v>0</v>
      </c>
      <c r="H50" s="54">
        <v>37.049999999999997</v>
      </c>
      <c r="I50" s="54">
        <v>37.049999999999997</v>
      </c>
      <c r="J50" s="54">
        <v>0</v>
      </c>
      <c r="K50" s="54">
        <v>82.5</v>
      </c>
      <c r="L50" s="54">
        <v>0.65</v>
      </c>
      <c r="M50" s="54">
        <v>0</v>
      </c>
      <c r="N50" s="54">
        <v>0.65</v>
      </c>
      <c r="O50" s="54">
        <v>0</v>
      </c>
      <c r="P50" s="54">
        <v>0</v>
      </c>
      <c r="Q50" s="54">
        <v>47.6</v>
      </c>
      <c r="R50" s="54">
        <v>0.25</v>
      </c>
      <c r="S50" s="54">
        <v>234.5</v>
      </c>
      <c r="T50" s="54">
        <v>343</v>
      </c>
      <c r="U50" s="54">
        <v>82</v>
      </c>
      <c r="V50" s="54">
        <v>211.5</v>
      </c>
      <c r="W50" s="54">
        <v>1.605</v>
      </c>
      <c r="X50" s="54">
        <v>15</v>
      </c>
      <c r="Y50" s="54">
        <v>0.05</v>
      </c>
      <c r="Z50" s="54">
        <v>4.5</v>
      </c>
      <c r="AA50" s="54">
        <v>895</v>
      </c>
      <c r="AB50" s="54">
        <v>37.5</v>
      </c>
      <c r="AC50" s="54">
        <v>0</v>
      </c>
      <c r="AD50" s="54">
        <v>230</v>
      </c>
      <c r="AE50" s="54">
        <v>0.01</v>
      </c>
      <c r="AF50" s="54">
        <v>0.2</v>
      </c>
      <c r="AG50" s="54">
        <v>0</v>
      </c>
      <c r="AH50" s="54">
        <v>0.5</v>
      </c>
      <c r="AI50" s="54">
        <v>5.5E-2</v>
      </c>
      <c r="AJ50" s="54">
        <v>31.5</v>
      </c>
      <c r="AK50" s="54">
        <v>0.25</v>
      </c>
      <c r="AL50" s="54">
        <v>2.25</v>
      </c>
      <c r="AM50" s="54">
        <v>0.8</v>
      </c>
      <c r="AN50" s="54">
        <v>271.5</v>
      </c>
      <c r="AO50" s="54">
        <v>242.5</v>
      </c>
      <c r="AP50" s="54">
        <v>173</v>
      </c>
      <c r="AQ50" s="54">
        <v>0.76</v>
      </c>
      <c r="AR50" s="54">
        <v>0.255</v>
      </c>
      <c r="AS50" s="64">
        <v>3.6</v>
      </c>
      <c r="AT50" s="54">
        <v>20.323499999999999</v>
      </c>
      <c r="AU50" s="54">
        <v>3.044</v>
      </c>
      <c r="AV50" s="54">
        <v>1.0129999999999999</v>
      </c>
      <c r="AW50" s="54">
        <v>3.4304999999999999</v>
      </c>
      <c r="AX50" s="54">
        <v>8.8254999999999999</v>
      </c>
      <c r="AY50" s="54">
        <v>4.0110000000000001</v>
      </c>
      <c r="AZ50" s="54">
        <v>0</v>
      </c>
      <c r="BA50" s="54">
        <v>0</v>
      </c>
      <c r="BB50" s="54">
        <v>10.730499999999999</v>
      </c>
      <c r="BC50" s="54">
        <v>0.45700000000000002</v>
      </c>
      <c r="BD50" s="54">
        <v>1.0229999999999999</v>
      </c>
      <c r="BE50" s="54">
        <v>9.2509999999999994</v>
      </c>
      <c r="BF50" s="54">
        <v>0</v>
      </c>
      <c r="BG50" s="54">
        <v>0</v>
      </c>
      <c r="BH50" s="54">
        <v>1.1485000000000001</v>
      </c>
      <c r="BI50" s="54">
        <v>0.68200000000000005</v>
      </c>
      <c r="BJ50" s="54">
        <v>0.46650000000000003</v>
      </c>
      <c r="BK50" s="54">
        <v>0</v>
      </c>
      <c r="BL50" s="54">
        <v>0</v>
      </c>
      <c r="BM50" s="54">
        <v>0</v>
      </c>
      <c r="BN50" s="54">
        <v>0</v>
      </c>
      <c r="BO50" s="56">
        <v>157</v>
      </c>
      <c r="BP50" s="56">
        <v>480</v>
      </c>
      <c r="BQ50" s="56">
        <v>599</v>
      </c>
      <c r="BR50" s="56">
        <v>1060</v>
      </c>
      <c r="BS50" s="56">
        <v>934</v>
      </c>
      <c r="BT50" s="56">
        <v>395</v>
      </c>
      <c r="BU50" s="56">
        <v>94</v>
      </c>
      <c r="BV50" s="56">
        <v>621</v>
      </c>
      <c r="BW50" s="56">
        <v>695</v>
      </c>
      <c r="BX50" s="56">
        <v>724</v>
      </c>
      <c r="BY50" s="56">
        <v>371</v>
      </c>
      <c r="BZ50" s="56">
        <v>330</v>
      </c>
      <c r="CA50" s="56">
        <v>402</v>
      </c>
      <c r="CB50" s="56">
        <v>936</v>
      </c>
      <c r="CC50" s="56">
        <v>2201</v>
      </c>
      <c r="CD50" s="56">
        <v>239</v>
      </c>
      <c r="CE50" s="56">
        <v>1250</v>
      </c>
      <c r="CF50" s="56">
        <v>647</v>
      </c>
      <c r="CG50" s="54">
        <v>0</v>
      </c>
      <c r="CH50" s="54">
        <v>0</v>
      </c>
      <c r="CI50" s="54">
        <v>0</v>
      </c>
      <c r="CJ50" s="54">
        <v>0</v>
      </c>
      <c r="CK50" s="54">
        <v>0</v>
      </c>
      <c r="CL50" s="54">
        <v>0.65</v>
      </c>
    </row>
    <row r="51" spans="2:90" x14ac:dyDescent="0.35">
      <c r="B51" s="9" t="s">
        <v>216</v>
      </c>
      <c r="C51" s="54">
        <v>324</v>
      </c>
      <c r="D51" s="54">
        <v>1343</v>
      </c>
      <c r="E51" s="54">
        <v>19.100000000000001</v>
      </c>
      <c r="F51" s="54">
        <v>19.100000000000001</v>
      </c>
      <c r="G51" s="54">
        <v>0</v>
      </c>
      <c r="H51" s="54">
        <v>27.1</v>
      </c>
      <c r="I51" s="54">
        <v>27.1</v>
      </c>
      <c r="J51" s="54">
        <v>0</v>
      </c>
      <c r="K51" s="54">
        <v>70</v>
      </c>
      <c r="L51" s="54">
        <v>1</v>
      </c>
      <c r="M51" s="54">
        <v>0</v>
      </c>
      <c r="N51" s="54">
        <v>1</v>
      </c>
      <c r="O51" s="54">
        <v>0</v>
      </c>
      <c r="P51" s="54">
        <v>0</v>
      </c>
      <c r="Q51" s="54">
        <v>50.8</v>
      </c>
      <c r="R51" s="54">
        <v>0.3</v>
      </c>
      <c r="S51" s="54">
        <v>401</v>
      </c>
      <c r="T51" s="54">
        <v>600</v>
      </c>
      <c r="U51" s="54">
        <v>111</v>
      </c>
      <c r="V51" s="54">
        <v>326</v>
      </c>
      <c r="W51" s="54">
        <v>2.81</v>
      </c>
      <c r="X51" s="54">
        <v>20</v>
      </c>
      <c r="Y51" s="51">
        <v>5.0000000000000001E-3</v>
      </c>
      <c r="Z51" s="54">
        <v>7</v>
      </c>
      <c r="AA51" s="54">
        <v>1310</v>
      </c>
      <c r="AB51" s="54">
        <v>46</v>
      </c>
      <c r="AC51" s="51">
        <v>5.0000000000000001E-3</v>
      </c>
      <c r="AD51" s="54">
        <v>230</v>
      </c>
      <c r="AE51" s="54">
        <v>0.01</v>
      </c>
      <c r="AF51" s="54">
        <v>0.18</v>
      </c>
      <c r="AG51" s="54">
        <v>0</v>
      </c>
      <c r="AH51" s="54">
        <v>0.9</v>
      </c>
      <c r="AI51" s="54">
        <v>7.0000000000000007E-2</v>
      </c>
      <c r="AJ51" s="54">
        <v>52</v>
      </c>
      <c r="AK51" s="54">
        <v>0.23</v>
      </c>
      <c r="AL51" s="54">
        <v>2.9</v>
      </c>
      <c r="AM51" s="54">
        <v>1.3</v>
      </c>
      <c r="AN51" s="54">
        <v>190</v>
      </c>
      <c r="AO51" s="54">
        <v>175</v>
      </c>
      <c r="AP51" s="54">
        <v>88</v>
      </c>
      <c r="AQ51" s="54">
        <v>0.52</v>
      </c>
      <c r="AR51" s="54">
        <v>0.24</v>
      </c>
      <c r="AS51" s="55">
        <v>2.4</v>
      </c>
      <c r="AT51" s="54">
        <v>13.1</v>
      </c>
      <c r="AU51" s="54">
        <v>1.91</v>
      </c>
      <c r="AV51" s="54">
        <v>0.59</v>
      </c>
      <c r="AW51" s="54">
        <v>2.0299999999999998</v>
      </c>
      <c r="AX51" s="54">
        <v>5.64</v>
      </c>
      <c r="AY51" s="54">
        <v>2.93</v>
      </c>
      <c r="AZ51" s="54">
        <v>0</v>
      </c>
      <c r="BA51" s="54">
        <v>0</v>
      </c>
      <c r="BB51" s="54">
        <v>7.1</v>
      </c>
      <c r="BC51" s="54">
        <v>0</v>
      </c>
      <c r="BD51" s="54">
        <v>0.74</v>
      </c>
      <c r="BE51" s="54">
        <v>6.36</v>
      </c>
      <c r="BF51" s="54">
        <v>0</v>
      </c>
      <c r="BG51" s="54">
        <v>0</v>
      </c>
      <c r="BH51" s="54">
        <v>0.73</v>
      </c>
      <c r="BI51" s="54">
        <v>0.45</v>
      </c>
      <c r="BJ51" s="54">
        <v>0.28000000000000003</v>
      </c>
      <c r="BK51" s="54">
        <v>0</v>
      </c>
      <c r="BL51" s="54">
        <v>0</v>
      </c>
      <c r="BM51" s="54">
        <v>0</v>
      </c>
      <c r="BN51" s="54">
        <v>0</v>
      </c>
      <c r="BO51" s="56">
        <v>210</v>
      </c>
      <c r="BP51" s="56">
        <v>710</v>
      </c>
      <c r="BQ51" s="56">
        <v>900</v>
      </c>
      <c r="BR51" s="56">
        <v>1530</v>
      </c>
      <c r="BS51" s="56">
        <v>1390</v>
      </c>
      <c r="BT51" s="56">
        <v>600</v>
      </c>
      <c r="BU51" s="56">
        <v>140</v>
      </c>
      <c r="BV51" s="56">
        <v>920</v>
      </c>
      <c r="BW51" s="56">
        <v>1030</v>
      </c>
      <c r="BX51" s="56">
        <v>1060</v>
      </c>
      <c r="BY51" s="56">
        <v>530</v>
      </c>
      <c r="BZ51" s="56">
        <v>490</v>
      </c>
      <c r="CA51" s="56">
        <v>600</v>
      </c>
      <c r="CB51" s="56">
        <v>1390</v>
      </c>
      <c r="CC51" s="56">
        <v>3160</v>
      </c>
      <c r="CD51" s="56">
        <v>360</v>
      </c>
      <c r="CE51" s="56">
        <v>1800</v>
      </c>
      <c r="CF51" s="56">
        <v>930</v>
      </c>
      <c r="CG51" s="54">
        <v>0</v>
      </c>
      <c r="CH51" s="54">
        <v>0</v>
      </c>
      <c r="CI51" s="54">
        <v>0</v>
      </c>
      <c r="CJ51" s="54">
        <v>0</v>
      </c>
      <c r="CK51" s="54">
        <v>0</v>
      </c>
      <c r="CL51" s="54">
        <v>1</v>
      </c>
    </row>
    <row r="52" spans="2:90" x14ac:dyDescent="0.35">
      <c r="B52" s="9" t="s">
        <v>334</v>
      </c>
      <c r="C52" s="54">
        <v>339</v>
      </c>
      <c r="D52" s="54">
        <v>1404</v>
      </c>
      <c r="E52" s="54">
        <v>18.899999999999999</v>
      </c>
      <c r="F52" s="54">
        <v>18.3</v>
      </c>
      <c r="G52" s="54">
        <v>0.6</v>
      </c>
      <c r="H52" s="54">
        <v>28.7</v>
      </c>
      <c r="I52" s="54">
        <v>26</v>
      </c>
      <c r="J52" s="54">
        <v>2.7</v>
      </c>
      <c r="K52" s="54">
        <v>67</v>
      </c>
      <c r="L52" s="54">
        <v>1.2</v>
      </c>
      <c r="M52" s="54">
        <v>0.1</v>
      </c>
      <c r="N52" s="54">
        <v>1.1000000000000001</v>
      </c>
      <c r="O52" s="54">
        <v>0.2</v>
      </c>
      <c r="P52" s="54">
        <v>0</v>
      </c>
      <c r="Q52" s="54">
        <v>48.9</v>
      </c>
      <c r="R52" s="54">
        <v>0.4</v>
      </c>
      <c r="S52" s="54">
        <v>387</v>
      </c>
      <c r="T52" s="54">
        <v>576</v>
      </c>
      <c r="U52" s="54">
        <v>131</v>
      </c>
      <c r="V52" s="54">
        <v>325</v>
      </c>
      <c r="W52" s="54">
        <v>2.9</v>
      </c>
      <c r="X52" s="54">
        <v>24</v>
      </c>
      <c r="Y52" s="54">
        <v>0.04</v>
      </c>
      <c r="Z52" s="54">
        <v>7</v>
      </c>
      <c r="AA52" s="54">
        <v>1259</v>
      </c>
      <c r="AB52" s="54">
        <v>45</v>
      </c>
      <c r="AC52" s="54">
        <v>0.14000000000000001</v>
      </c>
      <c r="AD52" s="54">
        <v>226</v>
      </c>
      <c r="AE52" s="54">
        <v>0.04</v>
      </c>
      <c r="AF52" s="54">
        <v>0.18</v>
      </c>
      <c r="AG52" s="54">
        <v>0</v>
      </c>
      <c r="AH52" s="54">
        <v>0.92</v>
      </c>
      <c r="AI52" s="54">
        <v>0.09</v>
      </c>
      <c r="AJ52" s="54">
        <v>52.6</v>
      </c>
      <c r="AK52" s="54">
        <v>0.28000000000000003</v>
      </c>
      <c r="AL52" s="54">
        <v>3.5</v>
      </c>
      <c r="AM52" s="54">
        <v>1.2</v>
      </c>
      <c r="AN52" s="54">
        <v>183</v>
      </c>
      <c r="AO52" s="54">
        <v>168</v>
      </c>
      <c r="AP52" s="54">
        <v>86</v>
      </c>
      <c r="AQ52" s="54">
        <v>0.66</v>
      </c>
      <c r="AR52" s="54">
        <v>0.2</v>
      </c>
      <c r="AS52" s="64">
        <v>2.41</v>
      </c>
      <c r="AT52" s="54">
        <v>12.8</v>
      </c>
      <c r="AU52" s="54">
        <v>1.83</v>
      </c>
      <c r="AV52" s="54">
        <v>0.56999999999999995</v>
      </c>
      <c r="AW52" s="54">
        <v>1.97</v>
      </c>
      <c r="AX52" s="54">
        <v>5.56</v>
      </c>
      <c r="AY52" s="54">
        <v>2.85</v>
      </c>
      <c r="AZ52" s="54">
        <v>0.01</v>
      </c>
      <c r="BA52" s="54">
        <v>0</v>
      </c>
      <c r="BB52" s="54">
        <v>7.2</v>
      </c>
      <c r="BC52" s="54">
        <v>0</v>
      </c>
      <c r="BD52" s="54">
        <v>0.72</v>
      </c>
      <c r="BE52" s="54">
        <v>6.48</v>
      </c>
      <c r="BF52" s="54">
        <v>0</v>
      </c>
      <c r="BG52" s="54">
        <v>0</v>
      </c>
      <c r="BH52" s="54">
        <v>2.33</v>
      </c>
      <c r="BI52" s="54">
        <v>1.79</v>
      </c>
      <c r="BJ52" s="54">
        <v>0.53</v>
      </c>
      <c r="BK52" s="54">
        <v>0</v>
      </c>
      <c r="BL52" s="54">
        <v>0</v>
      </c>
      <c r="BM52" s="54">
        <v>0</v>
      </c>
      <c r="BN52" s="54">
        <v>0.01</v>
      </c>
      <c r="BO52" s="56">
        <v>206</v>
      </c>
      <c r="BP52" s="56">
        <v>700</v>
      </c>
      <c r="BQ52" s="56">
        <v>889</v>
      </c>
      <c r="BR52" s="56">
        <v>1509</v>
      </c>
      <c r="BS52" s="56">
        <v>1350</v>
      </c>
      <c r="BT52" s="56">
        <v>587</v>
      </c>
      <c r="BU52" s="56">
        <v>143</v>
      </c>
      <c r="BV52" s="56">
        <v>909</v>
      </c>
      <c r="BW52" s="56">
        <v>1007</v>
      </c>
      <c r="BX52" s="56">
        <v>1047</v>
      </c>
      <c r="BY52" s="56">
        <v>589</v>
      </c>
      <c r="BZ52" s="56">
        <v>484</v>
      </c>
      <c r="CA52" s="56">
        <v>601</v>
      </c>
      <c r="CB52" s="56">
        <v>1391</v>
      </c>
      <c r="CC52" s="56">
        <v>3146</v>
      </c>
      <c r="CD52" s="56">
        <v>374</v>
      </c>
      <c r="CE52" s="56">
        <v>1754</v>
      </c>
      <c r="CF52" s="56">
        <v>922</v>
      </c>
      <c r="CG52" s="54">
        <v>0</v>
      </c>
      <c r="CH52" s="54">
        <v>0</v>
      </c>
      <c r="CI52" s="54">
        <v>0</v>
      </c>
      <c r="CJ52" s="54">
        <v>0.1</v>
      </c>
      <c r="CK52" s="54">
        <v>0</v>
      </c>
      <c r="CL52" s="54">
        <v>1</v>
      </c>
    </row>
    <row r="53" spans="2:90" x14ac:dyDescent="0.35">
      <c r="B53" s="9" t="s">
        <v>280</v>
      </c>
      <c r="C53" s="54">
        <v>361</v>
      </c>
      <c r="D53" s="54">
        <v>1498</v>
      </c>
      <c r="E53" s="54">
        <v>25</v>
      </c>
      <c r="F53" s="54">
        <v>25</v>
      </c>
      <c r="G53" s="54">
        <v>0</v>
      </c>
      <c r="H53" s="54">
        <v>29</v>
      </c>
      <c r="I53" s="54">
        <v>29</v>
      </c>
      <c r="J53" s="54">
        <v>0</v>
      </c>
      <c r="K53" s="54">
        <v>100</v>
      </c>
      <c r="L53" s="51">
        <v>0.05</v>
      </c>
      <c r="M53" s="54">
        <v>0</v>
      </c>
      <c r="N53" s="51">
        <v>0.05</v>
      </c>
      <c r="O53" s="54">
        <v>0</v>
      </c>
      <c r="P53" s="54">
        <v>0</v>
      </c>
      <c r="Q53" s="54">
        <v>41</v>
      </c>
      <c r="R53" s="54">
        <v>0.5</v>
      </c>
      <c r="S53" s="54">
        <v>600</v>
      </c>
      <c r="T53" s="54">
        <v>1250</v>
      </c>
      <c r="U53" s="54">
        <v>100</v>
      </c>
      <c r="V53" s="54">
        <v>380</v>
      </c>
      <c r="W53" s="54">
        <v>1.8</v>
      </c>
      <c r="X53" s="54">
        <v>38</v>
      </c>
      <c r="Y53" s="51">
        <v>5.0000000000000001E-3</v>
      </c>
      <c r="Z53" s="54">
        <v>15</v>
      </c>
      <c r="AA53" s="54">
        <v>1440</v>
      </c>
      <c r="AB53" s="54">
        <v>3.6</v>
      </c>
      <c r="AC53" s="51">
        <v>5.0000000000000001E-3</v>
      </c>
      <c r="AD53" s="54">
        <v>230</v>
      </c>
      <c r="AE53" s="54">
        <v>0.03</v>
      </c>
      <c r="AF53" s="54">
        <v>0.2</v>
      </c>
      <c r="AG53" s="54">
        <v>1</v>
      </c>
      <c r="AH53" s="54">
        <v>0.1</v>
      </c>
      <c r="AI53" s="54">
        <v>0.08</v>
      </c>
      <c r="AJ53" s="54">
        <v>43</v>
      </c>
      <c r="AK53" s="54">
        <v>0.32</v>
      </c>
      <c r="AL53" s="54">
        <v>1.4</v>
      </c>
      <c r="AM53" s="54">
        <v>1.7</v>
      </c>
      <c r="AN53" s="54">
        <v>393</v>
      </c>
      <c r="AO53" s="54">
        <v>360</v>
      </c>
      <c r="AP53" s="54">
        <v>200</v>
      </c>
      <c r="AQ53" s="54">
        <v>0.53</v>
      </c>
      <c r="AR53" s="54">
        <v>0.24</v>
      </c>
      <c r="AS53" s="55">
        <v>2.2999999999999998</v>
      </c>
      <c r="AT53" s="54">
        <v>18.614999999999998</v>
      </c>
      <c r="AU53" s="54">
        <v>3.1539999999999999</v>
      </c>
      <c r="AV53" s="54">
        <v>1.28</v>
      </c>
      <c r="AW53" s="54">
        <v>3.2130000000000001</v>
      </c>
      <c r="AX53" s="54">
        <v>7.24</v>
      </c>
      <c r="AY53" s="54">
        <v>3.0840000000000001</v>
      </c>
      <c r="AZ53" s="62">
        <v>0</v>
      </c>
      <c r="BA53" s="62">
        <v>0</v>
      </c>
      <c r="BB53" s="54">
        <v>8.1869999999999994</v>
      </c>
      <c r="BC53" s="63">
        <v>6.8369999999999997</v>
      </c>
      <c r="BD53" s="54">
        <v>0.94</v>
      </c>
      <c r="BE53" s="54">
        <v>0.41</v>
      </c>
      <c r="BF53" s="54">
        <v>0</v>
      </c>
      <c r="BG53" s="54">
        <v>0</v>
      </c>
      <c r="BH53" s="54">
        <v>0.69399999999999995</v>
      </c>
      <c r="BI53" s="54">
        <v>0.27800000000000002</v>
      </c>
      <c r="BJ53" s="54">
        <v>0.41599999999999998</v>
      </c>
      <c r="BK53" s="54">
        <v>0</v>
      </c>
      <c r="BL53" s="54">
        <v>0</v>
      </c>
      <c r="BM53" s="54">
        <v>0</v>
      </c>
      <c r="BN53" s="54">
        <v>0</v>
      </c>
      <c r="BO53" s="56">
        <v>353</v>
      </c>
      <c r="BP53" s="56">
        <v>932</v>
      </c>
      <c r="BQ53" s="56">
        <v>1309</v>
      </c>
      <c r="BR53" s="56">
        <v>2570</v>
      </c>
      <c r="BS53" s="56">
        <v>2660</v>
      </c>
      <c r="BT53" s="56">
        <v>721</v>
      </c>
      <c r="BU53" s="56">
        <v>255</v>
      </c>
      <c r="BV53" s="56">
        <v>1434</v>
      </c>
      <c r="BW53" s="56">
        <v>1457</v>
      </c>
      <c r="BX53" s="56">
        <v>1810</v>
      </c>
      <c r="BY53" s="56">
        <v>964</v>
      </c>
      <c r="BZ53" s="56">
        <v>1034</v>
      </c>
      <c r="CA53" s="56">
        <v>764</v>
      </c>
      <c r="CB53" s="56">
        <v>1747</v>
      </c>
      <c r="CC53" s="56">
        <v>6152</v>
      </c>
      <c r="CD53" s="56">
        <v>486</v>
      </c>
      <c r="CE53" s="56">
        <v>3253</v>
      </c>
      <c r="CF53" s="56">
        <v>1548</v>
      </c>
      <c r="CG53" s="54">
        <v>0</v>
      </c>
      <c r="CH53" s="54">
        <v>0</v>
      </c>
      <c r="CI53" s="54">
        <v>0</v>
      </c>
      <c r="CJ53" s="54">
        <v>0</v>
      </c>
      <c r="CK53" s="54">
        <v>0</v>
      </c>
      <c r="CL53" s="51">
        <v>0.05</v>
      </c>
    </row>
    <row r="54" spans="2:90" x14ac:dyDescent="0.35">
      <c r="B54" s="70" t="s">
        <v>279</v>
      </c>
      <c r="C54" s="57">
        <v>344</v>
      </c>
      <c r="D54" s="57">
        <v>1427</v>
      </c>
      <c r="E54" s="57">
        <v>23</v>
      </c>
      <c r="F54" s="57">
        <v>23</v>
      </c>
      <c r="G54" s="57">
        <v>0</v>
      </c>
      <c r="H54" s="57">
        <v>28</v>
      </c>
      <c r="I54" s="57">
        <v>28</v>
      </c>
      <c r="J54" s="57">
        <v>0</v>
      </c>
      <c r="K54" s="57">
        <v>100</v>
      </c>
      <c r="L54" s="58">
        <v>0.05</v>
      </c>
      <c r="M54" s="57">
        <v>0</v>
      </c>
      <c r="N54" s="58">
        <v>0.05</v>
      </c>
      <c r="O54" s="57">
        <v>0</v>
      </c>
      <c r="P54" s="57">
        <v>0</v>
      </c>
      <c r="Q54" s="57">
        <v>44</v>
      </c>
      <c r="R54" s="57">
        <v>0.5</v>
      </c>
      <c r="S54" s="57">
        <v>560</v>
      </c>
      <c r="T54" s="57">
        <v>1250</v>
      </c>
      <c r="U54" s="57">
        <v>100</v>
      </c>
      <c r="V54" s="57">
        <v>350</v>
      </c>
      <c r="W54" s="57">
        <v>1.8</v>
      </c>
      <c r="X54" s="57">
        <v>38</v>
      </c>
      <c r="Y54" s="58">
        <v>5.0000000000000001E-3</v>
      </c>
      <c r="Z54" s="57">
        <v>15</v>
      </c>
      <c r="AA54" s="57">
        <v>1440</v>
      </c>
      <c r="AB54" s="57">
        <v>3.6</v>
      </c>
      <c r="AC54" s="58">
        <v>5.0000000000000001E-3</v>
      </c>
      <c r="AD54" s="57">
        <v>230</v>
      </c>
      <c r="AE54" s="57">
        <v>0.03</v>
      </c>
      <c r="AF54" s="57">
        <v>0.2</v>
      </c>
      <c r="AG54" s="57">
        <v>1</v>
      </c>
      <c r="AH54" s="57">
        <v>0.1</v>
      </c>
      <c r="AI54" s="57">
        <v>0.08</v>
      </c>
      <c r="AJ54" s="57">
        <v>43</v>
      </c>
      <c r="AK54" s="57">
        <v>0.32</v>
      </c>
      <c r="AL54" s="57">
        <v>1.4</v>
      </c>
      <c r="AM54" s="57">
        <v>1.7</v>
      </c>
      <c r="AN54" s="57">
        <v>360</v>
      </c>
      <c r="AO54" s="57">
        <v>330</v>
      </c>
      <c r="AP54" s="57">
        <v>180</v>
      </c>
      <c r="AQ54" s="57">
        <v>0.48</v>
      </c>
      <c r="AR54" s="57">
        <v>0.22</v>
      </c>
      <c r="AS54" s="59">
        <v>2.2999999999999998</v>
      </c>
      <c r="AT54" s="57">
        <v>17.972999999999999</v>
      </c>
      <c r="AU54" s="57">
        <v>3.0449999999999999</v>
      </c>
      <c r="AV54" s="57">
        <v>1.236</v>
      </c>
      <c r="AW54" s="57">
        <v>3.1019999999999999</v>
      </c>
      <c r="AX54" s="57">
        <v>6.9909999999999997</v>
      </c>
      <c r="AY54" s="57">
        <v>2.9780000000000002</v>
      </c>
      <c r="AZ54" s="67">
        <v>0</v>
      </c>
      <c r="BA54" s="67">
        <v>0</v>
      </c>
      <c r="BB54" s="57">
        <v>7.9050000000000002</v>
      </c>
      <c r="BC54" s="68">
        <v>6.6020000000000003</v>
      </c>
      <c r="BD54" s="57">
        <v>0.90700000000000003</v>
      </c>
      <c r="BE54" s="57">
        <v>0.39600000000000002</v>
      </c>
      <c r="BF54" s="57">
        <v>0</v>
      </c>
      <c r="BG54" s="57">
        <v>0</v>
      </c>
      <c r="BH54" s="57">
        <v>0.67</v>
      </c>
      <c r="BI54" s="57">
        <v>0.26800000000000002</v>
      </c>
      <c r="BJ54" s="57">
        <v>0.40200000000000002</v>
      </c>
      <c r="BK54" s="57">
        <v>0</v>
      </c>
      <c r="BL54" s="57">
        <v>0</v>
      </c>
      <c r="BM54" s="57">
        <v>0</v>
      </c>
      <c r="BN54" s="57">
        <v>0</v>
      </c>
      <c r="BO54" s="60">
        <v>325</v>
      </c>
      <c r="BP54" s="60">
        <v>858</v>
      </c>
      <c r="BQ54" s="60">
        <v>1204</v>
      </c>
      <c r="BR54" s="60">
        <v>2365</v>
      </c>
      <c r="BS54" s="60">
        <v>2448</v>
      </c>
      <c r="BT54" s="60">
        <v>663</v>
      </c>
      <c r="BU54" s="60">
        <v>234</v>
      </c>
      <c r="BV54" s="60">
        <v>1320</v>
      </c>
      <c r="BW54" s="60">
        <v>1341</v>
      </c>
      <c r="BX54" s="60">
        <v>1666</v>
      </c>
      <c r="BY54" s="60">
        <v>887</v>
      </c>
      <c r="BZ54" s="60">
        <v>952</v>
      </c>
      <c r="CA54" s="60">
        <v>703</v>
      </c>
      <c r="CB54" s="60">
        <v>1607</v>
      </c>
      <c r="CC54" s="60">
        <v>5660</v>
      </c>
      <c r="CD54" s="60">
        <v>447</v>
      </c>
      <c r="CE54" s="60">
        <v>2993</v>
      </c>
      <c r="CF54" s="60">
        <v>1424</v>
      </c>
      <c r="CG54" s="57">
        <v>0</v>
      </c>
      <c r="CH54" s="57">
        <v>0</v>
      </c>
      <c r="CI54" s="57">
        <v>0</v>
      </c>
      <c r="CJ54" s="57">
        <v>0</v>
      </c>
      <c r="CK54" s="57">
        <v>0</v>
      </c>
      <c r="CL54" s="58">
        <v>0.05</v>
      </c>
    </row>
    <row r="55" spans="2:90" x14ac:dyDescent="0.35">
      <c r="B55" s="9" t="s">
        <v>304</v>
      </c>
      <c r="C55" s="6">
        <v>406</v>
      </c>
      <c r="D55" s="6">
        <v>1690</v>
      </c>
      <c r="E55" s="6">
        <v>33.9</v>
      </c>
      <c r="F55" s="6">
        <v>33.9</v>
      </c>
      <c r="G55" s="6">
        <v>0</v>
      </c>
      <c r="H55" s="6">
        <v>28.5</v>
      </c>
      <c r="I55" s="6">
        <v>28.5</v>
      </c>
      <c r="J55" s="6">
        <v>0</v>
      </c>
      <c r="K55" s="6">
        <v>109</v>
      </c>
      <c r="L55" s="6">
        <v>3.7</v>
      </c>
      <c r="M55" s="6">
        <v>0</v>
      </c>
      <c r="N55" s="6">
        <v>3.7</v>
      </c>
      <c r="O55" s="6">
        <v>0</v>
      </c>
      <c r="P55" s="6">
        <v>0</v>
      </c>
      <c r="Q55" s="6">
        <v>31.5</v>
      </c>
      <c r="R55" s="6">
        <v>0.2</v>
      </c>
      <c r="S55" s="6">
        <v>1169</v>
      </c>
      <c r="T55" s="6">
        <v>700</v>
      </c>
      <c r="U55" s="6">
        <v>120</v>
      </c>
      <c r="V55" s="6">
        <v>692</v>
      </c>
      <c r="W55" s="6">
        <v>4</v>
      </c>
      <c r="X55" s="6">
        <v>63</v>
      </c>
      <c r="Y55" s="6">
        <v>0.49</v>
      </c>
      <c r="Z55" s="6">
        <v>12</v>
      </c>
      <c r="AA55" s="6">
        <v>960</v>
      </c>
      <c r="AB55" s="6">
        <v>36</v>
      </c>
      <c r="AC55" s="6">
        <v>0.02</v>
      </c>
      <c r="AD55" s="6">
        <v>250</v>
      </c>
      <c r="AE55" s="6">
        <v>0.02</v>
      </c>
      <c r="AF55" s="6">
        <v>0.35</v>
      </c>
      <c r="AG55" s="6">
        <v>0</v>
      </c>
      <c r="AH55" s="6">
        <v>0.1</v>
      </c>
      <c r="AI55" s="6">
        <v>0.12</v>
      </c>
      <c r="AJ55" s="6">
        <v>5</v>
      </c>
      <c r="AK55" s="6">
        <v>0.25</v>
      </c>
      <c r="AL55" s="6">
        <v>6</v>
      </c>
      <c r="AM55" s="6">
        <v>3</v>
      </c>
      <c r="AN55" s="6">
        <v>224</v>
      </c>
      <c r="AO55" s="6">
        <v>209</v>
      </c>
      <c r="AP55" s="6">
        <v>89</v>
      </c>
      <c r="AQ55" s="6">
        <v>0.55000000000000004</v>
      </c>
      <c r="AR55" s="6">
        <v>0.5</v>
      </c>
      <c r="AS55" s="6">
        <v>1.7</v>
      </c>
      <c r="AT55" s="6">
        <v>17.53</v>
      </c>
      <c r="AU55" s="6">
        <v>2.63</v>
      </c>
      <c r="AV55" s="6">
        <v>0.81</v>
      </c>
      <c r="AW55" s="6">
        <v>2.74</v>
      </c>
      <c r="AX55" s="6">
        <v>7.33</v>
      </c>
      <c r="AY55" s="6">
        <v>2.79</v>
      </c>
      <c r="AZ55" s="6">
        <v>0</v>
      </c>
      <c r="BA55" s="6">
        <v>0</v>
      </c>
      <c r="BB55" s="6">
        <v>7.29</v>
      </c>
      <c r="BC55" s="6">
        <v>0</v>
      </c>
      <c r="BD55" s="6">
        <v>0.38</v>
      </c>
      <c r="BE55" s="6">
        <v>6.19</v>
      </c>
      <c r="BF55" s="6">
        <v>0.22</v>
      </c>
      <c r="BG55" s="6">
        <v>0</v>
      </c>
      <c r="BH55" s="6">
        <v>0.78</v>
      </c>
      <c r="BI55" s="6">
        <v>0.59</v>
      </c>
      <c r="BJ55" s="6">
        <v>0.15</v>
      </c>
      <c r="BK55" s="6">
        <v>0</v>
      </c>
      <c r="BL55" s="6">
        <v>0</v>
      </c>
      <c r="BM55" s="6">
        <v>0</v>
      </c>
      <c r="BN55" s="6">
        <v>0.04</v>
      </c>
      <c r="BO55" s="7">
        <v>310</v>
      </c>
      <c r="BP55" s="7">
        <v>1100</v>
      </c>
      <c r="BQ55" s="7">
        <v>1390</v>
      </c>
      <c r="BR55" s="7">
        <v>2820</v>
      </c>
      <c r="BS55" s="7">
        <v>2470</v>
      </c>
      <c r="BT55" s="7">
        <v>960</v>
      </c>
      <c r="BU55" s="7">
        <v>200</v>
      </c>
      <c r="BV55" s="7">
        <v>1740</v>
      </c>
      <c r="BW55" s="7">
        <v>2000</v>
      </c>
      <c r="BX55" s="7">
        <v>1910</v>
      </c>
      <c r="BY55" s="7">
        <v>820</v>
      </c>
      <c r="BZ55" s="7">
        <v>920</v>
      </c>
      <c r="CA55" s="7">
        <v>950</v>
      </c>
      <c r="CB55" s="7">
        <v>2170</v>
      </c>
      <c r="CC55" s="7">
        <v>631</v>
      </c>
      <c r="CD55" s="7">
        <v>640</v>
      </c>
      <c r="CE55" s="7">
        <v>3020</v>
      </c>
      <c r="CF55" s="7">
        <v>1950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3.7</v>
      </c>
    </row>
    <row r="56" spans="2:90" x14ac:dyDescent="0.35">
      <c r="B56" s="9" t="s">
        <v>305</v>
      </c>
      <c r="C56" s="54">
        <v>389</v>
      </c>
      <c r="D56" s="54">
        <v>1617</v>
      </c>
      <c r="E56" s="54">
        <v>30.6</v>
      </c>
      <c r="F56" s="54">
        <v>30.6</v>
      </c>
      <c r="G56" s="54">
        <v>0</v>
      </c>
      <c r="H56" s="54">
        <v>29</v>
      </c>
      <c r="I56" s="54">
        <v>29</v>
      </c>
      <c r="J56" s="54">
        <v>0</v>
      </c>
      <c r="K56" s="54">
        <v>87</v>
      </c>
      <c r="L56" s="54">
        <v>1.5</v>
      </c>
      <c r="M56" s="54">
        <v>0</v>
      </c>
      <c r="N56" s="54">
        <v>1.5</v>
      </c>
      <c r="O56" s="54">
        <v>0</v>
      </c>
      <c r="P56" s="54">
        <v>0</v>
      </c>
      <c r="Q56" s="54">
        <v>32.1</v>
      </c>
      <c r="R56" s="54">
        <v>0.5</v>
      </c>
      <c r="S56" s="54">
        <v>1123</v>
      </c>
      <c r="T56" s="54">
        <v>332</v>
      </c>
      <c r="U56" s="54">
        <v>80</v>
      </c>
      <c r="V56" s="54">
        <v>685</v>
      </c>
      <c r="W56" s="54">
        <v>2.2999999999999998</v>
      </c>
      <c r="X56" s="54">
        <v>37</v>
      </c>
      <c r="Y56" s="54">
        <v>0.13</v>
      </c>
      <c r="Z56" s="54">
        <v>1.6</v>
      </c>
      <c r="AA56" s="54">
        <v>1040</v>
      </c>
      <c r="AB56" s="54">
        <v>46</v>
      </c>
      <c r="AC56" s="51">
        <v>5.0000000000000001E-3</v>
      </c>
      <c r="AD56" s="54">
        <v>200</v>
      </c>
      <c r="AE56" s="54">
        <v>0.01</v>
      </c>
      <c r="AF56" s="54">
        <v>0.45</v>
      </c>
      <c r="AG56" s="54">
        <v>0</v>
      </c>
      <c r="AH56" s="54">
        <v>0.1</v>
      </c>
      <c r="AI56" s="54">
        <v>0.11</v>
      </c>
      <c r="AJ56" s="54">
        <v>12</v>
      </c>
      <c r="AK56" s="54">
        <v>0.35</v>
      </c>
      <c r="AL56" s="54">
        <v>1.5</v>
      </c>
      <c r="AM56" s="54">
        <v>1.6</v>
      </c>
      <c r="AN56" s="54">
        <v>316</v>
      </c>
      <c r="AO56" s="54">
        <v>283</v>
      </c>
      <c r="AP56" s="54">
        <v>196</v>
      </c>
      <c r="AQ56" s="54">
        <v>0.51</v>
      </c>
      <c r="AR56" s="54">
        <v>0.22</v>
      </c>
      <c r="AS56" s="55">
        <v>2.7</v>
      </c>
      <c r="AT56" s="54">
        <v>17.64</v>
      </c>
      <c r="AU56" s="54">
        <v>2.78</v>
      </c>
      <c r="AV56" s="54">
        <v>0.91</v>
      </c>
      <c r="AW56" s="54">
        <v>3.37</v>
      </c>
      <c r="AX56" s="54">
        <v>8.26</v>
      </c>
      <c r="AY56" s="54">
        <v>2.3199999999999998</v>
      </c>
      <c r="AZ56" s="54">
        <v>0</v>
      </c>
      <c r="BA56" s="54">
        <v>0</v>
      </c>
      <c r="BB56" s="54">
        <v>9.31</v>
      </c>
      <c r="BC56" s="54">
        <v>0</v>
      </c>
      <c r="BD56" s="54">
        <v>0.73</v>
      </c>
      <c r="BE56" s="54">
        <v>8.58</v>
      </c>
      <c r="BF56" s="54">
        <v>0</v>
      </c>
      <c r="BG56" s="54">
        <v>0</v>
      </c>
      <c r="BH56" s="54">
        <v>1.73</v>
      </c>
      <c r="BI56" s="54">
        <v>1.3</v>
      </c>
      <c r="BJ56" s="54">
        <v>0.43</v>
      </c>
      <c r="BK56" s="54">
        <v>0</v>
      </c>
      <c r="BL56" s="54">
        <v>0</v>
      </c>
      <c r="BM56" s="54">
        <v>0</v>
      </c>
      <c r="BN56" s="54">
        <v>0</v>
      </c>
      <c r="BO56" s="56">
        <v>432</v>
      </c>
      <c r="BP56" s="56">
        <v>1118</v>
      </c>
      <c r="BQ56" s="56">
        <v>1655</v>
      </c>
      <c r="BR56" s="56">
        <v>3184</v>
      </c>
      <c r="BS56" s="56">
        <v>2782</v>
      </c>
      <c r="BT56" s="56">
        <v>844</v>
      </c>
      <c r="BU56" s="56">
        <v>312</v>
      </c>
      <c r="BV56" s="56">
        <v>1789</v>
      </c>
      <c r="BW56" s="56">
        <v>1823</v>
      </c>
      <c r="BX56" s="56">
        <v>2302</v>
      </c>
      <c r="BY56" s="56">
        <v>998</v>
      </c>
      <c r="BZ56" s="56">
        <v>1147</v>
      </c>
      <c r="CA56" s="56">
        <v>983</v>
      </c>
      <c r="CB56" s="56">
        <v>1689</v>
      </c>
      <c r="CC56" s="56">
        <v>6140</v>
      </c>
      <c r="CD56" s="56">
        <v>547</v>
      </c>
      <c r="CE56" s="56">
        <v>3972</v>
      </c>
      <c r="CF56" s="56">
        <v>1765</v>
      </c>
      <c r="CG56" s="54">
        <v>0</v>
      </c>
      <c r="CH56" s="54">
        <v>0</v>
      </c>
      <c r="CI56" s="54">
        <v>0</v>
      </c>
      <c r="CJ56" s="54">
        <v>0</v>
      </c>
      <c r="CK56" s="54">
        <v>0</v>
      </c>
      <c r="CL56" s="54">
        <v>1.5</v>
      </c>
    </row>
    <row r="57" spans="2:90" x14ac:dyDescent="0.35">
      <c r="B57" s="9" t="s">
        <v>328</v>
      </c>
      <c r="C57" s="54">
        <v>316</v>
      </c>
      <c r="D57" s="54">
        <v>1312</v>
      </c>
      <c r="E57" s="54">
        <v>21.2</v>
      </c>
      <c r="F57" s="54">
        <v>21.2</v>
      </c>
      <c r="G57" s="54">
        <v>0</v>
      </c>
      <c r="H57" s="54">
        <v>25.2</v>
      </c>
      <c r="I57" s="54">
        <v>25.2</v>
      </c>
      <c r="J57" s="54">
        <v>0</v>
      </c>
      <c r="K57" s="54">
        <v>90</v>
      </c>
      <c r="L57" s="54">
        <v>1.2</v>
      </c>
      <c r="M57" s="54">
        <v>0</v>
      </c>
      <c r="N57" s="54">
        <v>1.2</v>
      </c>
      <c r="O57" s="54">
        <v>0</v>
      </c>
      <c r="P57" s="54">
        <v>0</v>
      </c>
      <c r="Q57" s="54">
        <v>49.2</v>
      </c>
      <c r="R57" s="54">
        <v>0.6</v>
      </c>
      <c r="S57" s="54">
        <v>640</v>
      </c>
      <c r="T57" s="54">
        <v>630</v>
      </c>
      <c r="U57" s="54">
        <v>111</v>
      </c>
      <c r="V57" s="54">
        <v>323</v>
      </c>
      <c r="W57" s="54">
        <v>2.5</v>
      </c>
      <c r="X57" s="54">
        <v>30</v>
      </c>
      <c r="Y57" s="54">
        <v>0.31</v>
      </c>
      <c r="Z57" s="54">
        <v>8</v>
      </c>
      <c r="AA57" s="54">
        <v>1570</v>
      </c>
      <c r="AB57" s="54">
        <v>46</v>
      </c>
      <c r="AC57" s="51">
        <v>5.0000000000000001E-3</v>
      </c>
      <c r="AD57" s="54">
        <v>230</v>
      </c>
      <c r="AE57" s="54">
        <v>7.0000000000000007E-2</v>
      </c>
      <c r="AF57" s="54">
        <v>0.3</v>
      </c>
      <c r="AG57" s="51">
        <v>0.5</v>
      </c>
      <c r="AH57" s="54">
        <v>0.3</v>
      </c>
      <c r="AI57" s="54">
        <v>0.09</v>
      </c>
      <c r="AJ57" s="54">
        <v>40</v>
      </c>
      <c r="AK57" s="54">
        <v>0.38</v>
      </c>
      <c r="AL57" s="54">
        <v>1.8</v>
      </c>
      <c r="AM57" s="54">
        <v>2.1</v>
      </c>
      <c r="AN57" s="54">
        <v>248</v>
      </c>
      <c r="AO57" s="54">
        <v>217</v>
      </c>
      <c r="AP57" s="54">
        <v>186</v>
      </c>
      <c r="AQ57" s="54">
        <v>0.48</v>
      </c>
      <c r="AR57" s="54">
        <v>0.19</v>
      </c>
      <c r="AS57" s="55">
        <v>4.5</v>
      </c>
      <c r="AT57" s="54">
        <v>14.77</v>
      </c>
      <c r="AU57" s="54">
        <v>2.2400000000000002</v>
      </c>
      <c r="AV57" s="54">
        <v>0.77</v>
      </c>
      <c r="AW57" s="54">
        <v>2.59</v>
      </c>
      <c r="AX57" s="54">
        <v>6.44</v>
      </c>
      <c r="AY57" s="54">
        <v>2.73</v>
      </c>
      <c r="AZ57" s="65">
        <v>0</v>
      </c>
      <c r="BA57" s="65">
        <v>0</v>
      </c>
      <c r="BB57" s="54">
        <v>7.7</v>
      </c>
      <c r="BC57" s="54">
        <v>0.49</v>
      </c>
      <c r="BD57" s="54">
        <v>0.7</v>
      </c>
      <c r="BE57" s="54">
        <v>6.51</v>
      </c>
      <c r="BF57" s="54">
        <v>0</v>
      </c>
      <c r="BG57" s="54">
        <v>0</v>
      </c>
      <c r="BH57" s="54">
        <v>0.84</v>
      </c>
      <c r="BI57" s="54">
        <v>0.49</v>
      </c>
      <c r="BJ57" s="54">
        <v>0.35</v>
      </c>
      <c r="BK57" s="54">
        <v>0</v>
      </c>
      <c r="BL57" s="54">
        <v>0</v>
      </c>
      <c r="BM57" s="54">
        <v>0</v>
      </c>
      <c r="BN57" s="54">
        <v>0</v>
      </c>
      <c r="BO57" s="56">
        <v>277</v>
      </c>
      <c r="BP57" s="56">
        <v>903</v>
      </c>
      <c r="BQ57" s="56">
        <v>1107</v>
      </c>
      <c r="BR57" s="56">
        <v>2071</v>
      </c>
      <c r="BS57" s="56">
        <v>1745</v>
      </c>
      <c r="BT57" s="56">
        <v>734</v>
      </c>
      <c r="BU57" s="56">
        <v>169</v>
      </c>
      <c r="BV57" s="56">
        <v>1204</v>
      </c>
      <c r="BW57" s="56">
        <v>1288</v>
      </c>
      <c r="BX57" s="56">
        <v>1372</v>
      </c>
      <c r="BY57" s="56">
        <v>855</v>
      </c>
      <c r="BZ57" s="56">
        <v>662</v>
      </c>
      <c r="CA57" s="56">
        <v>710</v>
      </c>
      <c r="CB57" s="56">
        <v>1541</v>
      </c>
      <c r="CC57" s="56">
        <v>4045</v>
      </c>
      <c r="CD57" s="56">
        <v>445</v>
      </c>
      <c r="CE57" s="56">
        <v>2396</v>
      </c>
      <c r="CF57" s="56">
        <v>1228</v>
      </c>
      <c r="CG57" s="54">
        <v>0</v>
      </c>
      <c r="CH57" s="54">
        <v>0</v>
      </c>
      <c r="CI57" s="54">
        <v>0</v>
      </c>
      <c r="CJ57" s="54">
        <v>0</v>
      </c>
      <c r="CK57" s="54">
        <v>0</v>
      </c>
      <c r="CL57" s="54">
        <v>1.2</v>
      </c>
    </row>
    <row r="58" spans="2:90" x14ac:dyDescent="0.35">
      <c r="B58" s="9" t="s">
        <v>306</v>
      </c>
      <c r="C58" s="54">
        <v>456</v>
      </c>
      <c r="D58" s="54">
        <v>1891</v>
      </c>
      <c r="E58" s="54">
        <v>30.7</v>
      </c>
      <c r="F58" s="54">
        <v>30.7</v>
      </c>
      <c r="G58" s="54">
        <v>0</v>
      </c>
      <c r="H58" s="54">
        <v>36.4</v>
      </c>
      <c r="I58" s="54">
        <v>36.4</v>
      </c>
      <c r="J58" s="54">
        <v>0</v>
      </c>
      <c r="K58" s="54">
        <v>100</v>
      </c>
      <c r="L58" s="54">
        <v>1.4</v>
      </c>
      <c r="M58" s="54">
        <v>0</v>
      </c>
      <c r="N58" s="54">
        <v>1.4</v>
      </c>
      <c r="O58" s="54">
        <v>0</v>
      </c>
      <c r="P58" s="54">
        <v>0</v>
      </c>
      <c r="Q58" s="54">
        <v>25.4</v>
      </c>
      <c r="R58" s="54">
        <v>0.3</v>
      </c>
      <c r="S58" s="54">
        <v>1057</v>
      </c>
      <c r="T58" s="54">
        <v>670</v>
      </c>
      <c r="U58" s="54">
        <v>99</v>
      </c>
      <c r="V58" s="54">
        <v>610</v>
      </c>
      <c r="W58" s="54">
        <v>2.2999999999999998</v>
      </c>
      <c r="X58" s="54">
        <v>37</v>
      </c>
      <c r="Y58" s="54">
        <v>0.13</v>
      </c>
      <c r="Z58" s="54">
        <v>12</v>
      </c>
      <c r="AA58" s="54">
        <v>1040</v>
      </c>
      <c r="AB58" s="54">
        <v>39</v>
      </c>
      <c r="AC58" s="51">
        <v>5.0000000000000001E-3</v>
      </c>
      <c r="AD58" s="54">
        <v>200</v>
      </c>
      <c r="AE58" s="54">
        <v>0.03</v>
      </c>
      <c r="AF58" s="54">
        <v>0.68</v>
      </c>
      <c r="AG58" s="51">
        <v>0.5</v>
      </c>
      <c r="AH58" s="54">
        <v>0.4</v>
      </c>
      <c r="AI58" s="54">
        <v>0.11</v>
      </c>
      <c r="AJ58" s="54">
        <v>12</v>
      </c>
      <c r="AK58" s="54">
        <v>0.35</v>
      </c>
      <c r="AL58" s="54">
        <v>1.5</v>
      </c>
      <c r="AM58" s="54">
        <v>1.6</v>
      </c>
      <c r="AN58" s="54">
        <v>430</v>
      </c>
      <c r="AO58" s="54">
        <v>413</v>
      </c>
      <c r="AP58" s="54">
        <v>100</v>
      </c>
      <c r="AQ58" s="54">
        <v>0.57999999999999996</v>
      </c>
      <c r="AR58" s="54">
        <v>0.25</v>
      </c>
      <c r="AS58" s="55">
        <v>5.52</v>
      </c>
      <c r="AT58" s="54">
        <v>21.334</v>
      </c>
      <c r="AU58" s="54">
        <v>3.2360000000000002</v>
      </c>
      <c r="AV58" s="54">
        <v>1.1120000000000001</v>
      </c>
      <c r="AW58" s="54">
        <v>3.7410000000000001</v>
      </c>
      <c r="AX58" s="54">
        <v>9.3019999999999996</v>
      </c>
      <c r="AY58" s="54">
        <v>3.9430000000000001</v>
      </c>
      <c r="AZ58" s="54">
        <v>0</v>
      </c>
      <c r="BA58" s="54">
        <v>0</v>
      </c>
      <c r="BB58" s="54">
        <v>11.122</v>
      </c>
      <c r="BC58" s="54">
        <v>0.70799999999999996</v>
      </c>
      <c r="BD58" s="54">
        <v>1.0109999999999999</v>
      </c>
      <c r="BE58" s="54">
        <v>9.4030000000000005</v>
      </c>
      <c r="BF58" s="54">
        <v>0</v>
      </c>
      <c r="BG58" s="54">
        <v>0</v>
      </c>
      <c r="BH58" s="54">
        <v>1.2130000000000001</v>
      </c>
      <c r="BI58" s="54">
        <v>0.70799999999999996</v>
      </c>
      <c r="BJ58" s="54">
        <v>0.50600000000000001</v>
      </c>
      <c r="BK58" s="54">
        <v>0</v>
      </c>
      <c r="BL58" s="54">
        <v>0</v>
      </c>
      <c r="BM58" s="54">
        <v>0</v>
      </c>
      <c r="BN58" s="54">
        <v>0</v>
      </c>
      <c r="BO58" s="56">
        <v>367</v>
      </c>
      <c r="BP58" s="56">
        <v>964</v>
      </c>
      <c r="BQ58" s="56">
        <v>1552</v>
      </c>
      <c r="BR58" s="56">
        <v>2677</v>
      </c>
      <c r="BS58" s="56">
        <v>2363</v>
      </c>
      <c r="BT58" s="56">
        <v>901</v>
      </c>
      <c r="BU58" s="56">
        <v>149</v>
      </c>
      <c r="BV58" s="56">
        <v>1522</v>
      </c>
      <c r="BW58" s="56">
        <v>1599</v>
      </c>
      <c r="BX58" s="56">
        <v>1967</v>
      </c>
      <c r="BY58" s="56">
        <v>960</v>
      </c>
      <c r="BZ58" s="56">
        <v>791</v>
      </c>
      <c r="CA58" s="56">
        <v>909</v>
      </c>
      <c r="CB58" s="56">
        <v>1977</v>
      </c>
      <c r="CC58" s="56">
        <v>6826</v>
      </c>
      <c r="CD58" s="56">
        <v>542</v>
      </c>
      <c r="CE58" s="56">
        <v>2890</v>
      </c>
      <c r="CF58" s="56">
        <v>1512</v>
      </c>
      <c r="CG58" s="54">
        <v>0</v>
      </c>
      <c r="CH58" s="54">
        <v>0</v>
      </c>
      <c r="CI58" s="54">
        <v>0</v>
      </c>
      <c r="CJ58" s="54">
        <v>0</v>
      </c>
      <c r="CK58" s="54">
        <v>0</v>
      </c>
      <c r="CL58" s="54">
        <v>1.4</v>
      </c>
    </row>
    <row r="59" spans="2:90" x14ac:dyDescent="0.35">
      <c r="B59" s="9" t="s">
        <v>307</v>
      </c>
      <c r="C59" s="6">
        <v>455</v>
      </c>
      <c r="D59" s="6">
        <v>1873</v>
      </c>
      <c r="E59" s="6">
        <v>7.6</v>
      </c>
      <c r="F59" s="6">
        <v>7.6</v>
      </c>
      <c r="G59" s="6">
        <v>0</v>
      </c>
      <c r="H59" s="6">
        <v>47</v>
      </c>
      <c r="I59" s="6">
        <v>47</v>
      </c>
      <c r="J59" s="6">
        <v>0</v>
      </c>
      <c r="K59" s="6">
        <v>95</v>
      </c>
      <c r="L59" s="6">
        <v>0.3</v>
      </c>
      <c r="M59" s="6">
        <v>0</v>
      </c>
      <c r="N59" s="6">
        <v>0.3</v>
      </c>
      <c r="O59" s="6">
        <v>0</v>
      </c>
      <c r="P59" s="6">
        <v>0</v>
      </c>
      <c r="Q59" s="6">
        <v>44.4</v>
      </c>
      <c r="R59" s="6">
        <v>0.2</v>
      </c>
      <c r="S59" s="6">
        <v>68</v>
      </c>
      <c r="T59" s="6">
        <v>86</v>
      </c>
      <c r="U59" s="6">
        <v>53</v>
      </c>
      <c r="V59" s="6">
        <v>97</v>
      </c>
      <c r="W59" s="6">
        <v>0.4</v>
      </c>
      <c r="X59" s="6">
        <v>10</v>
      </c>
      <c r="Y59" s="6">
        <v>0.1</v>
      </c>
      <c r="Z59" s="6">
        <v>2</v>
      </c>
      <c r="AA59" s="6">
        <v>480</v>
      </c>
      <c r="AB59" s="6">
        <v>29</v>
      </c>
      <c r="AC59" s="51">
        <v>5.0000000000000001E-3</v>
      </c>
      <c r="AD59" s="6">
        <v>230</v>
      </c>
      <c r="AE59" s="6">
        <v>0.01</v>
      </c>
      <c r="AF59" s="6">
        <v>0.22</v>
      </c>
      <c r="AG59" s="6">
        <v>0</v>
      </c>
      <c r="AH59" s="6">
        <v>0.1</v>
      </c>
      <c r="AI59" s="6">
        <v>0.04</v>
      </c>
      <c r="AJ59" s="6">
        <v>11</v>
      </c>
      <c r="AK59" s="6">
        <v>0.27</v>
      </c>
      <c r="AL59" s="6">
        <v>1.6</v>
      </c>
      <c r="AM59" s="6">
        <v>0.3</v>
      </c>
      <c r="AN59" s="6">
        <v>353</v>
      </c>
      <c r="AO59" s="6">
        <v>310</v>
      </c>
      <c r="AP59" s="6">
        <v>258</v>
      </c>
      <c r="AQ59" s="6">
        <v>1</v>
      </c>
      <c r="AR59" s="6">
        <v>0.27</v>
      </c>
      <c r="AS59" s="6">
        <v>4.7</v>
      </c>
      <c r="AT59" s="6">
        <v>27.547000000000001</v>
      </c>
      <c r="AU59" s="6">
        <v>4.1779999999999999</v>
      </c>
      <c r="AV59" s="6">
        <v>1.4359999999999999</v>
      </c>
      <c r="AW59" s="6">
        <v>4.8310000000000004</v>
      </c>
      <c r="AX59" s="6">
        <v>12.010999999999999</v>
      </c>
      <c r="AY59" s="6">
        <v>5.0919999999999996</v>
      </c>
      <c r="AZ59" s="6">
        <v>0</v>
      </c>
      <c r="BA59" s="6">
        <v>0</v>
      </c>
      <c r="BB59" s="6">
        <v>14.361000000000001</v>
      </c>
      <c r="BC59" s="6">
        <v>0.91400000000000003</v>
      </c>
      <c r="BD59" s="6">
        <v>1.306</v>
      </c>
      <c r="BE59" s="6">
        <v>12.141999999999999</v>
      </c>
      <c r="BF59" s="6">
        <v>0</v>
      </c>
      <c r="BG59" s="6">
        <v>0</v>
      </c>
      <c r="BH59" s="6">
        <v>1.5669999999999999</v>
      </c>
      <c r="BI59" s="6">
        <v>0.91400000000000003</v>
      </c>
      <c r="BJ59" s="6">
        <v>0.65300000000000002</v>
      </c>
      <c r="BK59" s="6">
        <v>0</v>
      </c>
      <c r="BL59" s="6">
        <v>0</v>
      </c>
      <c r="BM59" s="6">
        <v>0</v>
      </c>
      <c r="BN59" s="6">
        <v>0</v>
      </c>
      <c r="BO59" s="7">
        <v>104</v>
      </c>
      <c r="BP59" s="7">
        <v>250</v>
      </c>
      <c r="BQ59" s="7">
        <v>297</v>
      </c>
      <c r="BR59" s="7">
        <v>590</v>
      </c>
      <c r="BS59" s="7">
        <v>477</v>
      </c>
      <c r="BT59" s="7">
        <v>189</v>
      </c>
      <c r="BU59" s="7">
        <v>47</v>
      </c>
      <c r="BV59" s="7">
        <v>321</v>
      </c>
      <c r="BW59" s="7">
        <v>359</v>
      </c>
      <c r="BX59" s="7">
        <v>387</v>
      </c>
      <c r="BY59" s="7">
        <v>212</v>
      </c>
      <c r="BZ59" s="7">
        <v>170</v>
      </c>
      <c r="CA59" s="7">
        <v>203</v>
      </c>
      <c r="CB59" s="7">
        <v>481</v>
      </c>
      <c r="CC59" s="7">
        <v>1241</v>
      </c>
      <c r="CD59" s="7">
        <v>118</v>
      </c>
      <c r="CE59" s="7">
        <v>699</v>
      </c>
      <c r="CF59" s="7">
        <v>363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0.3</v>
      </c>
    </row>
    <row r="60" spans="2:90" x14ac:dyDescent="0.35">
      <c r="B60" s="9" t="s">
        <v>281</v>
      </c>
      <c r="C60" s="54">
        <v>411</v>
      </c>
      <c r="D60" s="54">
        <v>1706</v>
      </c>
      <c r="E60" s="54">
        <v>30.3</v>
      </c>
      <c r="F60" s="54">
        <v>30.3</v>
      </c>
      <c r="G60" s="54">
        <v>0</v>
      </c>
      <c r="H60" s="54">
        <v>32.200000000000003</v>
      </c>
      <c r="I60" s="54">
        <v>32.200000000000003</v>
      </c>
      <c r="J60" s="54">
        <v>0</v>
      </c>
      <c r="K60" s="54">
        <v>100</v>
      </c>
      <c r="L60" s="51">
        <v>0.05</v>
      </c>
      <c r="M60" s="54">
        <v>0</v>
      </c>
      <c r="N60" s="51">
        <v>0.05</v>
      </c>
      <c r="O60" s="54">
        <v>0</v>
      </c>
      <c r="P60" s="54">
        <v>0</v>
      </c>
      <c r="Q60" s="54">
        <v>32</v>
      </c>
      <c r="R60" s="54">
        <v>0.3</v>
      </c>
      <c r="S60" s="54">
        <v>870</v>
      </c>
      <c r="T60" s="54">
        <v>757</v>
      </c>
      <c r="U60" s="54">
        <v>99</v>
      </c>
      <c r="V60" s="54">
        <v>690</v>
      </c>
      <c r="W60" s="54">
        <v>2.2999999999999998</v>
      </c>
      <c r="X60" s="54">
        <v>37</v>
      </c>
      <c r="Y60" s="54">
        <v>0.13</v>
      </c>
      <c r="Z60" s="54">
        <v>13</v>
      </c>
      <c r="AA60" s="54">
        <v>1080</v>
      </c>
      <c r="AB60" s="54">
        <v>44</v>
      </c>
      <c r="AC60" s="51">
        <v>5.0000000000000001E-3</v>
      </c>
      <c r="AD60" s="54">
        <v>200</v>
      </c>
      <c r="AE60" s="54">
        <v>0.03</v>
      </c>
      <c r="AF60" s="54">
        <v>0.39</v>
      </c>
      <c r="AG60" s="51">
        <v>0.5</v>
      </c>
      <c r="AH60" s="54">
        <v>0.04</v>
      </c>
      <c r="AI60" s="54">
        <v>0.11</v>
      </c>
      <c r="AJ60" s="54">
        <v>12</v>
      </c>
      <c r="AK60" s="54">
        <v>0.35</v>
      </c>
      <c r="AL60" s="54">
        <v>1.5</v>
      </c>
      <c r="AM60" s="54">
        <v>1.6</v>
      </c>
      <c r="AN60" s="54">
        <v>430</v>
      </c>
      <c r="AO60" s="54">
        <v>413</v>
      </c>
      <c r="AP60" s="54">
        <v>100</v>
      </c>
      <c r="AQ60" s="54">
        <v>0.69</v>
      </c>
      <c r="AR60" s="54">
        <v>0.25</v>
      </c>
      <c r="AS60" s="55">
        <v>5.52</v>
      </c>
      <c r="AT60" s="54">
        <v>18.873000000000001</v>
      </c>
      <c r="AU60" s="54">
        <v>2.8620000000000001</v>
      </c>
      <c r="AV60" s="54">
        <v>0.98399999999999999</v>
      </c>
      <c r="AW60" s="54">
        <v>3.3090000000000002</v>
      </c>
      <c r="AX60" s="54">
        <v>8.2289999999999992</v>
      </c>
      <c r="AY60" s="54">
        <v>3.488</v>
      </c>
      <c r="AZ60" s="54">
        <v>0</v>
      </c>
      <c r="BA60" s="54">
        <v>0</v>
      </c>
      <c r="BB60" s="54">
        <v>9.8390000000000004</v>
      </c>
      <c r="BC60" s="54">
        <v>0.626</v>
      </c>
      <c r="BD60" s="54">
        <v>0.89400000000000002</v>
      </c>
      <c r="BE60" s="54">
        <v>8.3179999999999996</v>
      </c>
      <c r="BF60" s="54">
        <v>0</v>
      </c>
      <c r="BG60" s="54">
        <v>0</v>
      </c>
      <c r="BH60" s="54">
        <v>1.073</v>
      </c>
      <c r="BI60" s="54">
        <v>0.626</v>
      </c>
      <c r="BJ60" s="54">
        <v>0.44700000000000001</v>
      </c>
      <c r="BK60" s="54">
        <v>0</v>
      </c>
      <c r="BL60" s="54">
        <v>0</v>
      </c>
      <c r="BM60" s="54">
        <v>0</v>
      </c>
      <c r="BN60" s="54">
        <v>0</v>
      </c>
      <c r="BO60" s="56">
        <v>362</v>
      </c>
      <c r="BP60" s="56">
        <v>951</v>
      </c>
      <c r="BQ60" s="56">
        <v>1532</v>
      </c>
      <c r="BR60" s="56">
        <v>2642</v>
      </c>
      <c r="BS60" s="56">
        <v>2332</v>
      </c>
      <c r="BT60" s="56">
        <v>890</v>
      </c>
      <c r="BU60" s="56">
        <v>147</v>
      </c>
      <c r="BV60" s="56">
        <v>1502</v>
      </c>
      <c r="BW60" s="56">
        <v>1579</v>
      </c>
      <c r="BX60" s="56">
        <v>1941</v>
      </c>
      <c r="BY60" s="56">
        <v>948</v>
      </c>
      <c r="BZ60" s="56">
        <v>781</v>
      </c>
      <c r="CA60" s="56">
        <v>897</v>
      </c>
      <c r="CB60" s="56">
        <v>1952</v>
      </c>
      <c r="CC60" s="56">
        <v>6737</v>
      </c>
      <c r="CD60" s="56">
        <v>535</v>
      </c>
      <c r="CE60" s="56">
        <v>2852</v>
      </c>
      <c r="CF60" s="56">
        <v>1492</v>
      </c>
      <c r="CG60" s="54">
        <v>0</v>
      </c>
      <c r="CH60" s="54">
        <v>0</v>
      </c>
      <c r="CI60" s="54">
        <v>0</v>
      </c>
      <c r="CJ60" s="54">
        <v>0</v>
      </c>
      <c r="CK60" s="54">
        <v>0</v>
      </c>
      <c r="CL60" s="51">
        <v>0.05</v>
      </c>
    </row>
    <row r="61" spans="2:90" x14ac:dyDescent="0.35">
      <c r="B61" s="9" t="s">
        <v>290</v>
      </c>
      <c r="C61" s="54">
        <v>288</v>
      </c>
      <c r="D61" s="54">
        <v>1193</v>
      </c>
      <c r="E61" s="54">
        <v>16.7</v>
      </c>
      <c r="F61" s="54">
        <v>16.7</v>
      </c>
      <c r="G61" s="54">
        <v>0</v>
      </c>
      <c r="H61" s="54">
        <v>24.4</v>
      </c>
      <c r="I61" s="54">
        <v>24.4</v>
      </c>
      <c r="J61" s="54">
        <v>0</v>
      </c>
      <c r="K61" s="54">
        <v>56</v>
      </c>
      <c r="L61" s="54">
        <v>0.4</v>
      </c>
      <c r="M61" s="54">
        <v>0</v>
      </c>
      <c r="N61" s="54">
        <v>0.4</v>
      </c>
      <c r="O61" s="54">
        <v>0</v>
      </c>
      <c r="P61" s="54">
        <v>0</v>
      </c>
      <c r="Q61" s="54">
        <v>55.5</v>
      </c>
      <c r="R61" s="54">
        <v>0.2</v>
      </c>
      <c r="S61" s="54">
        <v>210</v>
      </c>
      <c r="T61" s="54">
        <v>200</v>
      </c>
      <c r="U61" s="54">
        <v>145</v>
      </c>
      <c r="V61" s="54">
        <v>195</v>
      </c>
      <c r="W61" s="54">
        <v>2.6</v>
      </c>
      <c r="X61" s="54">
        <v>10</v>
      </c>
      <c r="Y61" s="51">
        <v>5.0000000000000001E-3</v>
      </c>
      <c r="Z61" s="54">
        <v>3</v>
      </c>
      <c r="AA61" s="54">
        <v>990</v>
      </c>
      <c r="AB61" s="54">
        <v>4</v>
      </c>
      <c r="AC61" s="51">
        <v>5.0000000000000001E-3</v>
      </c>
      <c r="AD61" s="54">
        <v>110</v>
      </c>
      <c r="AE61" s="54">
        <v>0.03</v>
      </c>
      <c r="AF61" s="54">
        <v>0.27</v>
      </c>
      <c r="AG61" s="54">
        <v>0</v>
      </c>
      <c r="AH61" s="54">
        <v>0.4</v>
      </c>
      <c r="AI61" s="54">
        <v>0.09</v>
      </c>
      <c r="AJ61" s="54">
        <v>19</v>
      </c>
      <c r="AK61" s="54">
        <v>0.25</v>
      </c>
      <c r="AL61" s="54">
        <v>2.2000000000000002</v>
      </c>
      <c r="AM61" s="54">
        <v>2.1</v>
      </c>
      <c r="AN61" s="54">
        <v>268</v>
      </c>
      <c r="AO61" s="54">
        <v>240</v>
      </c>
      <c r="AP61" s="54">
        <v>170</v>
      </c>
      <c r="AQ61" s="54">
        <v>0.24</v>
      </c>
      <c r="AR61" s="54">
        <v>0.16</v>
      </c>
      <c r="AS61" s="54">
        <v>2.2999999999999998</v>
      </c>
      <c r="AT61" s="54">
        <v>4.8710000000000004</v>
      </c>
      <c r="AU61" s="54">
        <v>0.67900000000000005</v>
      </c>
      <c r="AV61" s="54">
        <v>0.17699999999999999</v>
      </c>
      <c r="AW61" s="54">
        <v>0.745</v>
      </c>
      <c r="AX61" s="54">
        <v>2.1179999999999999</v>
      </c>
      <c r="AY61" s="54">
        <v>0.72299999999999998</v>
      </c>
      <c r="AZ61" s="62">
        <v>0</v>
      </c>
      <c r="BA61" s="62">
        <v>0</v>
      </c>
      <c r="BB61" s="54">
        <v>1.893</v>
      </c>
      <c r="BC61" s="63">
        <v>8.4000000000000005E-2</v>
      </c>
      <c r="BD61" s="54">
        <v>0.15</v>
      </c>
      <c r="BE61" s="54">
        <v>1.659</v>
      </c>
      <c r="BF61" s="62">
        <v>0</v>
      </c>
      <c r="BG61" s="62">
        <v>0</v>
      </c>
      <c r="BH61" s="54">
        <v>0.51700000000000002</v>
      </c>
      <c r="BI61" s="54">
        <v>7.3999999999999996E-2</v>
      </c>
      <c r="BJ61" s="54">
        <v>8.1000000000000003E-2</v>
      </c>
      <c r="BK61" s="54">
        <v>0</v>
      </c>
      <c r="BL61" s="62">
        <v>0</v>
      </c>
      <c r="BM61" s="62">
        <v>0</v>
      </c>
      <c r="BN61" s="54">
        <v>0.36</v>
      </c>
      <c r="BO61" s="56">
        <v>236</v>
      </c>
      <c r="BP61" s="56">
        <v>811</v>
      </c>
      <c r="BQ61" s="56">
        <v>904</v>
      </c>
      <c r="BR61" s="56">
        <v>1630</v>
      </c>
      <c r="BS61" s="56">
        <v>1247</v>
      </c>
      <c r="BT61" s="56">
        <v>432</v>
      </c>
      <c r="BU61" s="56">
        <v>214</v>
      </c>
      <c r="BV61" s="56">
        <v>721</v>
      </c>
      <c r="BW61" s="56">
        <v>815</v>
      </c>
      <c r="BX61" s="56">
        <v>975</v>
      </c>
      <c r="BY61" s="56">
        <v>508</v>
      </c>
      <c r="BZ61" s="56">
        <v>347</v>
      </c>
      <c r="CA61" s="56">
        <v>588</v>
      </c>
      <c r="CB61" s="56">
        <v>1376</v>
      </c>
      <c r="CC61" s="56">
        <v>2124</v>
      </c>
      <c r="CD61" s="56">
        <v>356</v>
      </c>
      <c r="CE61" s="56">
        <v>1621</v>
      </c>
      <c r="CF61" s="56">
        <v>1011</v>
      </c>
      <c r="CG61" s="54">
        <v>0</v>
      </c>
      <c r="CH61" s="54">
        <v>0</v>
      </c>
      <c r="CI61" s="54">
        <v>0</v>
      </c>
      <c r="CJ61" s="54">
        <v>0</v>
      </c>
      <c r="CK61" s="54">
        <v>0</v>
      </c>
      <c r="CL61" s="54">
        <v>0.4</v>
      </c>
    </row>
    <row r="62" spans="2:90" x14ac:dyDescent="0.35">
      <c r="B62" s="9" t="s">
        <v>217</v>
      </c>
      <c r="C62" s="6">
        <v>253</v>
      </c>
      <c r="D62" s="6">
        <v>1051</v>
      </c>
      <c r="E62" s="6">
        <v>18.7</v>
      </c>
      <c r="F62" s="6">
        <v>18.7</v>
      </c>
      <c r="G62" s="6">
        <v>0</v>
      </c>
      <c r="H62" s="6">
        <v>19.5</v>
      </c>
      <c r="I62" s="6">
        <v>19.5</v>
      </c>
      <c r="J62" s="6">
        <v>0</v>
      </c>
      <c r="K62" s="6">
        <v>46</v>
      </c>
      <c r="L62" s="6">
        <v>0.7</v>
      </c>
      <c r="M62" s="6">
        <v>0</v>
      </c>
      <c r="N62" s="6">
        <v>0.7</v>
      </c>
      <c r="O62" s="6">
        <v>0</v>
      </c>
      <c r="P62" s="6">
        <v>0</v>
      </c>
      <c r="Q62" s="6">
        <v>58.8</v>
      </c>
      <c r="R62" s="6">
        <v>0.4</v>
      </c>
      <c r="S62" s="6">
        <v>160</v>
      </c>
      <c r="T62" s="6">
        <v>200</v>
      </c>
      <c r="U62" s="6">
        <v>145</v>
      </c>
      <c r="V62" s="6">
        <v>350</v>
      </c>
      <c r="W62" s="6">
        <v>2.6</v>
      </c>
      <c r="X62" s="6">
        <v>10</v>
      </c>
      <c r="Y62" s="51">
        <v>5.0000000000000001E-3</v>
      </c>
      <c r="Z62" s="6">
        <v>3</v>
      </c>
      <c r="AA62" s="6">
        <v>813</v>
      </c>
      <c r="AB62" s="6">
        <v>4</v>
      </c>
      <c r="AC62" s="51">
        <v>5.0000000000000001E-3</v>
      </c>
      <c r="AD62" s="6">
        <v>110</v>
      </c>
      <c r="AE62" s="6">
        <v>0.03</v>
      </c>
      <c r="AF62" s="6">
        <v>0.27</v>
      </c>
      <c r="AG62" s="6">
        <v>0</v>
      </c>
      <c r="AH62" s="6">
        <v>0.4</v>
      </c>
      <c r="AI62" s="6">
        <v>7.0000000000000007E-2</v>
      </c>
      <c r="AJ62" s="6">
        <v>16</v>
      </c>
      <c r="AK62" s="6">
        <v>0.21</v>
      </c>
      <c r="AL62" s="6">
        <v>1.8</v>
      </c>
      <c r="AM62" s="6">
        <v>1.7</v>
      </c>
      <c r="AN62" s="6">
        <v>205</v>
      </c>
      <c r="AO62" s="6">
        <v>183</v>
      </c>
      <c r="AP62" s="6">
        <v>130</v>
      </c>
      <c r="AQ62" s="6">
        <v>0.39</v>
      </c>
      <c r="AR62" s="6">
        <v>0.12</v>
      </c>
      <c r="AS62" s="6">
        <v>2.2999999999999998</v>
      </c>
      <c r="AT62" s="6">
        <v>11.429</v>
      </c>
      <c r="AU62" s="6">
        <v>1.7330000000000001</v>
      </c>
      <c r="AV62" s="6">
        <v>0.59599999999999997</v>
      </c>
      <c r="AW62" s="6">
        <v>2.004</v>
      </c>
      <c r="AX62" s="6">
        <v>4.9829999999999997</v>
      </c>
      <c r="AY62" s="6">
        <v>2.113</v>
      </c>
      <c r="AZ62" s="6">
        <v>0</v>
      </c>
      <c r="BA62" s="6">
        <v>0</v>
      </c>
      <c r="BB62" s="6">
        <v>5.9580000000000002</v>
      </c>
      <c r="BC62" s="6">
        <v>0.379</v>
      </c>
      <c r="BD62" s="6">
        <v>0.54200000000000004</v>
      </c>
      <c r="BE62" s="6">
        <v>5.0380000000000003</v>
      </c>
      <c r="BF62" s="6">
        <v>0</v>
      </c>
      <c r="BG62" s="6">
        <v>0</v>
      </c>
      <c r="BH62" s="6">
        <v>0.65</v>
      </c>
      <c r="BI62" s="6">
        <v>0.379</v>
      </c>
      <c r="BJ62" s="6">
        <v>0.27100000000000002</v>
      </c>
      <c r="BK62" s="6">
        <v>0</v>
      </c>
      <c r="BL62" s="6">
        <v>0</v>
      </c>
      <c r="BM62" s="6">
        <v>0</v>
      </c>
      <c r="BN62" s="6">
        <v>0</v>
      </c>
      <c r="BO62" s="7">
        <v>180</v>
      </c>
      <c r="BP62" s="7">
        <v>540</v>
      </c>
      <c r="BQ62" s="7">
        <v>480</v>
      </c>
      <c r="BR62" s="7">
        <v>1400</v>
      </c>
      <c r="BS62" s="7">
        <v>1200</v>
      </c>
      <c r="BT62" s="7">
        <v>570</v>
      </c>
      <c r="BU62" s="7">
        <v>140</v>
      </c>
      <c r="BV62" s="7">
        <v>820</v>
      </c>
      <c r="BW62" s="7">
        <v>880</v>
      </c>
      <c r="BX62" s="7">
        <v>630</v>
      </c>
      <c r="BY62" s="7">
        <v>550</v>
      </c>
      <c r="BZ62" s="7">
        <v>460</v>
      </c>
      <c r="CA62" s="7">
        <v>530</v>
      </c>
      <c r="CB62" s="7">
        <v>1150</v>
      </c>
      <c r="CC62" s="7">
        <v>3000</v>
      </c>
      <c r="CD62" s="7">
        <v>330</v>
      </c>
      <c r="CE62" s="7">
        <v>1650</v>
      </c>
      <c r="CF62" s="7">
        <v>900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0.7</v>
      </c>
    </row>
    <row r="63" spans="2:90" x14ac:dyDescent="0.35">
      <c r="B63" s="9" t="s">
        <v>313</v>
      </c>
      <c r="C63" s="6">
        <v>387</v>
      </c>
      <c r="D63" s="6">
        <v>1609</v>
      </c>
      <c r="E63" s="6">
        <v>33.5</v>
      </c>
      <c r="F63" s="6">
        <v>33.5</v>
      </c>
      <c r="G63" s="6">
        <v>0</v>
      </c>
      <c r="H63" s="6">
        <v>28.1</v>
      </c>
      <c r="I63" s="6">
        <v>28.1</v>
      </c>
      <c r="J63" s="6">
        <v>0</v>
      </c>
      <c r="K63" s="6">
        <v>91</v>
      </c>
      <c r="L63" s="51">
        <v>0.05</v>
      </c>
      <c r="M63" s="6">
        <v>0</v>
      </c>
      <c r="N63" s="51">
        <v>0.05</v>
      </c>
      <c r="O63" s="6">
        <v>0</v>
      </c>
      <c r="P63" s="6">
        <v>0</v>
      </c>
      <c r="Q63" s="6">
        <v>30.4</v>
      </c>
      <c r="R63" s="6">
        <v>0.7</v>
      </c>
      <c r="S63" s="6">
        <v>1159</v>
      </c>
      <c r="T63" s="6">
        <v>556</v>
      </c>
      <c r="U63" s="6">
        <v>102</v>
      </c>
      <c r="V63" s="6">
        <v>678</v>
      </c>
      <c r="W63" s="6">
        <v>4</v>
      </c>
      <c r="X63" s="6">
        <v>43</v>
      </c>
      <c r="Y63" s="6">
        <v>0.83</v>
      </c>
      <c r="Z63" s="6">
        <v>12</v>
      </c>
      <c r="AA63" s="6">
        <v>834</v>
      </c>
      <c r="AB63" s="6">
        <v>36</v>
      </c>
      <c r="AC63" s="6">
        <v>0.02</v>
      </c>
      <c r="AD63" s="6">
        <v>250</v>
      </c>
      <c r="AE63" s="6">
        <v>0.03</v>
      </c>
      <c r="AF63" s="6">
        <v>0.37</v>
      </c>
      <c r="AG63" s="6">
        <v>0</v>
      </c>
      <c r="AH63" s="6">
        <v>0.05</v>
      </c>
      <c r="AI63" s="6">
        <v>0.11</v>
      </c>
      <c r="AJ63" s="6">
        <v>5</v>
      </c>
      <c r="AK63" s="6">
        <v>0.32</v>
      </c>
      <c r="AL63" s="6">
        <v>23</v>
      </c>
      <c r="AM63" s="6">
        <v>4.2</v>
      </c>
      <c r="AN63" s="6">
        <v>298</v>
      </c>
      <c r="AO63" s="6">
        <v>278</v>
      </c>
      <c r="AP63" s="6">
        <v>118</v>
      </c>
      <c r="AQ63" s="6">
        <v>0.68</v>
      </c>
      <c r="AR63" s="6">
        <v>0.5</v>
      </c>
      <c r="AS63" s="6">
        <v>1.7</v>
      </c>
      <c r="AT63" s="6">
        <v>18.54</v>
      </c>
      <c r="AU63" s="6">
        <v>2.98</v>
      </c>
      <c r="AV63" s="6">
        <v>1.04</v>
      </c>
      <c r="AW63" s="6">
        <v>3.04</v>
      </c>
      <c r="AX63" s="6">
        <v>8.0399999999999991</v>
      </c>
      <c r="AY63" s="6">
        <v>3.07</v>
      </c>
      <c r="AZ63" s="6">
        <v>0</v>
      </c>
      <c r="BA63" s="6">
        <v>0</v>
      </c>
      <c r="BB63" s="6">
        <v>8.81</v>
      </c>
      <c r="BC63" s="6">
        <v>0</v>
      </c>
      <c r="BD63" s="6">
        <v>0.64</v>
      </c>
      <c r="BE63" s="6">
        <v>8.16</v>
      </c>
      <c r="BF63" s="6">
        <v>0</v>
      </c>
      <c r="BG63" s="6">
        <v>0</v>
      </c>
      <c r="BH63" s="6">
        <v>0.79</v>
      </c>
      <c r="BI63" s="6">
        <v>0.38</v>
      </c>
      <c r="BJ63" s="6">
        <v>0.42</v>
      </c>
      <c r="BK63" s="6">
        <v>0</v>
      </c>
      <c r="BL63" s="6">
        <v>0</v>
      </c>
      <c r="BM63" s="6">
        <v>0</v>
      </c>
      <c r="BN63" s="6">
        <v>0</v>
      </c>
      <c r="BO63" s="7">
        <v>320</v>
      </c>
      <c r="BP63" s="7">
        <v>1100</v>
      </c>
      <c r="BQ63" s="7">
        <v>1280</v>
      </c>
      <c r="BR63" s="7">
        <v>2880</v>
      </c>
      <c r="BS63" s="7">
        <v>2460</v>
      </c>
      <c r="BT63" s="7">
        <v>1030</v>
      </c>
      <c r="BU63" s="7">
        <v>200</v>
      </c>
      <c r="BV63" s="7">
        <v>1303</v>
      </c>
      <c r="BW63" s="7">
        <v>1750</v>
      </c>
      <c r="BX63" s="7">
        <v>1360</v>
      </c>
      <c r="BY63" s="7">
        <v>810</v>
      </c>
      <c r="BZ63" s="7">
        <v>920</v>
      </c>
      <c r="CA63" s="7">
        <v>940</v>
      </c>
      <c r="CB63" s="7">
        <v>2260</v>
      </c>
      <c r="CC63" s="7">
        <v>6030</v>
      </c>
      <c r="CD63" s="7">
        <v>700</v>
      </c>
      <c r="CE63" s="7">
        <v>3560</v>
      </c>
      <c r="CF63" s="7">
        <v>1860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51">
        <v>0.05</v>
      </c>
    </row>
    <row r="64" spans="2:90" x14ac:dyDescent="0.35">
      <c r="B64" s="9" t="s">
        <v>308</v>
      </c>
      <c r="C64" s="54">
        <v>364</v>
      </c>
      <c r="D64" s="54">
        <v>1512</v>
      </c>
      <c r="E64" s="54">
        <v>26.9</v>
      </c>
      <c r="F64" s="54">
        <v>26.9</v>
      </c>
      <c r="G64" s="54">
        <v>0</v>
      </c>
      <c r="H64" s="54">
        <v>28.5</v>
      </c>
      <c r="I64" s="54">
        <v>28.5</v>
      </c>
      <c r="J64" s="54">
        <v>0</v>
      </c>
      <c r="K64" s="54">
        <v>117</v>
      </c>
      <c r="L64" s="51">
        <v>0.05</v>
      </c>
      <c r="M64" s="54">
        <v>0</v>
      </c>
      <c r="N64" s="51">
        <v>0.05</v>
      </c>
      <c r="O64" s="54">
        <v>0</v>
      </c>
      <c r="P64" s="54">
        <v>0</v>
      </c>
      <c r="Q64" s="54">
        <v>41.3</v>
      </c>
      <c r="R64" s="54">
        <v>0.6</v>
      </c>
      <c r="S64" s="54">
        <v>360</v>
      </c>
      <c r="T64" s="54">
        <v>463</v>
      </c>
      <c r="U64" s="54">
        <v>69</v>
      </c>
      <c r="V64" s="54">
        <v>300</v>
      </c>
      <c r="W64" s="54">
        <v>1.9</v>
      </c>
      <c r="X64" s="54">
        <v>20</v>
      </c>
      <c r="Y64" s="54">
        <v>0.12</v>
      </c>
      <c r="Z64" s="54">
        <v>6</v>
      </c>
      <c r="AA64" s="54">
        <v>820</v>
      </c>
      <c r="AB64" s="54">
        <v>29</v>
      </c>
      <c r="AC64" s="51">
        <v>5.0000000000000001E-3</v>
      </c>
      <c r="AD64" s="54">
        <v>200</v>
      </c>
      <c r="AE64" s="54">
        <v>0.05</v>
      </c>
      <c r="AF64" s="54">
        <v>0.36</v>
      </c>
      <c r="AG64" s="51">
        <v>0.5</v>
      </c>
      <c r="AH64" s="54">
        <v>0.12</v>
      </c>
      <c r="AI64" s="54">
        <v>0.08</v>
      </c>
      <c r="AJ64" s="54">
        <v>19</v>
      </c>
      <c r="AK64" s="54">
        <v>0.51</v>
      </c>
      <c r="AL64" s="54">
        <v>3.6</v>
      </c>
      <c r="AM64" s="54">
        <v>0.6</v>
      </c>
      <c r="AN64" s="54">
        <v>248</v>
      </c>
      <c r="AO64" s="54">
        <v>217</v>
      </c>
      <c r="AP64" s="54">
        <v>186</v>
      </c>
      <c r="AQ64" s="54">
        <v>0.45</v>
      </c>
      <c r="AR64" s="54">
        <v>0.17</v>
      </c>
      <c r="AS64" s="52">
        <v>2.2000000000000002</v>
      </c>
      <c r="AT64" s="54">
        <v>16.704000000000001</v>
      </c>
      <c r="AU64" s="54">
        <v>2.5329999999999999</v>
      </c>
      <c r="AV64" s="54">
        <v>0.871</v>
      </c>
      <c r="AW64" s="54">
        <v>2.9289999999999998</v>
      </c>
      <c r="AX64" s="54">
        <v>7.2830000000000004</v>
      </c>
      <c r="AY64" s="54">
        <v>3.0880000000000001</v>
      </c>
      <c r="AZ64" s="54">
        <v>0</v>
      </c>
      <c r="BA64" s="54">
        <v>0</v>
      </c>
      <c r="BB64" s="54">
        <v>8.7080000000000002</v>
      </c>
      <c r="BC64" s="54">
        <v>0.55400000000000005</v>
      </c>
      <c r="BD64" s="54">
        <v>0.79200000000000004</v>
      </c>
      <c r="BE64" s="54">
        <v>7.3630000000000004</v>
      </c>
      <c r="BF64" s="54">
        <v>0</v>
      </c>
      <c r="BG64" s="54">
        <v>0</v>
      </c>
      <c r="BH64" s="54">
        <v>0.95</v>
      </c>
      <c r="BI64" s="54">
        <v>0.55400000000000005</v>
      </c>
      <c r="BJ64" s="54">
        <v>0.39600000000000002</v>
      </c>
      <c r="BK64" s="54">
        <v>0</v>
      </c>
      <c r="BL64" s="54">
        <v>0</v>
      </c>
      <c r="BM64" s="54">
        <v>0</v>
      </c>
      <c r="BN64" s="54">
        <v>0</v>
      </c>
      <c r="BO64" s="56">
        <v>368</v>
      </c>
      <c r="BP64" s="56">
        <v>886</v>
      </c>
      <c r="BQ64" s="56">
        <v>1053</v>
      </c>
      <c r="BR64" s="56">
        <v>2089</v>
      </c>
      <c r="BS64" s="56">
        <v>1688</v>
      </c>
      <c r="BT64" s="56">
        <v>668</v>
      </c>
      <c r="BU64" s="56">
        <v>167</v>
      </c>
      <c r="BV64" s="56">
        <v>1136</v>
      </c>
      <c r="BW64" s="56">
        <v>1270</v>
      </c>
      <c r="BX64" s="56">
        <v>1370</v>
      </c>
      <c r="BY64" s="56">
        <v>752</v>
      </c>
      <c r="BZ64" s="56">
        <v>601</v>
      </c>
      <c r="CA64" s="56">
        <v>718</v>
      </c>
      <c r="CB64" s="56">
        <v>1704</v>
      </c>
      <c r="CC64" s="56">
        <v>4394</v>
      </c>
      <c r="CD64" s="56">
        <v>418</v>
      </c>
      <c r="CE64" s="56">
        <v>2473</v>
      </c>
      <c r="CF64" s="56">
        <v>1287</v>
      </c>
      <c r="CG64" s="54">
        <v>0</v>
      </c>
      <c r="CH64" s="54">
        <v>0</v>
      </c>
      <c r="CI64" s="54">
        <v>0</v>
      </c>
      <c r="CJ64" s="54">
        <v>0</v>
      </c>
      <c r="CK64" s="54">
        <v>0</v>
      </c>
      <c r="CL64" s="51">
        <v>0.05</v>
      </c>
    </row>
    <row r="65" spans="2:90" x14ac:dyDescent="0.35">
      <c r="B65" s="9" t="s">
        <v>309</v>
      </c>
      <c r="C65" s="54">
        <v>392</v>
      </c>
      <c r="D65" s="54">
        <v>1626</v>
      </c>
      <c r="E65" s="54">
        <v>25.8</v>
      </c>
      <c r="F65" s="54">
        <v>25.8</v>
      </c>
      <c r="G65" s="54">
        <v>0</v>
      </c>
      <c r="H65" s="54">
        <v>32</v>
      </c>
      <c r="I65" s="54">
        <v>32</v>
      </c>
      <c r="J65" s="54">
        <v>0</v>
      </c>
      <c r="K65" s="54">
        <v>104</v>
      </c>
      <c r="L65" s="54">
        <v>0.2</v>
      </c>
      <c r="M65" s="54">
        <v>0</v>
      </c>
      <c r="N65" s="54">
        <v>0.2</v>
      </c>
      <c r="O65" s="54">
        <v>0</v>
      </c>
      <c r="P65" s="54">
        <v>0</v>
      </c>
      <c r="Q65" s="54">
        <v>34</v>
      </c>
      <c r="R65" s="54">
        <v>0.6</v>
      </c>
      <c r="S65" s="54">
        <v>607</v>
      </c>
      <c r="T65" s="54">
        <v>1800</v>
      </c>
      <c r="U65" s="54">
        <v>90</v>
      </c>
      <c r="V65" s="54">
        <v>590</v>
      </c>
      <c r="W65" s="54">
        <v>3.4</v>
      </c>
      <c r="X65" s="54">
        <v>40</v>
      </c>
      <c r="Y65" s="54">
        <v>0.03</v>
      </c>
      <c r="Z65" s="54">
        <v>6.3</v>
      </c>
      <c r="AA65" s="54">
        <v>2350</v>
      </c>
      <c r="AB65" s="54">
        <v>39</v>
      </c>
      <c r="AC65" s="54">
        <v>0.02</v>
      </c>
      <c r="AD65" s="54">
        <v>230</v>
      </c>
      <c r="AE65" s="54">
        <v>0.03</v>
      </c>
      <c r="AF65" s="54">
        <v>0.47</v>
      </c>
      <c r="AG65" s="54">
        <v>0</v>
      </c>
      <c r="AH65" s="54">
        <v>0.2</v>
      </c>
      <c r="AI65" s="54">
        <v>0.09</v>
      </c>
      <c r="AJ65" s="54">
        <v>7</v>
      </c>
      <c r="AK65" s="54">
        <v>0.42</v>
      </c>
      <c r="AL65" s="54">
        <v>2.4</v>
      </c>
      <c r="AM65" s="54">
        <v>1.1000000000000001</v>
      </c>
      <c r="AN65" s="54">
        <v>482</v>
      </c>
      <c r="AO65" s="54">
        <v>480</v>
      </c>
      <c r="AP65" s="54">
        <v>9</v>
      </c>
      <c r="AQ65" s="54">
        <v>0.7</v>
      </c>
      <c r="AR65" s="54">
        <v>0.5</v>
      </c>
      <c r="AS65" s="52">
        <v>2.2000000000000002</v>
      </c>
      <c r="AT65" s="54">
        <v>17.344000000000001</v>
      </c>
      <c r="AU65" s="54">
        <v>2.8420000000000001</v>
      </c>
      <c r="AV65" s="54">
        <v>1.0820000000000001</v>
      </c>
      <c r="AW65" s="54">
        <v>3.077</v>
      </c>
      <c r="AX65" s="54">
        <v>7.3620000000000001</v>
      </c>
      <c r="AY65" s="54">
        <v>2.4319999999999999</v>
      </c>
      <c r="AZ65" s="62">
        <v>0</v>
      </c>
      <c r="BA65" s="62">
        <v>0</v>
      </c>
      <c r="BB65" s="54">
        <v>7.9429999999999996</v>
      </c>
      <c r="BC65" s="63">
        <v>0.49199999999999999</v>
      </c>
      <c r="BD65" s="54">
        <v>0.41599999999999998</v>
      </c>
      <c r="BE65" s="54">
        <v>7.0350000000000001</v>
      </c>
      <c r="BF65" s="54">
        <v>0</v>
      </c>
      <c r="BG65" s="54">
        <v>0</v>
      </c>
      <c r="BH65" s="54">
        <v>0.60099999999999998</v>
      </c>
      <c r="BI65" s="54">
        <v>0.28799999999999998</v>
      </c>
      <c r="BJ65" s="54">
        <v>0.314</v>
      </c>
      <c r="BK65" s="54">
        <v>0</v>
      </c>
      <c r="BL65" s="54">
        <v>0</v>
      </c>
      <c r="BM65" s="54">
        <v>0</v>
      </c>
      <c r="BN65" s="54">
        <v>0</v>
      </c>
      <c r="BO65" s="56">
        <v>325</v>
      </c>
      <c r="BP65" s="56">
        <v>886</v>
      </c>
      <c r="BQ65" s="56">
        <v>1361</v>
      </c>
      <c r="BR65" s="56">
        <v>2615</v>
      </c>
      <c r="BS65" s="56">
        <v>2024</v>
      </c>
      <c r="BT65" s="56">
        <v>786</v>
      </c>
      <c r="BU65" s="56">
        <v>131</v>
      </c>
      <c r="BV65" s="56">
        <v>1293</v>
      </c>
      <c r="BW65" s="56">
        <v>1391</v>
      </c>
      <c r="BX65" s="56">
        <v>1840</v>
      </c>
      <c r="BY65" s="56">
        <v>680</v>
      </c>
      <c r="BZ65" s="56">
        <v>638</v>
      </c>
      <c r="CA65" s="56">
        <v>756</v>
      </c>
      <c r="CB65" s="56">
        <v>1746</v>
      </c>
      <c r="CC65" s="56">
        <v>5076</v>
      </c>
      <c r="CD65" s="56">
        <v>457</v>
      </c>
      <c r="CE65" s="56">
        <v>3007</v>
      </c>
      <c r="CF65" s="56">
        <v>1264</v>
      </c>
      <c r="CG65" s="54">
        <v>0</v>
      </c>
      <c r="CH65" s="54">
        <v>0</v>
      </c>
      <c r="CI65" s="51">
        <v>0.05</v>
      </c>
      <c r="CJ65" s="54">
        <v>0</v>
      </c>
      <c r="CK65" s="54">
        <v>0</v>
      </c>
      <c r="CL65" s="54">
        <v>0.2</v>
      </c>
    </row>
    <row r="66" spans="2:90" x14ac:dyDescent="0.35">
      <c r="B66" s="9" t="s">
        <v>231</v>
      </c>
      <c r="C66" s="54">
        <v>379</v>
      </c>
      <c r="D66" s="54">
        <v>1574</v>
      </c>
      <c r="E66" s="54">
        <v>29.5</v>
      </c>
      <c r="F66" s="54">
        <v>29.5</v>
      </c>
      <c r="G66" s="54">
        <v>0</v>
      </c>
      <c r="H66" s="54">
        <v>28.9</v>
      </c>
      <c r="I66" s="54">
        <v>28.9</v>
      </c>
      <c r="J66" s="54">
        <v>0</v>
      </c>
      <c r="K66" s="54">
        <v>104</v>
      </c>
      <c r="L66" s="54">
        <v>0.2</v>
      </c>
      <c r="M66" s="54">
        <v>0</v>
      </c>
      <c r="N66" s="54">
        <v>0.2</v>
      </c>
      <c r="O66" s="54">
        <v>0</v>
      </c>
      <c r="P66" s="54">
        <v>0</v>
      </c>
      <c r="Q66" s="54">
        <v>28</v>
      </c>
      <c r="R66" s="54">
        <v>1.8</v>
      </c>
      <c r="S66" s="54">
        <v>923</v>
      </c>
      <c r="T66" s="54">
        <v>1890</v>
      </c>
      <c r="U66" s="54">
        <v>94</v>
      </c>
      <c r="V66" s="54">
        <v>675</v>
      </c>
      <c r="W66" s="54">
        <v>3.5</v>
      </c>
      <c r="X66" s="54">
        <v>40</v>
      </c>
      <c r="Y66" s="54">
        <v>1.01</v>
      </c>
      <c r="Z66" s="54">
        <v>6.3</v>
      </c>
      <c r="AA66" s="54">
        <v>2350</v>
      </c>
      <c r="AB66" s="54">
        <v>39</v>
      </c>
      <c r="AC66" s="54">
        <v>0.02</v>
      </c>
      <c r="AD66" s="54">
        <v>230</v>
      </c>
      <c r="AE66" s="54">
        <v>0.03</v>
      </c>
      <c r="AF66" s="54">
        <v>0.47</v>
      </c>
      <c r="AG66" s="54">
        <v>0</v>
      </c>
      <c r="AH66" s="54">
        <v>0.2</v>
      </c>
      <c r="AI66" s="54">
        <v>0.09</v>
      </c>
      <c r="AJ66" s="54">
        <v>7</v>
      </c>
      <c r="AK66" s="54">
        <v>0.42</v>
      </c>
      <c r="AL66" s="54">
        <v>2.4</v>
      </c>
      <c r="AM66" s="54">
        <v>1.1000000000000001</v>
      </c>
      <c r="AN66" s="54">
        <v>574</v>
      </c>
      <c r="AO66" s="54">
        <v>573</v>
      </c>
      <c r="AP66" s="54">
        <v>4</v>
      </c>
      <c r="AQ66" s="54">
        <v>0.7</v>
      </c>
      <c r="AR66" s="54">
        <v>0.5</v>
      </c>
      <c r="AS66" s="52">
        <v>2.2000000000000002</v>
      </c>
      <c r="AT66" s="54">
        <v>17.344000000000001</v>
      </c>
      <c r="AU66" s="54">
        <v>2.8420000000000001</v>
      </c>
      <c r="AV66" s="54">
        <v>0.97699999999999998</v>
      </c>
      <c r="AW66" s="54">
        <v>3.077</v>
      </c>
      <c r="AX66" s="54">
        <v>7.3620000000000001</v>
      </c>
      <c r="AY66" s="54">
        <v>2.4319999999999999</v>
      </c>
      <c r="AZ66" s="69">
        <v>0</v>
      </c>
      <c r="BA66" s="69">
        <v>0</v>
      </c>
      <c r="BB66" s="54">
        <v>7.9429999999999996</v>
      </c>
      <c r="BC66" s="63">
        <v>0.49199999999999999</v>
      </c>
      <c r="BD66" s="54">
        <v>0.41599999999999998</v>
      </c>
      <c r="BE66" s="54">
        <v>7.0350000000000001</v>
      </c>
      <c r="BF66" s="54">
        <v>0</v>
      </c>
      <c r="BG66" s="54">
        <v>0</v>
      </c>
      <c r="BH66" s="54">
        <v>0.60099999999999998</v>
      </c>
      <c r="BI66" s="54">
        <v>0.28799999999999998</v>
      </c>
      <c r="BJ66" s="54">
        <v>0.314</v>
      </c>
      <c r="BK66" s="54">
        <v>0</v>
      </c>
      <c r="BL66" s="54">
        <v>0</v>
      </c>
      <c r="BM66" s="54">
        <v>0</v>
      </c>
      <c r="BN66" s="54">
        <v>0</v>
      </c>
      <c r="BO66" s="56">
        <v>372</v>
      </c>
      <c r="BP66" s="56">
        <v>1013</v>
      </c>
      <c r="BQ66" s="56">
        <v>1557</v>
      </c>
      <c r="BR66" s="56">
        <v>2990</v>
      </c>
      <c r="BS66" s="56">
        <v>2315</v>
      </c>
      <c r="BT66" s="56">
        <v>899</v>
      </c>
      <c r="BU66" s="56">
        <v>150</v>
      </c>
      <c r="BV66" s="56">
        <v>1478</v>
      </c>
      <c r="BW66" s="56">
        <v>1591</v>
      </c>
      <c r="BX66" s="56">
        <v>2104</v>
      </c>
      <c r="BY66" s="56">
        <v>777</v>
      </c>
      <c r="BZ66" s="56">
        <v>730</v>
      </c>
      <c r="CA66" s="56">
        <v>865</v>
      </c>
      <c r="CB66" s="56">
        <v>1997</v>
      </c>
      <c r="CC66" s="56">
        <v>5804</v>
      </c>
      <c r="CD66" s="56">
        <v>523</v>
      </c>
      <c r="CE66" s="56">
        <v>3438</v>
      </c>
      <c r="CF66" s="56">
        <v>1446</v>
      </c>
      <c r="CG66" s="54">
        <v>0</v>
      </c>
      <c r="CH66" s="54">
        <v>0</v>
      </c>
      <c r="CI66" s="51">
        <v>0.05</v>
      </c>
      <c r="CJ66" s="54">
        <v>0</v>
      </c>
      <c r="CK66" s="54">
        <v>0</v>
      </c>
      <c r="CL66" s="54">
        <v>0.2</v>
      </c>
    </row>
    <row r="67" spans="2:90" x14ac:dyDescent="0.35">
      <c r="B67" s="9" t="s">
        <v>316</v>
      </c>
      <c r="C67" s="54">
        <v>342</v>
      </c>
      <c r="D67" s="54">
        <v>1420</v>
      </c>
      <c r="E67" s="54">
        <v>26</v>
      </c>
      <c r="F67" s="54">
        <v>26</v>
      </c>
      <c r="G67" s="54">
        <v>0</v>
      </c>
      <c r="H67" s="54">
        <v>25.4</v>
      </c>
      <c r="I67" s="54">
        <v>25.4</v>
      </c>
      <c r="J67" s="54">
        <v>0</v>
      </c>
      <c r="K67" s="54">
        <v>70</v>
      </c>
      <c r="L67" s="54">
        <v>2.4</v>
      </c>
      <c r="M67" s="54">
        <v>0</v>
      </c>
      <c r="N67" s="54">
        <v>2.4</v>
      </c>
      <c r="O67" s="54">
        <v>0</v>
      </c>
      <c r="P67" s="54">
        <v>0</v>
      </c>
      <c r="Q67" s="54">
        <v>42</v>
      </c>
      <c r="R67" s="54">
        <v>0.9</v>
      </c>
      <c r="S67" s="54">
        <v>470</v>
      </c>
      <c r="T67" s="54">
        <v>1084</v>
      </c>
      <c r="U67" s="54">
        <v>129</v>
      </c>
      <c r="V67" s="54">
        <v>280</v>
      </c>
      <c r="W67" s="54">
        <v>2</v>
      </c>
      <c r="X67" s="54">
        <v>20</v>
      </c>
      <c r="Y67" s="54">
        <v>0.06</v>
      </c>
      <c r="Z67" s="54">
        <v>6</v>
      </c>
      <c r="AA67" s="54">
        <v>2350</v>
      </c>
      <c r="AB67" s="54">
        <v>39</v>
      </c>
      <c r="AC67" s="51">
        <v>5.0000000000000001E-3</v>
      </c>
      <c r="AD67" s="54">
        <v>230</v>
      </c>
      <c r="AE67" s="54">
        <v>0.04</v>
      </c>
      <c r="AF67" s="54">
        <v>0.21</v>
      </c>
      <c r="AG67" s="51">
        <v>0.5</v>
      </c>
      <c r="AH67" s="54">
        <v>0.2</v>
      </c>
      <c r="AI67" s="54">
        <v>7.0000000000000007E-2</v>
      </c>
      <c r="AJ67" s="54">
        <v>23</v>
      </c>
      <c r="AK67" s="54">
        <v>0.36</v>
      </c>
      <c r="AL67" s="54">
        <v>2.4</v>
      </c>
      <c r="AM67" s="54">
        <v>1.1000000000000001</v>
      </c>
      <c r="AN67" s="54">
        <v>116</v>
      </c>
      <c r="AO67" s="54">
        <v>113</v>
      </c>
      <c r="AP67" s="54">
        <v>20</v>
      </c>
      <c r="AQ67" s="54">
        <v>0.37</v>
      </c>
      <c r="AR67" s="54">
        <v>0.5</v>
      </c>
      <c r="AS67" s="52">
        <v>2.2000000000000002</v>
      </c>
      <c r="AT67" s="54">
        <v>17.84</v>
      </c>
      <c r="AU67" s="54">
        <v>4.62</v>
      </c>
      <c r="AV67" s="54">
        <v>1.383</v>
      </c>
      <c r="AW67" s="54">
        <v>3.2959999999999998</v>
      </c>
      <c r="AX67" s="54">
        <v>6.1479999999999997</v>
      </c>
      <c r="AY67" s="54">
        <v>1.776</v>
      </c>
      <c r="AZ67" s="69">
        <v>0</v>
      </c>
      <c r="BA67" s="69">
        <v>0</v>
      </c>
      <c r="BB67" s="54">
        <v>5.5179999999999998</v>
      </c>
      <c r="BC67" s="63">
        <v>0.313</v>
      </c>
      <c r="BD67" s="54">
        <v>0.46</v>
      </c>
      <c r="BE67" s="54">
        <v>4.7450000000000001</v>
      </c>
      <c r="BF67" s="65">
        <v>0</v>
      </c>
      <c r="BG67" s="65">
        <v>0</v>
      </c>
      <c r="BH67" s="54">
        <v>0.70499999999999996</v>
      </c>
      <c r="BI67" s="54">
        <v>0.38900000000000001</v>
      </c>
      <c r="BJ67" s="54">
        <v>0.316</v>
      </c>
      <c r="BK67" s="54">
        <v>0</v>
      </c>
      <c r="BL67" s="65">
        <v>0</v>
      </c>
      <c r="BM67" s="65">
        <v>0</v>
      </c>
      <c r="BN67" s="54">
        <v>0</v>
      </c>
      <c r="BO67" s="56">
        <v>328</v>
      </c>
      <c r="BP67" s="56">
        <v>893</v>
      </c>
      <c r="BQ67" s="56">
        <v>1372</v>
      </c>
      <c r="BR67" s="56">
        <v>2635</v>
      </c>
      <c r="BS67" s="56">
        <v>2040</v>
      </c>
      <c r="BT67" s="56">
        <v>792</v>
      </c>
      <c r="BU67" s="56">
        <v>132</v>
      </c>
      <c r="BV67" s="56">
        <v>1303</v>
      </c>
      <c r="BW67" s="56">
        <v>1402</v>
      </c>
      <c r="BX67" s="56">
        <v>1854</v>
      </c>
      <c r="BY67" s="56">
        <v>685</v>
      </c>
      <c r="BZ67" s="56">
        <v>643</v>
      </c>
      <c r="CA67" s="56">
        <v>762</v>
      </c>
      <c r="CB67" s="56">
        <v>1760</v>
      </c>
      <c r="CC67" s="56">
        <v>5115</v>
      </c>
      <c r="CD67" s="56">
        <v>461</v>
      </c>
      <c r="CE67" s="56">
        <v>3030</v>
      </c>
      <c r="CF67" s="56">
        <v>1274</v>
      </c>
      <c r="CG67" s="54">
        <v>0</v>
      </c>
      <c r="CH67" s="54">
        <v>0</v>
      </c>
      <c r="CI67" s="54">
        <v>0.2</v>
      </c>
      <c r="CJ67" s="54">
        <v>0</v>
      </c>
      <c r="CK67" s="54">
        <v>0</v>
      </c>
      <c r="CL67" s="54">
        <v>2.2000000000000002</v>
      </c>
    </row>
    <row r="68" spans="2:90" x14ac:dyDescent="0.35">
      <c r="B68" s="9" t="s">
        <v>282</v>
      </c>
      <c r="C68" s="54">
        <v>385</v>
      </c>
      <c r="D68" s="54">
        <v>1601</v>
      </c>
      <c r="E68" s="54">
        <v>28.3</v>
      </c>
      <c r="F68" s="54">
        <v>28.3</v>
      </c>
      <c r="G68" s="54">
        <v>0</v>
      </c>
      <c r="H68" s="54">
        <v>29.5</v>
      </c>
      <c r="I68" s="54">
        <v>29.5</v>
      </c>
      <c r="J68" s="54">
        <v>0</v>
      </c>
      <c r="K68" s="54">
        <v>90</v>
      </c>
      <c r="L68" s="54">
        <v>1.8</v>
      </c>
      <c r="M68" s="54">
        <v>0</v>
      </c>
      <c r="N68" s="54">
        <v>1.8</v>
      </c>
      <c r="O68" s="54">
        <v>0</v>
      </c>
      <c r="P68" s="54">
        <v>0</v>
      </c>
      <c r="Q68" s="54">
        <v>32</v>
      </c>
      <c r="R68" s="54">
        <v>2.1</v>
      </c>
      <c r="S68" s="54">
        <v>1160</v>
      </c>
      <c r="T68" s="54">
        <v>1890</v>
      </c>
      <c r="U68" s="54">
        <v>94</v>
      </c>
      <c r="V68" s="54">
        <v>675</v>
      </c>
      <c r="W68" s="54">
        <v>3.5</v>
      </c>
      <c r="X68" s="54">
        <v>40</v>
      </c>
      <c r="Y68" s="54">
        <v>1.01</v>
      </c>
      <c r="Z68" s="54">
        <v>6.3</v>
      </c>
      <c r="AA68" s="54">
        <v>2350</v>
      </c>
      <c r="AB68" s="54">
        <v>39</v>
      </c>
      <c r="AC68" s="54">
        <v>0.02</v>
      </c>
      <c r="AD68" s="54">
        <v>230</v>
      </c>
      <c r="AE68" s="54">
        <v>0.03</v>
      </c>
      <c r="AF68" s="54">
        <v>0.47</v>
      </c>
      <c r="AG68" s="54">
        <v>0</v>
      </c>
      <c r="AH68" s="54">
        <v>0.2</v>
      </c>
      <c r="AI68" s="54">
        <v>0.09</v>
      </c>
      <c r="AJ68" s="54">
        <v>7</v>
      </c>
      <c r="AK68" s="54">
        <v>0.42</v>
      </c>
      <c r="AL68" s="54">
        <v>2.4</v>
      </c>
      <c r="AM68" s="54">
        <v>1.1000000000000001</v>
      </c>
      <c r="AN68" s="54">
        <v>482</v>
      </c>
      <c r="AO68" s="54">
        <v>480</v>
      </c>
      <c r="AP68" s="54">
        <v>9</v>
      </c>
      <c r="AQ68" s="54">
        <v>0.9</v>
      </c>
      <c r="AR68" s="54">
        <v>0.5</v>
      </c>
      <c r="AS68" s="54">
        <v>2.2000000000000002</v>
      </c>
      <c r="AT68" s="54">
        <v>17.344000000000001</v>
      </c>
      <c r="AU68" s="54">
        <v>2.8420000000000001</v>
      </c>
      <c r="AV68" s="54">
        <v>0.998</v>
      </c>
      <c r="AW68" s="54">
        <v>3.077</v>
      </c>
      <c r="AX68" s="54">
        <v>7.3620000000000001</v>
      </c>
      <c r="AY68" s="54">
        <v>2.4319999999999999</v>
      </c>
      <c r="AZ68" s="62">
        <v>0</v>
      </c>
      <c r="BA68" s="62">
        <v>0</v>
      </c>
      <c r="BB68" s="54">
        <v>7.9429999999999996</v>
      </c>
      <c r="BC68" s="63">
        <v>0.49199999999999999</v>
      </c>
      <c r="BD68" s="54">
        <v>0.41599999999999998</v>
      </c>
      <c r="BE68" s="54">
        <v>7.0350000000000001</v>
      </c>
      <c r="BF68" s="54">
        <v>0</v>
      </c>
      <c r="BG68" s="54">
        <v>0</v>
      </c>
      <c r="BH68" s="54">
        <v>0.60099999999999998</v>
      </c>
      <c r="BI68" s="54">
        <v>0.28799999999999998</v>
      </c>
      <c r="BJ68" s="54">
        <v>0.314</v>
      </c>
      <c r="BK68" s="54">
        <v>0</v>
      </c>
      <c r="BL68" s="54">
        <v>0</v>
      </c>
      <c r="BM68" s="54">
        <v>0</v>
      </c>
      <c r="BN68" s="54">
        <v>0</v>
      </c>
      <c r="BO68" s="56">
        <v>357</v>
      </c>
      <c r="BP68" s="56">
        <v>972</v>
      </c>
      <c r="BQ68" s="56">
        <v>1493</v>
      </c>
      <c r="BR68" s="56">
        <v>2868</v>
      </c>
      <c r="BS68" s="56">
        <v>2220</v>
      </c>
      <c r="BT68" s="56">
        <v>862</v>
      </c>
      <c r="BU68" s="56">
        <v>144</v>
      </c>
      <c r="BV68" s="56">
        <v>1418</v>
      </c>
      <c r="BW68" s="56">
        <v>1526</v>
      </c>
      <c r="BX68" s="56">
        <v>2018</v>
      </c>
      <c r="BY68" s="56">
        <v>746</v>
      </c>
      <c r="BZ68" s="56">
        <v>700</v>
      </c>
      <c r="CA68" s="56">
        <v>829</v>
      </c>
      <c r="CB68" s="56">
        <v>1916</v>
      </c>
      <c r="CC68" s="56">
        <v>5567</v>
      </c>
      <c r="CD68" s="56">
        <v>502</v>
      </c>
      <c r="CE68" s="56">
        <v>3298</v>
      </c>
      <c r="CF68" s="56">
        <v>1387</v>
      </c>
      <c r="CG68" s="54">
        <v>0</v>
      </c>
      <c r="CH68" s="54">
        <v>0</v>
      </c>
      <c r="CI68" s="54">
        <v>0.1</v>
      </c>
      <c r="CJ68" s="54">
        <v>0</v>
      </c>
      <c r="CK68" s="54">
        <v>0</v>
      </c>
      <c r="CL68" s="54">
        <v>1.7</v>
      </c>
    </row>
    <row r="69" spans="2:90" x14ac:dyDescent="0.35">
      <c r="B69" s="9" t="s">
        <v>329</v>
      </c>
      <c r="C69" s="54">
        <v>427</v>
      </c>
      <c r="D69" s="54">
        <v>1773</v>
      </c>
      <c r="E69" s="54">
        <v>28.9</v>
      </c>
      <c r="F69" s="54">
        <v>28.9</v>
      </c>
      <c r="G69" s="54">
        <v>0</v>
      </c>
      <c r="H69" s="54">
        <v>33.6</v>
      </c>
      <c r="I69" s="54">
        <v>33.6</v>
      </c>
      <c r="J69" s="54">
        <v>0</v>
      </c>
      <c r="K69" s="54">
        <v>90</v>
      </c>
      <c r="L69" s="54">
        <v>2.4</v>
      </c>
      <c r="M69" s="54">
        <v>0</v>
      </c>
      <c r="N69" s="54">
        <v>2.4</v>
      </c>
      <c r="O69" s="54">
        <v>0</v>
      </c>
      <c r="P69" s="54">
        <v>0</v>
      </c>
      <c r="Q69" s="54">
        <v>30.3</v>
      </c>
      <c r="R69" s="54">
        <v>0.3</v>
      </c>
      <c r="S69" s="54">
        <v>1162</v>
      </c>
      <c r="T69" s="54">
        <v>450</v>
      </c>
      <c r="U69" s="54">
        <v>55</v>
      </c>
      <c r="V69" s="54">
        <v>798</v>
      </c>
      <c r="W69" s="54">
        <v>3.4</v>
      </c>
      <c r="X69" s="54">
        <v>40</v>
      </c>
      <c r="Y69" s="54">
        <v>0.03</v>
      </c>
      <c r="Z69" s="54">
        <v>6</v>
      </c>
      <c r="AA69" s="54">
        <v>2350</v>
      </c>
      <c r="AB69" s="54">
        <v>39</v>
      </c>
      <c r="AC69" s="54">
        <v>0.02</v>
      </c>
      <c r="AD69" s="54">
        <v>230</v>
      </c>
      <c r="AE69" s="54">
        <v>0.03</v>
      </c>
      <c r="AF69" s="54">
        <v>0.47</v>
      </c>
      <c r="AG69" s="51">
        <v>0.5</v>
      </c>
      <c r="AH69" s="54">
        <v>0.2</v>
      </c>
      <c r="AI69" s="54">
        <v>0.09</v>
      </c>
      <c r="AJ69" s="54">
        <v>7</v>
      </c>
      <c r="AK69" s="54">
        <v>0.42</v>
      </c>
      <c r="AL69" s="54">
        <v>2.4</v>
      </c>
      <c r="AM69" s="54">
        <v>1.1000000000000001</v>
      </c>
      <c r="AN69" s="54">
        <v>574</v>
      </c>
      <c r="AO69" s="54">
        <v>573</v>
      </c>
      <c r="AP69" s="54">
        <v>4</v>
      </c>
      <c r="AQ69" s="54">
        <v>0.97</v>
      </c>
      <c r="AR69" s="54">
        <v>0.5</v>
      </c>
      <c r="AS69" s="52">
        <v>2.2000000000000002</v>
      </c>
      <c r="AT69" s="54">
        <v>17.344000000000001</v>
      </c>
      <c r="AU69" s="54">
        <v>2.8420000000000001</v>
      </c>
      <c r="AV69" s="54">
        <v>1.1359999999999999</v>
      </c>
      <c r="AW69" s="54">
        <v>3.077</v>
      </c>
      <c r="AX69" s="54">
        <v>7.3620000000000001</v>
      </c>
      <c r="AY69" s="54">
        <v>2.4319999999999999</v>
      </c>
      <c r="AZ69" s="62">
        <v>0</v>
      </c>
      <c r="BA69" s="62">
        <v>0</v>
      </c>
      <c r="BB69" s="54">
        <v>7.9429999999999996</v>
      </c>
      <c r="BC69" s="63">
        <v>0.49199999999999999</v>
      </c>
      <c r="BD69" s="54">
        <v>0.41599999999999998</v>
      </c>
      <c r="BE69" s="54">
        <v>7.0350000000000001</v>
      </c>
      <c r="BF69" s="54">
        <v>0</v>
      </c>
      <c r="BG69" s="54">
        <v>0</v>
      </c>
      <c r="BH69" s="54">
        <v>0.60099999999999998</v>
      </c>
      <c r="BI69" s="54">
        <v>0.28799999999999998</v>
      </c>
      <c r="BJ69" s="54">
        <v>0.314</v>
      </c>
      <c r="BK69" s="54">
        <v>0</v>
      </c>
      <c r="BL69" s="54">
        <v>0</v>
      </c>
      <c r="BM69" s="54">
        <v>0</v>
      </c>
      <c r="BN69" s="54">
        <v>0</v>
      </c>
      <c r="BO69" s="56">
        <v>365</v>
      </c>
      <c r="BP69" s="56">
        <v>993</v>
      </c>
      <c r="BQ69" s="56">
        <v>1525</v>
      </c>
      <c r="BR69" s="56">
        <v>2929</v>
      </c>
      <c r="BS69" s="56">
        <v>2268</v>
      </c>
      <c r="BT69" s="56">
        <v>880</v>
      </c>
      <c r="BU69" s="56">
        <v>147</v>
      </c>
      <c r="BV69" s="56">
        <v>1448</v>
      </c>
      <c r="BW69" s="56">
        <v>1558</v>
      </c>
      <c r="BX69" s="56">
        <v>2061</v>
      </c>
      <c r="BY69" s="56">
        <v>761</v>
      </c>
      <c r="BZ69" s="56">
        <v>715</v>
      </c>
      <c r="CA69" s="56">
        <v>847</v>
      </c>
      <c r="CB69" s="56">
        <v>1956</v>
      </c>
      <c r="CC69" s="56">
        <v>5686</v>
      </c>
      <c r="CD69" s="56">
        <v>512</v>
      </c>
      <c r="CE69" s="56">
        <v>3368</v>
      </c>
      <c r="CF69" s="56">
        <v>1416</v>
      </c>
      <c r="CG69" s="54">
        <v>0</v>
      </c>
      <c r="CH69" s="54">
        <v>0</v>
      </c>
      <c r="CI69" s="54">
        <v>0.2</v>
      </c>
      <c r="CJ69" s="54">
        <v>0</v>
      </c>
      <c r="CK69" s="54">
        <v>0</v>
      </c>
      <c r="CL69" s="54">
        <v>2.2000000000000002</v>
      </c>
    </row>
    <row r="70" spans="2:90" x14ac:dyDescent="0.35">
      <c r="B70" s="9" t="s">
        <v>302</v>
      </c>
      <c r="C70" s="54">
        <v>309</v>
      </c>
      <c r="D70" s="54">
        <v>1282</v>
      </c>
      <c r="E70" s="54">
        <v>11.2</v>
      </c>
      <c r="F70" s="54">
        <v>11.2</v>
      </c>
      <c r="G70" s="54">
        <v>0</v>
      </c>
      <c r="H70" s="54">
        <v>26.9</v>
      </c>
      <c r="I70" s="54">
        <v>26.9</v>
      </c>
      <c r="J70" s="54">
        <v>0</v>
      </c>
      <c r="K70" s="54">
        <v>93</v>
      </c>
      <c r="L70" s="54">
        <v>6</v>
      </c>
      <c r="M70" s="54">
        <v>0</v>
      </c>
      <c r="N70" s="54">
        <v>6</v>
      </c>
      <c r="O70" s="54">
        <v>0</v>
      </c>
      <c r="P70" s="54">
        <v>0</v>
      </c>
      <c r="Q70" s="54">
        <v>52.6</v>
      </c>
      <c r="R70" s="54">
        <v>0.3</v>
      </c>
      <c r="S70" s="54">
        <v>430</v>
      </c>
      <c r="T70" s="54">
        <v>1000</v>
      </c>
      <c r="U70" s="54">
        <v>108</v>
      </c>
      <c r="V70" s="54">
        <v>650</v>
      </c>
      <c r="W70" s="54">
        <v>3.2</v>
      </c>
      <c r="X70" s="54">
        <v>22</v>
      </c>
      <c r="Y70" s="54">
        <v>0.5</v>
      </c>
      <c r="Z70" s="54">
        <v>10</v>
      </c>
      <c r="AA70" s="54">
        <v>1100</v>
      </c>
      <c r="AB70" s="54">
        <v>29</v>
      </c>
      <c r="AC70" s="51">
        <v>5.0000000000000001E-3</v>
      </c>
      <c r="AD70" s="54">
        <v>110</v>
      </c>
      <c r="AE70" s="54">
        <v>0.02</v>
      </c>
      <c r="AF70" s="54">
        <v>0.3</v>
      </c>
      <c r="AG70" s="54">
        <v>0</v>
      </c>
      <c r="AH70" s="54">
        <v>0.1</v>
      </c>
      <c r="AI70" s="54">
        <v>0.08</v>
      </c>
      <c r="AJ70" s="54">
        <v>18</v>
      </c>
      <c r="AK70" s="54">
        <v>0.31</v>
      </c>
      <c r="AL70" s="54">
        <v>2.2999999999999998</v>
      </c>
      <c r="AM70" s="54">
        <v>0.9</v>
      </c>
      <c r="AN70" s="54">
        <v>260</v>
      </c>
      <c r="AO70" s="54">
        <v>240</v>
      </c>
      <c r="AP70" s="54">
        <v>120</v>
      </c>
      <c r="AQ70" s="54">
        <v>0.55000000000000004</v>
      </c>
      <c r="AR70" s="54">
        <v>0.21</v>
      </c>
      <c r="AS70" s="55">
        <v>1.6</v>
      </c>
      <c r="AT70" s="54">
        <v>16.074999999999999</v>
      </c>
      <c r="AU70" s="54">
        <v>2.335</v>
      </c>
      <c r="AV70" s="54">
        <v>0.89300000000000002</v>
      </c>
      <c r="AW70" s="54">
        <v>2.851</v>
      </c>
      <c r="AX70" s="54">
        <v>6.6070000000000002</v>
      </c>
      <c r="AY70" s="54">
        <v>2.851</v>
      </c>
      <c r="AZ70" s="54">
        <v>0</v>
      </c>
      <c r="BA70" s="54">
        <v>0</v>
      </c>
      <c r="BB70" s="54">
        <v>8.5760000000000005</v>
      </c>
      <c r="BC70" s="54">
        <v>0.35499999999999998</v>
      </c>
      <c r="BD70" s="54">
        <v>0.68899999999999995</v>
      </c>
      <c r="BE70" s="54">
        <v>7.069</v>
      </c>
      <c r="BF70" s="54">
        <v>0</v>
      </c>
      <c r="BG70" s="54">
        <v>0</v>
      </c>
      <c r="BH70" s="54">
        <v>0.73199999999999998</v>
      </c>
      <c r="BI70" s="54">
        <v>0.35499999999999998</v>
      </c>
      <c r="BJ70" s="54">
        <v>0.377</v>
      </c>
      <c r="BK70" s="54">
        <v>0</v>
      </c>
      <c r="BL70" s="54">
        <v>0</v>
      </c>
      <c r="BM70" s="54">
        <v>0</v>
      </c>
      <c r="BN70" s="54">
        <v>0</v>
      </c>
      <c r="BO70" s="56">
        <v>163</v>
      </c>
      <c r="BP70" s="56">
        <v>364</v>
      </c>
      <c r="BQ70" s="56">
        <v>518</v>
      </c>
      <c r="BR70" s="56">
        <v>990</v>
      </c>
      <c r="BS70" s="56">
        <v>1111</v>
      </c>
      <c r="BT70" s="56">
        <v>290</v>
      </c>
      <c r="BU70" s="56">
        <v>72</v>
      </c>
      <c r="BV70" s="56">
        <v>569</v>
      </c>
      <c r="BW70" s="56">
        <v>613</v>
      </c>
      <c r="BX70" s="56">
        <v>670</v>
      </c>
      <c r="BY70" s="56">
        <v>469</v>
      </c>
      <c r="BZ70" s="56">
        <v>457</v>
      </c>
      <c r="CA70" s="56">
        <v>281</v>
      </c>
      <c r="CB70" s="56">
        <v>688</v>
      </c>
      <c r="CC70" s="56">
        <v>2324</v>
      </c>
      <c r="CD70" s="56">
        <v>185</v>
      </c>
      <c r="CE70" s="56">
        <v>1139</v>
      </c>
      <c r="CF70" s="56">
        <v>541</v>
      </c>
      <c r="CG70" s="54">
        <v>0</v>
      </c>
      <c r="CH70" s="54">
        <v>0</v>
      </c>
      <c r="CI70" s="54">
        <v>0</v>
      </c>
      <c r="CJ70" s="54">
        <v>0</v>
      </c>
      <c r="CK70" s="54">
        <v>0</v>
      </c>
      <c r="CL70" s="54">
        <v>6</v>
      </c>
    </row>
    <row r="71" spans="2:90" x14ac:dyDescent="0.35">
      <c r="B71" s="9" t="s">
        <v>303</v>
      </c>
      <c r="C71" s="54">
        <v>239</v>
      </c>
      <c r="D71" s="54">
        <v>994</v>
      </c>
      <c r="E71" s="54">
        <v>14.7</v>
      </c>
      <c r="F71" s="54">
        <v>14.7</v>
      </c>
      <c r="G71" s="54">
        <v>0</v>
      </c>
      <c r="H71" s="54">
        <v>17.3</v>
      </c>
      <c r="I71" s="54">
        <v>17.3</v>
      </c>
      <c r="J71" s="54">
        <v>0</v>
      </c>
      <c r="K71" s="54">
        <v>64</v>
      </c>
      <c r="L71" s="54">
        <v>6.5</v>
      </c>
      <c r="M71" s="54">
        <v>0</v>
      </c>
      <c r="N71" s="54">
        <v>6.5</v>
      </c>
      <c r="O71" s="54">
        <v>0</v>
      </c>
      <c r="P71" s="54">
        <v>0</v>
      </c>
      <c r="Q71" s="54">
        <v>56.4</v>
      </c>
      <c r="R71" s="54">
        <v>0.3</v>
      </c>
      <c r="S71" s="54">
        <v>430</v>
      </c>
      <c r="T71" s="54">
        <v>1000</v>
      </c>
      <c r="U71" s="54">
        <v>181</v>
      </c>
      <c r="V71" s="54">
        <v>665</v>
      </c>
      <c r="W71" s="54">
        <v>2.2000000000000002</v>
      </c>
      <c r="X71" s="54">
        <v>22</v>
      </c>
      <c r="Y71" s="54">
        <v>0.62</v>
      </c>
      <c r="Z71" s="54">
        <v>10</v>
      </c>
      <c r="AA71" s="54">
        <v>1100</v>
      </c>
      <c r="AB71" s="54">
        <v>29</v>
      </c>
      <c r="AC71" s="51">
        <v>5.0000000000000001E-3</v>
      </c>
      <c r="AD71" s="54">
        <v>110</v>
      </c>
      <c r="AE71" s="54">
        <v>0.02</v>
      </c>
      <c r="AF71" s="54">
        <v>0.2</v>
      </c>
      <c r="AG71" s="54">
        <v>0</v>
      </c>
      <c r="AH71" s="54">
        <v>0.1</v>
      </c>
      <c r="AI71" s="54">
        <v>0.08</v>
      </c>
      <c r="AJ71" s="54">
        <v>18</v>
      </c>
      <c r="AK71" s="54">
        <v>0.31</v>
      </c>
      <c r="AL71" s="54">
        <v>2.2999999999999998</v>
      </c>
      <c r="AM71" s="54">
        <v>0.9</v>
      </c>
      <c r="AN71" s="54">
        <v>205</v>
      </c>
      <c r="AO71" s="54">
        <v>187</v>
      </c>
      <c r="AP71" s="54">
        <v>106</v>
      </c>
      <c r="AQ71" s="54">
        <v>0.55000000000000004</v>
      </c>
      <c r="AR71" s="54">
        <v>0.21</v>
      </c>
      <c r="AS71" s="55">
        <v>1.6</v>
      </c>
      <c r="AT71" s="54">
        <v>10.337999999999999</v>
      </c>
      <c r="AU71" s="54">
        <v>1.502</v>
      </c>
      <c r="AV71" s="54">
        <v>0.57399999999999995</v>
      </c>
      <c r="AW71" s="54">
        <v>1.8340000000000001</v>
      </c>
      <c r="AX71" s="54">
        <v>4.2489999999999997</v>
      </c>
      <c r="AY71" s="54">
        <v>1.8340000000000001</v>
      </c>
      <c r="AZ71" s="54">
        <v>0</v>
      </c>
      <c r="BA71" s="54">
        <v>0</v>
      </c>
      <c r="BB71" s="54">
        <v>5.5149999999999997</v>
      </c>
      <c r="BC71" s="54">
        <v>0.22800000000000001</v>
      </c>
      <c r="BD71" s="54">
        <v>0.443</v>
      </c>
      <c r="BE71" s="54">
        <v>4.5460000000000003</v>
      </c>
      <c r="BF71" s="54">
        <v>0</v>
      </c>
      <c r="BG71" s="54">
        <v>0</v>
      </c>
      <c r="BH71" s="54">
        <v>0.47099999999999997</v>
      </c>
      <c r="BI71" s="54">
        <v>0.22800000000000001</v>
      </c>
      <c r="BJ71" s="54">
        <v>0.24199999999999999</v>
      </c>
      <c r="BK71" s="54">
        <v>0</v>
      </c>
      <c r="BL71" s="54">
        <v>0</v>
      </c>
      <c r="BM71" s="54">
        <v>0</v>
      </c>
      <c r="BN71" s="54">
        <v>0</v>
      </c>
      <c r="BO71" s="56">
        <v>214</v>
      </c>
      <c r="BP71" s="56">
        <v>477</v>
      </c>
      <c r="BQ71" s="56">
        <v>680</v>
      </c>
      <c r="BR71" s="56">
        <v>1299</v>
      </c>
      <c r="BS71" s="56">
        <v>1459</v>
      </c>
      <c r="BT71" s="56">
        <v>380</v>
      </c>
      <c r="BU71" s="56">
        <v>94</v>
      </c>
      <c r="BV71" s="56">
        <v>747</v>
      </c>
      <c r="BW71" s="56">
        <v>804</v>
      </c>
      <c r="BX71" s="56">
        <v>880</v>
      </c>
      <c r="BY71" s="56">
        <v>615</v>
      </c>
      <c r="BZ71" s="56">
        <v>599</v>
      </c>
      <c r="CA71" s="56">
        <v>368</v>
      </c>
      <c r="CB71" s="56">
        <v>903</v>
      </c>
      <c r="CC71" s="56">
        <v>3051</v>
      </c>
      <c r="CD71" s="56">
        <v>242</v>
      </c>
      <c r="CE71" s="56">
        <v>1495</v>
      </c>
      <c r="CF71" s="56">
        <v>709</v>
      </c>
      <c r="CG71" s="54">
        <v>0</v>
      </c>
      <c r="CH71" s="54">
        <v>0</v>
      </c>
      <c r="CI71" s="54">
        <v>0</v>
      </c>
      <c r="CJ71" s="54">
        <v>0</v>
      </c>
      <c r="CK71" s="54">
        <v>0</v>
      </c>
      <c r="CL71" s="54">
        <v>6.5</v>
      </c>
    </row>
    <row r="72" spans="2:90" x14ac:dyDescent="0.35">
      <c r="B72" s="9" t="s">
        <v>314</v>
      </c>
      <c r="C72" s="54">
        <v>330</v>
      </c>
      <c r="D72" s="54">
        <v>1367</v>
      </c>
      <c r="E72" s="54">
        <v>20.8</v>
      </c>
      <c r="F72" s="54">
        <v>20.8</v>
      </c>
      <c r="G72" s="54">
        <v>0</v>
      </c>
      <c r="H72" s="54">
        <v>27</v>
      </c>
      <c r="I72" s="54">
        <v>27</v>
      </c>
      <c r="J72" s="54">
        <v>0</v>
      </c>
      <c r="K72" s="54">
        <v>85</v>
      </c>
      <c r="L72" s="54">
        <v>0.9</v>
      </c>
      <c r="M72" s="54">
        <v>0</v>
      </c>
      <c r="N72" s="54">
        <v>0.9</v>
      </c>
      <c r="O72" s="54">
        <v>0</v>
      </c>
      <c r="P72" s="54">
        <v>0</v>
      </c>
      <c r="Q72" s="54">
        <v>45.7</v>
      </c>
      <c r="R72" s="54">
        <v>0.5</v>
      </c>
      <c r="S72" s="54">
        <v>600</v>
      </c>
      <c r="T72" s="54">
        <v>1320</v>
      </c>
      <c r="U72" s="54">
        <v>130</v>
      </c>
      <c r="V72" s="54">
        <v>800</v>
      </c>
      <c r="W72" s="54">
        <v>3.2</v>
      </c>
      <c r="X72" s="54">
        <v>22</v>
      </c>
      <c r="Y72" s="54">
        <v>0.17</v>
      </c>
      <c r="Z72" s="54">
        <v>10</v>
      </c>
      <c r="AA72" s="54">
        <v>1100</v>
      </c>
      <c r="AB72" s="54">
        <v>29</v>
      </c>
      <c r="AC72" s="51">
        <v>5.0000000000000001E-3</v>
      </c>
      <c r="AD72" s="54">
        <v>120</v>
      </c>
      <c r="AE72" s="54">
        <v>0.03</v>
      </c>
      <c r="AF72" s="54">
        <v>0.28000000000000003</v>
      </c>
      <c r="AG72" s="51">
        <v>0.5</v>
      </c>
      <c r="AH72" s="54">
        <v>0.1</v>
      </c>
      <c r="AI72" s="54">
        <v>0.08</v>
      </c>
      <c r="AJ72" s="54">
        <v>18</v>
      </c>
      <c r="AK72" s="54">
        <v>0.31</v>
      </c>
      <c r="AL72" s="54">
        <v>2.2999999999999998</v>
      </c>
      <c r="AM72" s="54">
        <v>0.9</v>
      </c>
      <c r="AN72" s="54">
        <v>286</v>
      </c>
      <c r="AO72" s="54">
        <v>270</v>
      </c>
      <c r="AP72" s="54">
        <v>95</v>
      </c>
      <c r="AQ72" s="54">
        <v>0.55000000000000004</v>
      </c>
      <c r="AR72" s="54">
        <v>0.21</v>
      </c>
      <c r="AS72" s="55">
        <v>1.39</v>
      </c>
      <c r="AT72" s="54">
        <v>16.135000000000002</v>
      </c>
      <c r="AU72" s="54">
        <v>2.3439999999999999</v>
      </c>
      <c r="AV72" s="54">
        <v>0.89600000000000002</v>
      </c>
      <c r="AW72" s="54">
        <v>2.8620000000000001</v>
      </c>
      <c r="AX72" s="54">
        <v>6.6310000000000002</v>
      </c>
      <c r="AY72" s="54">
        <v>2.8620000000000001</v>
      </c>
      <c r="AZ72" s="65">
        <v>0</v>
      </c>
      <c r="BA72" s="65">
        <v>0</v>
      </c>
      <c r="BB72" s="54">
        <v>8.6080000000000005</v>
      </c>
      <c r="BC72" s="54">
        <v>0.35599999999999998</v>
      </c>
      <c r="BD72" s="54">
        <v>0.69099999999999995</v>
      </c>
      <c r="BE72" s="54">
        <v>7.0960000000000001</v>
      </c>
      <c r="BF72" s="54">
        <v>0</v>
      </c>
      <c r="BG72" s="54">
        <v>0</v>
      </c>
      <c r="BH72" s="54">
        <v>0.73399999999999999</v>
      </c>
      <c r="BI72" s="54">
        <v>0.35599999999999998</v>
      </c>
      <c r="BJ72" s="54">
        <v>0.378</v>
      </c>
      <c r="BK72" s="54">
        <v>0</v>
      </c>
      <c r="BL72" s="54">
        <v>0</v>
      </c>
      <c r="BM72" s="54">
        <v>0</v>
      </c>
      <c r="BN72" s="54">
        <v>0</v>
      </c>
      <c r="BO72" s="56">
        <v>303</v>
      </c>
      <c r="BP72" s="56">
        <v>675</v>
      </c>
      <c r="BQ72" s="56">
        <v>962</v>
      </c>
      <c r="BR72" s="56">
        <v>1839</v>
      </c>
      <c r="BS72" s="56">
        <v>2064</v>
      </c>
      <c r="BT72" s="56">
        <v>538</v>
      </c>
      <c r="BU72" s="56">
        <v>133</v>
      </c>
      <c r="BV72" s="56">
        <v>1056</v>
      </c>
      <c r="BW72" s="56">
        <v>1138</v>
      </c>
      <c r="BX72" s="56">
        <v>1245</v>
      </c>
      <c r="BY72" s="56">
        <v>871</v>
      </c>
      <c r="BZ72" s="56">
        <v>848</v>
      </c>
      <c r="CA72" s="56">
        <v>521</v>
      </c>
      <c r="CB72" s="56">
        <v>1278</v>
      </c>
      <c r="CC72" s="56">
        <v>4317</v>
      </c>
      <c r="CD72" s="56">
        <v>343</v>
      </c>
      <c r="CE72" s="56">
        <v>2116</v>
      </c>
      <c r="CF72" s="56">
        <v>1004</v>
      </c>
      <c r="CG72" s="54">
        <v>0</v>
      </c>
      <c r="CH72" s="54">
        <v>0</v>
      </c>
      <c r="CI72" s="54">
        <v>0</v>
      </c>
      <c r="CJ72" s="54">
        <v>0</v>
      </c>
      <c r="CK72" s="54">
        <v>0</v>
      </c>
      <c r="CL72" s="54">
        <v>0.9</v>
      </c>
    </row>
    <row r="73" spans="2:90" x14ac:dyDescent="0.35">
      <c r="B73" s="9" t="s">
        <v>288</v>
      </c>
      <c r="C73" s="54">
        <v>264</v>
      </c>
      <c r="D73" s="54">
        <v>1097</v>
      </c>
      <c r="E73" s="54">
        <v>21.2</v>
      </c>
      <c r="F73" s="54">
        <v>21.2</v>
      </c>
      <c r="G73" s="54">
        <v>0</v>
      </c>
      <c r="H73" s="54">
        <v>19.600000000000001</v>
      </c>
      <c r="I73" s="54">
        <v>19.600000000000001</v>
      </c>
      <c r="J73" s="54">
        <v>0</v>
      </c>
      <c r="K73" s="54">
        <v>90</v>
      </c>
      <c r="L73" s="54">
        <v>0.7</v>
      </c>
      <c r="M73" s="54">
        <v>0</v>
      </c>
      <c r="N73" s="54">
        <v>0.7</v>
      </c>
      <c r="O73" s="54">
        <v>0</v>
      </c>
      <c r="P73" s="54">
        <v>0</v>
      </c>
      <c r="Q73" s="54">
        <v>55</v>
      </c>
      <c r="R73" s="54">
        <v>0.8</v>
      </c>
      <c r="S73" s="54">
        <v>290</v>
      </c>
      <c r="T73" s="54">
        <v>299</v>
      </c>
      <c r="U73" s="54">
        <v>36</v>
      </c>
      <c r="V73" s="54">
        <v>350</v>
      </c>
      <c r="W73" s="54">
        <v>2.6</v>
      </c>
      <c r="X73" s="54">
        <v>10</v>
      </c>
      <c r="Y73" s="54">
        <v>0.28999999999999998</v>
      </c>
      <c r="Z73" s="54">
        <v>3</v>
      </c>
      <c r="AA73" s="54">
        <v>990</v>
      </c>
      <c r="AB73" s="65">
        <v>4</v>
      </c>
      <c r="AC73" s="51">
        <v>5.0000000000000001E-3</v>
      </c>
      <c r="AD73" s="65">
        <v>110</v>
      </c>
      <c r="AE73" s="54">
        <v>0.03</v>
      </c>
      <c r="AF73" s="54">
        <v>0.27</v>
      </c>
      <c r="AG73" s="54">
        <v>0</v>
      </c>
      <c r="AH73" s="54">
        <v>0.4</v>
      </c>
      <c r="AI73" s="54">
        <v>0.09</v>
      </c>
      <c r="AJ73" s="54">
        <v>19</v>
      </c>
      <c r="AK73" s="54">
        <v>0.25</v>
      </c>
      <c r="AL73" s="54">
        <v>2.2000000000000002</v>
      </c>
      <c r="AM73" s="54">
        <v>2.1</v>
      </c>
      <c r="AN73" s="54">
        <v>142</v>
      </c>
      <c r="AO73" s="54">
        <v>139</v>
      </c>
      <c r="AP73" s="54">
        <v>20</v>
      </c>
      <c r="AQ73" s="54">
        <v>0.39</v>
      </c>
      <c r="AR73" s="54">
        <v>0.16</v>
      </c>
      <c r="AS73" s="52">
        <v>2.2000000000000002</v>
      </c>
      <c r="AT73" s="54">
        <v>11.488</v>
      </c>
      <c r="AU73" s="54">
        <v>1.742</v>
      </c>
      <c r="AV73" s="54">
        <v>0.59899999999999998</v>
      </c>
      <c r="AW73" s="54">
        <v>2.0139999999999998</v>
      </c>
      <c r="AX73" s="54">
        <v>5.0090000000000003</v>
      </c>
      <c r="AY73" s="54">
        <v>2.1230000000000002</v>
      </c>
      <c r="AZ73" s="65">
        <v>0</v>
      </c>
      <c r="BA73" s="65">
        <v>0</v>
      </c>
      <c r="BB73" s="54">
        <v>5.9889999999999999</v>
      </c>
      <c r="BC73" s="54">
        <v>0.38100000000000001</v>
      </c>
      <c r="BD73" s="54">
        <v>0.54400000000000004</v>
      </c>
      <c r="BE73" s="54">
        <v>5.0629999999999997</v>
      </c>
      <c r="BF73" s="54">
        <v>0</v>
      </c>
      <c r="BG73" s="54">
        <v>0</v>
      </c>
      <c r="BH73" s="54">
        <v>0.65300000000000002</v>
      </c>
      <c r="BI73" s="54">
        <v>0.38100000000000001</v>
      </c>
      <c r="BJ73" s="54">
        <v>0.27200000000000002</v>
      </c>
      <c r="BK73" s="54">
        <v>0</v>
      </c>
      <c r="BL73" s="54">
        <v>0</v>
      </c>
      <c r="BM73" s="54">
        <v>0</v>
      </c>
      <c r="BN73" s="54">
        <v>0</v>
      </c>
      <c r="BO73" s="56">
        <v>253</v>
      </c>
      <c r="BP73" s="56">
        <v>665</v>
      </c>
      <c r="BQ73" s="56">
        <v>1072</v>
      </c>
      <c r="BR73" s="56">
        <v>1848</v>
      </c>
      <c r="BS73" s="56">
        <v>1632</v>
      </c>
      <c r="BT73" s="56">
        <v>622</v>
      </c>
      <c r="BU73" s="56">
        <v>103</v>
      </c>
      <c r="BV73" s="56">
        <v>1051</v>
      </c>
      <c r="BW73" s="56">
        <v>1105</v>
      </c>
      <c r="BX73" s="56">
        <v>1358</v>
      </c>
      <c r="BY73" s="56">
        <v>663</v>
      </c>
      <c r="BZ73" s="56">
        <v>546</v>
      </c>
      <c r="CA73" s="56">
        <v>628</v>
      </c>
      <c r="CB73" s="56">
        <v>1366</v>
      </c>
      <c r="CC73" s="56">
        <v>4714</v>
      </c>
      <c r="CD73" s="56">
        <v>374</v>
      </c>
      <c r="CE73" s="56">
        <v>1996</v>
      </c>
      <c r="CF73" s="56">
        <v>1044</v>
      </c>
      <c r="CG73" s="54">
        <v>0</v>
      </c>
      <c r="CH73" s="54">
        <v>0</v>
      </c>
      <c r="CI73" s="54">
        <v>0</v>
      </c>
      <c r="CJ73" s="54">
        <v>0</v>
      </c>
      <c r="CK73" s="54">
        <v>0</v>
      </c>
      <c r="CL73" s="54">
        <v>0.7</v>
      </c>
    </row>
    <row r="74" spans="2:90" x14ac:dyDescent="0.35">
      <c r="B74" s="9" t="s">
        <v>283</v>
      </c>
      <c r="C74" s="54">
        <v>347</v>
      </c>
      <c r="D74" s="54">
        <v>1441</v>
      </c>
      <c r="E74" s="54">
        <v>25</v>
      </c>
      <c r="F74" s="54">
        <v>25</v>
      </c>
      <c r="G74" s="54">
        <v>0</v>
      </c>
      <c r="H74" s="54">
        <v>26.6</v>
      </c>
      <c r="I74" s="54">
        <v>26.6</v>
      </c>
      <c r="J74" s="54">
        <v>0</v>
      </c>
      <c r="K74" s="54">
        <v>101</v>
      </c>
      <c r="L74" s="54">
        <v>2</v>
      </c>
      <c r="M74" s="54">
        <v>0</v>
      </c>
      <c r="N74" s="54">
        <v>2</v>
      </c>
      <c r="O74" s="54">
        <v>0</v>
      </c>
      <c r="P74" s="54">
        <v>0</v>
      </c>
      <c r="Q74" s="54">
        <v>41</v>
      </c>
      <c r="R74" s="54">
        <v>0.8</v>
      </c>
      <c r="S74" s="54">
        <v>850</v>
      </c>
      <c r="T74" s="54">
        <v>699</v>
      </c>
      <c r="U74" s="54">
        <v>108</v>
      </c>
      <c r="V74" s="54">
        <v>521</v>
      </c>
      <c r="W74" s="54">
        <v>3.4</v>
      </c>
      <c r="X74" s="54">
        <v>40</v>
      </c>
      <c r="Y74" s="54">
        <v>0.23</v>
      </c>
      <c r="Z74" s="54">
        <v>13</v>
      </c>
      <c r="AA74" s="54">
        <v>990</v>
      </c>
      <c r="AB74" s="54">
        <v>4</v>
      </c>
      <c r="AC74" s="54">
        <v>0.01</v>
      </c>
      <c r="AD74" s="54">
        <v>110</v>
      </c>
      <c r="AE74" s="54">
        <v>0.02</v>
      </c>
      <c r="AF74" s="54">
        <v>0.32</v>
      </c>
      <c r="AG74" s="54">
        <v>0</v>
      </c>
      <c r="AH74" s="54">
        <v>0.6</v>
      </c>
      <c r="AI74" s="54">
        <v>7.0000000000000007E-2</v>
      </c>
      <c r="AJ74" s="54">
        <v>10</v>
      </c>
      <c r="AK74" s="54">
        <v>0.48</v>
      </c>
      <c r="AL74" s="54">
        <v>2.2000000000000002</v>
      </c>
      <c r="AM74" s="54">
        <v>1.5</v>
      </c>
      <c r="AN74" s="54">
        <v>363</v>
      </c>
      <c r="AO74" s="54">
        <v>335</v>
      </c>
      <c r="AP74" s="54">
        <v>167</v>
      </c>
      <c r="AQ74" s="54">
        <v>0.52</v>
      </c>
      <c r="AR74" s="54">
        <v>0.16</v>
      </c>
      <c r="AS74" s="52">
        <v>2.2000000000000002</v>
      </c>
      <c r="AT74" s="54">
        <v>15.743</v>
      </c>
      <c r="AU74" s="54">
        <v>2.0659999999999998</v>
      </c>
      <c r="AV74" s="54">
        <v>0.46200000000000002</v>
      </c>
      <c r="AW74" s="54">
        <v>2.6789999999999998</v>
      </c>
      <c r="AX74" s="54">
        <v>7.7539999999999996</v>
      </c>
      <c r="AY74" s="54">
        <v>2.7829999999999999</v>
      </c>
      <c r="AZ74" s="65">
        <v>0</v>
      </c>
      <c r="BA74" s="65">
        <v>0</v>
      </c>
      <c r="BB74" s="54">
        <v>6.7910000000000004</v>
      </c>
      <c r="BC74" s="54">
        <v>0</v>
      </c>
      <c r="BD74" s="54">
        <v>0.755</v>
      </c>
      <c r="BE74" s="54">
        <v>6.0369999999999999</v>
      </c>
      <c r="BF74" s="54">
        <v>0</v>
      </c>
      <c r="BG74" s="54">
        <v>0</v>
      </c>
      <c r="BH74" s="54">
        <v>0.755</v>
      </c>
      <c r="BI74" s="54">
        <v>0.49</v>
      </c>
      <c r="BJ74" s="54">
        <v>0.26400000000000001</v>
      </c>
      <c r="BK74" s="54">
        <v>0</v>
      </c>
      <c r="BL74" s="54">
        <v>0</v>
      </c>
      <c r="BM74" s="54">
        <v>0</v>
      </c>
      <c r="BN74" s="54">
        <v>0</v>
      </c>
      <c r="BO74" s="56">
        <v>299</v>
      </c>
      <c r="BP74" s="56">
        <v>785</v>
      </c>
      <c r="BQ74" s="56">
        <v>1264</v>
      </c>
      <c r="BR74" s="56">
        <v>2180</v>
      </c>
      <c r="BS74" s="56">
        <v>1924</v>
      </c>
      <c r="BT74" s="56">
        <v>734</v>
      </c>
      <c r="BU74" s="56">
        <v>121</v>
      </c>
      <c r="BV74" s="56">
        <v>1239</v>
      </c>
      <c r="BW74" s="56">
        <v>1302</v>
      </c>
      <c r="BX74" s="56">
        <v>1601</v>
      </c>
      <c r="BY74" s="56">
        <v>782</v>
      </c>
      <c r="BZ74" s="56">
        <v>644</v>
      </c>
      <c r="CA74" s="56">
        <v>740</v>
      </c>
      <c r="CB74" s="56">
        <v>1610</v>
      </c>
      <c r="CC74" s="56">
        <v>5559</v>
      </c>
      <c r="CD74" s="56">
        <v>441</v>
      </c>
      <c r="CE74" s="56">
        <v>2353</v>
      </c>
      <c r="CF74" s="56">
        <v>1231</v>
      </c>
      <c r="CG74" s="54">
        <v>0</v>
      </c>
      <c r="CH74" s="54">
        <v>0</v>
      </c>
      <c r="CI74" s="54">
        <v>0</v>
      </c>
      <c r="CJ74" s="54">
        <v>0</v>
      </c>
      <c r="CK74" s="54">
        <v>0</v>
      </c>
      <c r="CL74" s="54">
        <v>2</v>
      </c>
    </row>
    <row r="75" spans="2:90" x14ac:dyDescent="0.35">
      <c r="B75" s="9" t="s">
        <v>310</v>
      </c>
      <c r="C75" s="54">
        <v>374</v>
      </c>
      <c r="D75" s="54">
        <v>1553</v>
      </c>
      <c r="E75" s="54">
        <v>28.1</v>
      </c>
      <c r="F75" s="54">
        <v>28.1</v>
      </c>
      <c r="G75" s="54">
        <v>0</v>
      </c>
      <c r="H75" s="54">
        <v>28.2</v>
      </c>
      <c r="I75" s="54">
        <v>28.2</v>
      </c>
      <c r="J75" s="54">
        <v>0</v>
      </c>
      <c r="K75" s="54">
        <v>73</v>
      </c>
      <c r="L75" s="54">
        <v>2</v>
      </c>
      <c r="M75" s="54">
        <v>0</v>
      </c>
      <c r="N75" s="54">
        <v>2</v>
      </c>
      <c r="O75" s="54">
        <v>0</v>
      </c>
      <c r="P75" s="54">
        <v>0</v>
      </c>
      <c r="Q75" s="54">
        <v>39</v>
      </c>
      <c r="R75" s="54">
        <v>0.5</v>
      </c>
      <c r="S75" s="54">
        <v>720</v>
      </c>
      <c r="T75" s="54">
        <v>860</v>
      </c>
      <c r="U75" s="54">
        <v>139</v>
      </c>
      <c r="V75" s="54">
        <v>521</v>
      </c>
      <c r="W75" s="54">
        <v>4.2</v>
      </c>
      <c r="X75" s="54">
        <v>40</v>
      </c>
      <c r="Y75" s="54">
        <v>0.03</v>
      </c>
      <c r="Z75" s="54">
        <v>13</v>
      </c>
      <c r="AA75" s="54">
        <v>1030</v>
      </c>
      <c r="AB75" s="54">
        <v>39</v>
      </c>
      <c r="AC75" s="54">
        <v>0.01</v>
      </c>
      <c r="AD75" s="54">
        <v>230</v>
      </c>
      <c r="AE75" s="54">
        <v>0.02</v>
      </c>
      <c r="AF75" s="54">
        <v>0.22</v>
      </c>
      <c r="AG75" s="54">
        <v>0</v>
      </c>
      <c r="AH75" s="54">
        <v>0.6</v>
      </c>
      <c r="AI75" s="54">
        <v>7.0000000000000007E-2</v>
      </c>
      <c r="AJ75" s="54">
        <v>10</v>
      </c>
      <c r="AK75" s="54">
        <v>0.48</v>
      </c>
      <c r="AL75" s="54">
        <v>3</v>
      </c>
      <c r="AM75" s="54">
        <v>1.5</v>
      </c>
      <c r="AN75" s="54">
        <v>335</v>
      </c>
      <c r="AO75" s="54">
        <v>293</v>
      </c>
      <c r="AP75" s="54">
        <v>251</v>
      </c>
      <c r="AQ75" s="54">
        <v>0.52</v>
      </c>
      <c r="AR75" s="54">
        <v>0.16</v>
      </c>
      <c r="AS75" s="55">
        <v>2.2000000000000002</v>
      </c>
      <c r="AT75" s="54">
        <v>16.690000000000001</v>
      </c>
      <c r="AU75" s="54">
        <v>2.19</v>
      </c>
      <c r="AV75" s="54">
        <v>0.49</v>
      </c>
      <c r="AW75" s="54">
        <v>2.84</v>
      </c>
      <c r="AX75" s="54">
        <v>8.2200000000000006</v>
      </c>
      <c r="AY75" s="54">
        <v>2.95</v>
      </c>
      <c r="AZ75" s="54">
        <v>0</v>
      </c>
      <c r="BA75" s="54">
        <v>0</v>
      </c>
      <c r="BB75" s="54">
        <v>7.2</v>
      </c>
      <c r="BC75" s="54">
        <v>0</v>
      </c>
      <c r="BD75" s="54">
        <v>0.8</v>
      </c>
      <c r="BE75" s="54">
        <v>6.4</v>
      </c>
      <c r="BF75" s="54">
        <v>0</v>
      </c>
      <c r="BG75" s="54">
        <v>0</v>
      </c>
      <c r="BH75" s="54">
        <v>0.8</v>
      </c>
      <c r="BI75" s="54">
        <v>0.52</v>
      </c>
      <c r="BJ75" s="54">
        <v>0.28000000000000003</v>
      </c>
      <c r="BK75" s="54">
        <v>0</v>
      </c>
      <c r="BL75" s="54">
        <v>0</v>
      </c>
      <c r="BM75" s="54">
        <v>0</v>
      </c>
      <c r="BN75" s="54">
        <v>0</v>
      </c>
      <c r="BO75" s="56">
        <v>336</v>
      </c>
      <c r="BP75" s="56">
        <v>882</v>
      </c>
      <c r="BQ75" s="56">
        <v>1421</v>
      </c>
      <c r="BR75" s="56">
        <v>2450</v>
      </c>
      <c r="BS75" s="56">
        <v>2163</v>
      </c>
      <c r="BT75" s="56">
        <v>825</v>
      </c>
      <c r="BU75" s="56">
        <v>136</v>
      </c>
      <c r="BV75" s="56">
        <v>1393</v>
      </c>
      <c r="BW75" s="56">
        <v>1464</v>
      </c>
      <c r="BX75" s="56">
        <v>1800</v>
      </c>
      <c r="BY75" s="56">
        <v>879</v>
      </c>
      <c r="BZ75" s="56">
        <v>724</v>
      </c>
      <c r="CA75" s="56">
        <v>832</v>
      </c>
      <c r="CB75" s="56">
        <v>1810</v>
      </c>
      <c r="CC75" s="56">
        <v>6248</v>
      </c>
      <c r="CD75" s="56">
        <v>496</v>
      </c>
      <c r="CE75" s="56">
        <v>2645</v>
      </c>
      <c r="CF75" s="56">
        <v>1384</v>
      </c>
      <c r="CG75" s="54">
        <v>0</v>
      </c>
      <c r="CH75" s="54">
        <v>0</v>
      </c>
      <c r="CI75" s="54">
        <v>0</v>
      </c>
      <c r="CJ75" s="54">
        <v>0</v>
      </c>
      <c r="CK75" s="54">
        <v>0</v>
      </c>
      <c r="CL75" s="54">
        <v>2</v>
      </c>
    </row>
    <row r="76" spans="2:90" x14ac:dyDescent="0.35">
      <c r="B76" s="9" t="s">
        <v>284</v>
      </c>
      <c r="C76" s="54">
        <v>399</v>
      </c>
      <c r="D76" s="54">
        <v>1657</v>
      </c>
      <c r="E76" s="54">
        <v>29.4</v>
      </c>
      <c r="F76" s="54">
        <v>29.4</v>
      </c>
      <c r="G76" s="54">
        <v>0</v>
      </c>
      <c r="H76" s="54">
        <v>30.4</v>
      </c>
      <c r="I76" s="54">
        <v>30.4</v>
      </c>
      <c r="J76" s="54">
        <v>0</v>
      </c>
      <c r="K76" s="54">
        <v>101</v>
      </c>
      <c r="L76" s="54">
        <v>2</v>
      </c>
      <c r="M76" s="54">
        <v>0</v>
      </c>
      <c r="N76" s="54">
        <v>2</v>
      </c>
      <c r="O76" s="54">
        <v>0</v>
      </c>
      <c r="P76" s="54">
        <v>0</v>
      </c>
      <c r="Q76" s="54">
        <v>31</v>
      </c>
      <c r="R76" s="54">
        <v>0.7</v>
      </c>
      <c r="S76" s="54">
        <v>789</v>
      </c>
      <c r="T76" s="54">
        <v>1927</v>
      </c>
      <c r="U76" s="54">
        <v>79</v>
      </c>
      <c r="V76" s="54">
        <v>576</v>
      </c>
      <c r="W76" s="54">
        <v>4.4000000000000004</v>
      </c>
      <c r="X76" s="54">
        <v>40</v>
      </c>
      <c r="Y76" s="54">
        <v>0.44</v>
      </c>
      <c r="Z76" s="54">
        <v>13</v>
      </c>
      <c r="AA76" s="54">
        <v>1030</v>
      </c>
      <c r="AB76" s="54">
        <v>39</v>
      </c>
      <c r="AC76" s="54">
        <v>0.01</v>
      </c>
      <c r="AD76" s="54">
        <v>230</v>
      </c>
      <c r="AE76" s="54">
        <v>0.02</v>
      </c>
      <c r="AF76" s="54">
        <v>0.32</v>
      </c>
      <c r="AG76" s="54">
        <v>0</v>
      </c>
      <c r="AH76" s="54">
        <v>0.6</v>
      </c>
      <c r="AI76" s="54">
        <v>7.0000000000000007E-2</v>
      </c>
      <c r="AJ76" s="54">
        <v>10</v>
      </c>
      <c r="AK76" s="54">
        <v>0.48</v>
      </c>
      <c r="AL76" s="54">
        <v>3</v>
      </c>
      <c r="AM76" s="54">
        <v>1.5</v>
      </c>
      <c r="AN76" s="54">
        <v>335</v>
      </c>
      <c r="AO76" s="54">
        <v>293</v>
      </c>
      <c r="AP76" s="54">
        <v>251</v>
      </c>
      <c r="AQ76" s="54">
        <v>0.52</v>
      </c>
      <c r="AR76" s="54">
        <v>0.16</v>
      </c>
      <c r="AS76" s="52">
        <v>2.2000000000000002</v>
      </c>
      <c r="AT76" s="54">
        <v>17.992000000000001</v>
      </c>
      <c r="AU76" s="54">
        <v>2.3610000000000002</v>
      </c>
      <c r="AV76" s="54">
        <v>0.52800000000000002</v>
      </c>
      <c r="AW76" s="54">
        <v>3.0619999999999998</v>
      </c>
      <c r="AX76" s="54">
        <v>8.8610000000000007</v>
      </c>
      <c r="AY76" s="54">
        <v>3.18</v>
      </c>
      <c r="AZ76" s="54">
        <v>0</v>
      </c>
      <c r="BA76" s="54">
        <v>0</v>
      </c>
      <c r="BB76" s="54">
        <v>7.7619999999999996</v>
      </c>
      <c r="BC76" s="54">
        <v>0</v>
      </c>
      <c r="BD76" s="54">
        <v>0.86199999999999999</v>
      </c>
      <c r="BE76" s="54">
        <v>6.899</v>
      </c>
      <c r="BF76" s="54">
        <v>0</v>
      </c>
      <c r="BG76" s="54">
        <v>0</v>
      </c>
      <c r="BH76" s="54">
        <v>0.86199999999999999</v>
      </c>
      <c r="BI76" s="54">
        <v>0.56100000000000005</v>
      </c>
      <c r="BJ76" s="54">
        <v>0.30199999999999999</v>
      </c>
      <c r="BK76" s="54">
        <v>0</v>
      </c>
      <c r="BL76" s="54">
        <v>0</v>
      </c>
      <c r="BM76" s="54">
        <v>0</v>
      </c>
      <c r="BN76" s="54">
        <v>0</v>
      </c>
      <c r="BO76" s="56">
        <v>352</v>
      </c>
      <c r="BP76" s="56">
        <v>923</v>
      </c>
      <c r="BQ76" s="56">
        <v>1487</v>
      </c>
      <c r="BR76" s="56">
        <v>2563</v>
      </c>
      <c r="BS76" s="56">
        <v>2263</v>
      </c>
      <c r="BT76" s="56">
        <v>863</v>
      </c>
      <c r="BU76" s="56">
        <v>142</v>
      </c>
      <c r="BV76" s="56">
        <v>1457</v>
      </c>
      <c r="BW76" s="56">
        <v>1532</v>
      </c>
      <c r="BX76" s="56">
        <v>1883</v>
      </c>
      <c r="BY76" s="56">
        <v>920</v>
      </c>
      <c r="BZ76" s="56">
        <v>757</v>
      </c>
      <c r="CA76" s="56">
        <v>870</v>
      </c>
      <c r="CB76" s="56">
        <v>1894</v>
      </c>
      <c r="CC76" s="56">
        <v>6537</v>
      </c>
      <c r="CD76" s="56">
        <v>519</v>
      </c>
      <c r="CE76" s="56">
        <v>2767</v>
      </c>
      <c r="CF76" s="56">
        <v>1448</v>
      </c>
      <c r="CG76" s="54">
        <v>0</v>
      </c>
      <c r="CH76" s="54">
        <v>0</v>
      </c>
      <c r="CI76" s="54">
        <v>0</v>
      </c>
      <c r="CJ76" s="54">
        <v>0</v>
      </c>
      <c r="CK76" s="54">
        <v>0</v>
      </c>
      <c r="CL76" s="54">
        <v>2</v>
      </c>
    </row>
    <row r="77" spans="2:90" x14ac:dyDescent="0.35">
      <c r="B77" s="9" t="s">
        <v>286</v>
      </c>
      <c r="C77" s="54">
        <v>71</v>
      </c>
      <c r="D77" s="54">
        <v>302</v>
      </c>
      <c r="E77" s="54">
        <v>13.5</v>
      </c>
      <c r="F77" s="54">
        <v>13.5</v>
      </c>
      <c r="G77" s="54">
        <v>0</v>
      </c>
      <c r="H77" s="54">
        <v>0.2</v>
      </c>
      <c r="I77" s="54">
        <v>0.2</v>
      </c>
      <c r="J77" s="54">
        <v>0</v>
      </c>
      <c r="K77" s="54">
        <v>32</v>
      </c>
      <c r="L77" s="54">
        <v>4.0999999999999996</v>
      </c>
      <c r="M77" s="54">
        <v>0</v>
      </c>
      <c r="N77" s="54">
        <v>4.0999999999999996</v>
      </c>
      <c r="O77" s="54">
        <v>0</v>
      </c>
      <c r="P77" s="54">
        <v>0</v>
      </c>
      <c r="Q77" s="54">
        <v>81</v>
      </c>
      <c r="R77" s="54">
        <v>0.4</v>
      </c>
      <c r="S77" s="54">
        <v>92</v>
      </c>
      <c r="T77" s="54">
        <v>40</v>
      </c>
      <c r="U77" s="54">
        <v>85</v>
      </c>
      <c r="V77" s="54">
        <v>160</v>
      </c>
      <c r="W77" s="54">
        <v>0.6</v>
      </c>
      <c r="X77" s="54">
        <v>17</v>
      </c>
      <c r="Y77" s="51">
        <v>5.0000000000000001E-3</v>
      </c>
      <c r="Z77" s="54">
        <v>3.9</v>
      </c>
      <c r="AA77" s="54">
        <v>100</v>
      </c>
      <c r="AB77" s="54">
        <v>15</v>
      </c>
      <c r="AC77" s="51">
        <v>5.0000000000000001E-3</v>
      </c>
      <c r="AD77" s="54">
        <v>30</v>
      </c>
      <c r="AE77" s="54">
        <v>0.04</v>
      </c>
      <c r="AF77" s="54">
        <v>0.3</v>
      </c>
      <c r="AG77" s="54">
        <v>1</v>
      </c>
      <c r="AH77" s="54">
        <v>0.2</v>
      </c>
      <c r="AI77" s="54">
        <v>0.03</v>
      </c>
      <c r="AJ77" s="54">
        <v>6</v>
      </c>
      <c r="AK77" s="54">
        <v>0.21</v>
      </c>
      <c r="AL77" s="54">
        <v>1.9</v>
      </c>
      <c r="AM77" s="54">
        <v>0.3</v>
      </c>
      <c r="AN77" s="54">
        <v>2</v>
      </c>
      <c r="AO77" s="54">
        <v>2</v>
      </c>
      <c r="AP77" s="54">
        <v>1</v>
      </c>
      <c r="AQ77" s="54">
        <v>0.21</v>
      </c>
      <c r="AR77" s="54">
        <v>0.03</v>
      </c>
      <c r="AS77" s="55">
        <v>0.7</v>
      </c>
      <c r="AT77" s="54">
        <v>0.11700000000000001</v>
      </c>
      <c r="AU77" s="54">
        <v>1.7999999999999999E-2</v>
      </c>
      <c r="AV77" s="54">
        <v>6.0000000000000001E-3</v>
      </c>
      <c r="AW77" s="54">
        <v>2.1000000000000001E-2</v>
      </c>
      <c r="AX77" s="54">
        <v>5.0999999999999997E-2</v>
      </c>
      <c r="AY77" s="54">
        <v>2.1999999999999999E-2</v>
      </c>
      <c r="AZ77" s="54">
        <v>0</v>
      </c>
      <c r="BA77" s="54">
        <v>0</v>
      </c>
      <c r="BB77" s="54">
        <v>6.0999999999999999E-2</v>
      </c>
      <c r="BC77" s="54">
        <v>4.0000000000000001E-3</v>
      </c>
      <c r="BD77" s="54">
        <v>6.0000000000000001E-3</v>
      </c>
      <c r="BE77" s="54">
        <v>5.1999999999999998E-2</v>
      </c>
      <c r="BF77" s="54">
        <v>0</v>
      </c>
      <c r="BG77" s="54">
        <v>0</v>
      </c>
      <c r="BH77" s="54">
        <v>7.0000000000000001E-3</v>
      </c>
      <c r="BI77" s="54">
        <v>4.0000000000000001E-3</v>
      </c>
      <c r="BJ77" s="54">
        <v>3.0000000000000001E-3</v>
      </c>
      <c r="BK77" s="54">
        <v>0</v>
      </c>
      <c r="BL77" s="54">
        <v>0</v>
      </c>
      <c r="BM77" s="54">
        <v>0</v>
      </c>
      <c r="BN77" s="54">
        <v>0</v>
      </c>
      <c r="BO77" s="56">
        <v>135</v>
      </c>
      <c r="BP77" s="56">
        <v>629</v>
      </c>
      <c r="BQ77" s="56">
        <v>715</v>
      </c>
      <c r="BR77" s="56">
        <v>1529</v>
      </c>
      <c r="BS77" s="56">
        <v>1218</v>
      </c>
      <c r="BT77" s="56">
        <v>311</v>
      </c>
      <c r="BU77" s="56">
        <v>279</v>
      </c>
      <c r="BV77" s="56">
        <v>542</v>
      </c>
      <c r="BW77" s="56">
        <v>508</v>
      </c>
      <c r="BX77" s="56">
        <v>816</v>
      </c>
      <c r="BY77" s="56">
        <v>426</v>
      </c>
      <c r="BZ77" s="56">
        <v>284</v>
      </c>
      <c r="CA77" s="56">
        <v>660</v>
      </c>
      <c r="CB77" s="56">
        <v>1289</v>
      </c>
      <c r="CC77" s="56">
        <v>2502</v>
      </c>
      <c r="CD77" s="56">
        <v>278</v>
      </c>
      <c r="CE77" s="56">
        <v>827</v>
      </c>
      <c r="CF77" s="56">
        <v>638</v>
      </c>
      <c r="CG77" s="54">
        <v>0</v>
      </c>
      <c r="CH77" s="54">
        <v>0</v>
      </c>
      <c r="CI77" s="54">
        <v>0</v>
      </c>
      <c r="CJ77" s="54">
        <v>0</v>
      </c>
      <c r="CK77" s="54">
        <v>0</v>
      </c>
      <c r="CL77" s="54">
        <v>4.0999999999999996</v>
      </c>
    </row>
    <row r="78" spans="2:90" x14ac:dyDescent="0.35">
      <c r="B78" s="9" t="s">
        <v>285</v>
      </c>
      <c r="C78" s="54">
        <v>109</v>
      </c>
      <c r="D78" s="54">
        <v>459</v>
      </c>
      <c r="E78" s="54">
        <v>12.5</v>
      </c>
      <c r="F78" s="54">
        <v>12.5</v>
      </c>
      <c r="G78" s="54">
        <v>0</v>
      </c>
      <c r="H78" s="54">
        <v>5.0999999999999996</v>
      </c>
      <c r="I78" s="54">
        <v>5.0999999999999996</v>
      </c>
      <c r="J78" s="54">
        <v>0</v>
      </c>
      <c r="K78" s="54">
        <v>32</v>
      </c>
      <c r="L78" s="54">
        <v>3.6</v>
      </c>
      <c r="M78" s="54">
        <v>0</v>
      </c>
      <c r="N78" s="54">
        <v>3.6</v>
      </c>
      <c r="O78" s="54">
        <v>0</v>
      </c>
      <c r="P78" s="54">
        <v>0</v>
      </c>
      <c r="Q78" s="54">
        <v>78</v>
      </c>
      <c r="R78" s="54">
        <v>0.4</v>
      </c>
      <c r="S78" s="54">
        <v>85</v>
      </c>
      <c r="T78" s="54">
        <v>35</v>
      </c>
      <c r="U78" s="54">
        <v>87</v>
      </c>
      <c r="V78" s="54">
        <v>165</v>
      </c>
      <c r="W78" s="54">
        <v>0.5</v>
      </c>
      <c r="X78" s="54">
        <v>17</v>
      </c>
      <c r="Y78" s="54">
        <v>0.01</v>
      </c>
      <c r="Z78" s="54">
        <v>3.9</v>
      </c>
      <c r="AA78" s="54">
        <v>100</v>
      </c>
      <c r="AB78" s="54">
        <v>15</v>
      </c>
      <c r="AC78" s="51">
        <v>5.0000000000000001E-3</v>
      </c>
      <c r="AD78" s="54">
        <v>30</v>
      </c>
      <c r="AE78" s="54">
        <v>0.04</v>
      </c>
      <c r="AF78" s="54">
        <v>0.27</v>
      </c>
      <c r="AG78" s="54">
        <v>1</v>
      </c>
      <c r="AH78" s="54">
        <v>0.1</v>
      </c>
      <c r="AI78" s="54">
        <v>0.03</v>
      </c>
      <c r="AJ78" s="54">
        <v>6</v>
      </c>
      <c r="AK78" s="54">
        <v>0.21</v>
      </c>
      <c r="AL78" s="54">
        <v>1.9</v>
      </c>
      <c r="AM78" s="54">
        <v>0.3</v>
      </c>
      <c r="AN78" s="54">
        <v>44</v>
      </c>
      <c r="AO78" s="54">
        <v>40</v>
      </c>
      <c r="AP78" s="54">
        <v>24</v>
      </c>
      <c r="AQ78" s="54">
        <v>0.21</v>
      </c>
      <c r="AR78" s="54">
        <v>0.03</v>
      </c>
      <c r="AS78" s="52">
        <v>0.7</v>
      </c>
      <c r="AT78" s="54">
        <v>2.9889999999999999</v>
      </c>
      <c r="AU78" s="54">
        <v>0.45300000000000001</v>
      </c>
      <c r="AV78" s="54">
        <v>0.156</v>
      </c>
      <c r="AW78" s="54">
        <v>0.52400000000000002</v>
      </c>
      <c r="AX78" s="54">
        <v>1.3029999999999999</v>
      </c>
      <c r="AY78" s="54">
        <v>0.55300000000000005</v>
      </c>
      <c r="AZ78" s="54">
        <v>0</v>
      </c>
      <c r="BA78" s="54">
        <v>0</v>
      </c>
      <c r="BB78" s="54">
        <v>1.5580000000000001</v>
      </c>
      <c r="BC78" s="54">
        <v>9.9000000000000005E-2</v>
      </c>
      <c r="BD78" s="54">
        <v>0.14199999999999999</v>
      </c>
      <c r="BE78" s="54">
        <v>1.3180000000000001</v>
      </c>
      <c r="BF78" s="54">
        <v>0</v>
      </c>
      <c r="BG78" s="54">
        <v>0</v>
      </c>
      <c r="BH78" s="54">
        <v>0.17</v>
      </c>
      <c r="BI78" s="54">
        <v>9.9000000000000005E-2</v>
      </c>
      <c r="BJ78" s="54">
        <v>7.0999999999999994E-2</v>
      </c>
      <c r="BK78" s="54">
        <v>0</v>
      </c>
      <c r="BL78" s="54">
        <v>0</v>
      </c>
      <c r="BM78" s="54">
        <v>0</v>
      </c>
      <c r="BN78" s="54">
        <v>0</v>
      </c>
      <c r="BO78" s="56">
        <v>125</v>
      </c>
      <c r="BP78" s="56">
        <v>582</v>
      </c>
      <c r="BQ78" s="56">
        <v>662</v>
      </c>
      <c r="BR78" s="56">
        <v>1416</v>
      </c>
      <c r="BS78" s="56">
        <v>1128</v>
      </c>
      <c r="BT78" s="56">
        <v>288</v>
      </c>
      <c r="BU78" s="56">
        <v>259</v>
      </c>
      <c r="BV78" s="56">
        <v>501</v>
      </c>
      <c r="BW78" s="56">
        <v>470</v>
      </c>
      <c r="BX78" s="56">
        <v>756</v>
      </c>
      <c r="BY78" s="56">
        <v>395</v>
      </c>
      <c r="BZ78" s="56">
        <v>263</v>
      </c>
      <c r="CA78" s="56">
        <v>611</v>
      </c>
      <c r="CB78" s="56">
        <v>1193</v>
      </c>
      <c r="CC78" s="56">
        <v>2317</v>
      </c>
      <c r="CD78" s="56">
        <v>257</v>
      </c>
      <c r="CE78" s="56">
        <v>766</v>
      </c>
      <c r="CF78" s="56">
        <v>591</v>
      </c>
      <c r="CG78" s="54">
        <v>0</v>
      </c>
      <c r="CH78" s="54">
        <v>0</v>
      </c>
      <c r="CI78" s="54">
        <v>0</v>
      </c>
      <c r="CJ78" s="54">
        <v>0</v>
      </c>
      <c r="CK78" s="54">
        <v>0</v>
      </c>
      <c r="CL78" s="54">
        <v>3.6</v>
      </c>
    </row>
    <row r="79" spans="2:90" x14ac:dyDescent="0.35">
      <c r="B79" s="9" t="s">
        <v>330</v>
      </c>
      <c r="C79" s="54">
        <v>212</v>
      </c>
      <c r="D79" s="54">
        <v>878</v>
      </c>
      <c r="E79" s="54">
        <v>10.5</v>
      </c>
      <c r="F79" s="54">
        <v>10.5</v>
      </c>
      <c r="G79" s="54">
        <v>0</v>
      </c>
      <c r="H79" s="54">
        <v>17.3</v>
      </c>
      <c r="I79" s="54">
        <v>17.3</v>
      </c>
      <c r="J79" s="54">
        <v>0</v>
      </c>
      <c r="K79" s="54">
        <v>50</v>
      </c>
      <c r="L79" s="54">
        <v>3.7</v>
      </c>
      <c r="M79" s="54">
        <v>0</v>
      </c>
      <c r="N79" s="54">
        <v>3.7</v>
      </c>
      <c r="O79" s="54">
        <v>0</v>
      </c>
      <c r="P79" s="54">
        <v>0</v>
      </c>
      <c r="Q79" s="54">
        <v>67.3</v>
      </c>
      <c r="R79" s="54">
        <v>0.4</v>
      </c>
      <c r="S79" s="54">
        <v>340</v>
      </c>
      <c r="T79" s="54">
        <v>78</v>
      </c>
      <c r="U79" s="54">
        <v>119</v>
      </c>
      <c r="V79" s="54">
        <v>380</v>
      </c>
      <c r="W79" s="54">
        <v>0.5</v>
      </c>
      <c r="X79" s="54">
        <v>17</v>
      </c>
      <c r="Y79" s="54">
        <v>0.02</v>
      </c>
      <c r="Z79" s="54">
        <v>4</v>
      </c>
      <c r="AA79" s="54">
        <v>100</v>
      </c>
      <c r="AB79" s="54">
        <v>15</v>
      </c>
      <c r="AC79" s="51">
        <v>5.0000000000000001E-3</v>
      </c>
      <c r="AD79" s="54">
        <v>30</v>
      </c>
      <c r="AE79" s="54">
        <v>0.02</v>
      </c>
      <c r="AF79" s="54">
        <v>0.19</v>
      </c>
      <c r="AG79" s="54">
        <v>0</v>
      </c>
      <c r="AH79" s="54">
        <v>0.09</v>
      </c>
      <c r="AI79" s="54">
        <v>0.03</v>
      </c>
      <c r="AJ79" s="54">
        <v>12</v>
      </c>
      <c r="AK79" s="54">
        <v>0.21</v>
      </c>
      <c r="AL79" s="54">
        <v>1.9</v>
      </c>
      <c r="AM79" s="54">
        <v>0.3</v>
      </c>
      <c r="AN79" s="54">
        <v>200</v>
      </c>
      <c r="AO79" s="54">
        <v>185</v>
      </c>
      <c r="AP79" s="54">
        <v>92</v>
      </c>
      <c r="AQ79" s="54">
        <v>0.21</v>
      </c>
      <c r="AR79" s="54">
        <v>0.03</v>
      </c>
      <c r="AS79" s="52">
        <v>1.1000000000000001</v>
      </c>
      <c r="AT79" s="54">
        <v>10.824</v>
      </c>
      <c r="AU79" s="54">
        <v>0.36499999999999999</v>
      </c>
      <c r="AV79" s="54">
        <v>0.61899999999999999</v>
      </c>
      <c r="AW79" s="54">
        <v>2.1110000000000002</v>
      </c>
      <c r="AX79" s="54">
        <v>5.5389999999999997</v>
      </c>
      <c r="AY79" s="54">
        <v>1.6819999999999999</v>
      </c>
      <c r="AZ79" s="54">
        <v>0</v>
      </c>
      <c r="BA79" s="54">
        <v>0</v>
      </c>
      <c r="BB79" s="54">
        <v>4.3810000000000002</v>
      </c>
      <c r="BC79" s="54">
        <v>0.17499999999999999</v>
      </c>
      <c r="BD79" s="54">
        <v>0.30199999999999999</v>
      </c>
      <c r="BE79" s="54">
        <v>3.762</v>
      </c>
      <c r="BF79" s="54">
        <v>0</v>
      </c>
      <c r="BG79" s="54">
        <v>0</v>
      </c>
      <c r="BH79" s="54">
        <v>0.61899999999999999</v>
      </c>
      <c r="BI79" s="54">
        <v>0.39700000000000002</v>
      </c>
      <c r="BJ79" s="54">
        <v>0.222</v>
      </c>
      <c r="BK79" s="54">
        <v>0</v>
      </c>
      <c r="BL79" s="54">
        <v>0</v>
      </c>
      <c r="BM79" s="54">
        <v>0</v>
      </c>
      <c r="BN79" s="54">
        <v>0</v>
      </c>
      <c r="BO79" s="56">
        <v>105</v>
      </c>
      <c r="BP79" s="56">
        <v>489</v>
      </c>
      <c r="BQ79" s="56">
        <v>556</v>
      </c>
      <c r="BR79" s="56">
        <v>1190</v>
      </c>
      <c r="BS79" s="56">
        <v>947</v>
      </c>
      <c r="BT79" s="56">
        <v>242</v>
      </c>
      <c r="BU79" s="56">
        <v>217</v>
      </c>
      <c r="BV79" s="56">
        <v>421</v>
      </c>
      <c r="BW79" s="56">
        <v>395</v>
      </c>
      <c r="BX79" s="56">
        <v>635</v>
      </c>
      <c r="BY79" s="56">
        <v>332</v>
      </c>
      <c r="BZ79" s="56">
        <v>221</v>
      </c>
      <c r="CA79" s="56">
        <v>513</v>
      </c>
      <c r="CB79" s="56">
        <v>1002</v>
      </c>
      <c r="CC79" s="56">
        <v>1946</v>
      </c>
      <c r="CD79" s="56">
        <v>216</v>
      </c>
      <c r="CE79" s="56">
        <v>643</v>
      </c>
      <c r="CF79" s="56">
        <v>496</v>
      </c>
      <c r="CG79" s="54">
        <v>0</v>
      </c>
      <c r="CH79" s="54">
        <v>0</v>
      </c>
      <c r="CI79" s="54">
        <v>0</v>
      </c>
      <c r="CJ79" s="54">
        <v>0</v>
      </c>
      <c r="CK79" s="54">
        <v>0</v>
      </c>
      <c r="CL79" s="54">
        <v>3.7</v>
      </c>
    </row>
    <row r="80" spans="2:90" x14ac:dyDescent="0.35">
      <c r="B80" s="9" t="s">
        <v>336</v>
      </c>
      <c r="C80" s="54">
        <v>151</v>
      </c>
      <c r="D80" s="54">
        <v>626</v>
      </c>
      <c r="E80" s="54">
        <v>8.8000000000000007</v>
      </c>
      <c r="F80" s="54">
        <v>8.8000000000000007</v>
      </c>
      <c r="G80" s="54">
        <v>0</v>
      </c>
      <c r="H80" s="54">
        <v>11.5</v>
      </c>
      <c r="I80" s="54">
        <v>11.5</v>
      </c>
      <c r="J80" s="54">
        <v>0</v>
      </c>
      <c r="K80" s="54">
        <v>52</v>
      </c>
      <c r="L80" s="54">
        <v>3.2</v>
      </c>
      <c r="M80" s="54">
        <v>0</v>
      </c>
      <c r="N80" s="54">
        <v>3.2</v>
      </c>
      <c r="O80" s="54">
        <v>0</v>
      </c>
      <c r="P80" s="54">
        <v>0</v>
      </c>
      <c r="Q80" s="54">
        <v>75.5</v>
      </c>
      <c r="R80" s="54">
        <v>0.35</v>
      </c>
      <c r="S80" s="54">
        <v>230.5</v>
      </c>
      <c r="T80" s="54">
        <v>81.5</v>
      </c>
      <c r="U80" s="54">
        <v>108.5</v>
      </c>
      <c r="V80" s="54">
        <v>195</v>
      </c>
      <c r="W80" s="54">
        <v>0.35</v>
      </c>
      <c r="X80" s="54">
        <v>16</v>
      </c>
      <c r="Y80" s="54">
        <v>3.5000000000000003E-2</v>
      </c>
      <c r="Z80" s="54">
        <v>3.9</v>
      </c>
      <c r="AA80" s="54">
        <v>91</v>
      </c>
      <c r="AB80" s="54">
        <v>9.5</v>
      </c>
      <c r="AC80" s="51">
        <v>5.0000000000000001E-3</v>
      </c>
      <c r="AD80" s="54">
        <v>70</v>
      </c>
      <c r="AE80" s="54">
        <v>2.5000000000000001E-2</v>
      </c>
      <c r="AF80" s="54">
        <v>0.19</v>
      </c>
      <c r="AG80" s="54">
        <v>0</v>
      </c>
      <c r="AH80" s="54">
        <v>0.09</v>
      </c>
      <c r="AI80" s="54">
        <v>0.03</v>
      </c>
      <c r="AJ80" s="54">
        <v>12</v>
      </c>
      <c r="AK80" s="54">
        <v>0.21</v>
      </c>
      <c r="AL80" s="54">
        <v>2.2000000000000002</v>
      </c>
      <c r="AM80" s="54">
        <v>0.3</v>
      </c>
      <c r="AN80" s="54">
        <v>200</v>
      </c>
      <c r="AO80" s="54">
        <v>185</v>
      </c>
      <c r="AP80" s="54">
        <v>92</v>
      </c>
      <c r="AQ80" s="54">
        <v>0.21</v>
      </c>
      <c r="AR80" s="54">
        <v>0.105</v>
      </c>
      <c r="AS80" s="64">
        <v>1.1000000000000001</v>
      </c>
      <c r="AT80" s="54">
        <v>7.28</v>
      </c>
      <c r="AU80" s="54">
        <v>0.76</v>
      </c>
      <c r="AV80" s="54">
        <v>0.54</v>
      </c>
      <c r="AW80" s="54">
        <v>1.43</v>
      </c>
      <c r="AX80" s="54">
        <v>3.25</v>
      </c>
      <c r="AY80" s="54">
        <v>0.94</v>
      </c>
      <c r="AZ80" s="65">
        <v>0</v>
      </c>
      <c r="BA80" s="65">
        <v>0</v>
      </c>
      <c r="BB80" s="54">
        <v>2.7</v>
      </c>
      <c r="BC80" s="54">
        <v>0.08</v>
      </c>
      <c r="BD80" s="54">
        <v>0.18</v>
      </c>
      <c r="BE80" s="54">
        <v>2.34</v>
      </c>
      <c r="BF80" s="54">
        <v>0</v>
      </c>
      <c r="BG80" s="54">
        <v>0</v>
      </c>
      <c r="BH80" s="54">
        <v>0.55000000000000004</v>
      </c>
      <c r="BI80" s="54">
        <v>0.28999999999999998</v>
      </c>
      <c r="BJ80" s="54">
        <v>0.25</v>
      </c>
      <c r="BK80" s="54">
        <v>0</v>
      </c>
      <c r="BL80" s="54">
        <v>0</v>
      </c>
      <c r="BM80" s="54">
        <v>0</v>
      </c>
      <c r="BN80" s="54">
        <v>0.01</v>
      </c>
      <c r="BO80" s="56">
        <v>88</v>
      </c>
      <c r="BP80" s="56">
        <v>414</v>
      </c>
      <c r="BQ80" s="56">
        <v>457</v>
      </c>
      <c r="BR80" s="56">
        <v>970</v>
      </c>
      <c r="BS80" s="56">
        <v>773</v>
      </c>
      <c r="BT80" s="56">
        <v>195</v>
      </c>
      <c r="BU80" s="56">
        <v>183</v>
      </c>
      <c r="BV80" s="56">
        <v>349</v>
      </c>
      <c r="BW80" s="56">
        <v>339</v>
      </c>
      <c r="BX80" s="56">
        <v>532</v>
      </c>
      <c r="BY80" s="56">
        <v>275</v>
      </c>
      <c r="BZ80" s="56">
        <v>181</v>
      </c>
      <c r="CA80" s="56">
        <v>454</v>
      </c>
      <c r="CB80" s="56">
        <v>839</v>
      </c>
      <c r="CC80" s="56">
        <v>1604</v>
      </c>
      <c r="CD80" s="56">
        <v>175</v>
      </c>
      <c r="CE80" s="56">
        <v>549</v>
      </c>
      <c r="CF80" s="56">
        <v>406</v>
      </c>
      <c r="CG80" s="54">
        <v>0</v>
      </c>
      <c r="CH80" s="54">
        <v>0</v>
      </c>
      <c r="CI80" s="54">
        <v>0</v>
      </c>
      <c r="CJ80" s="54">
        <v>0</v>
      </c>
      <c r="CK80" s="54">
        <v>0</v>
      </c>
      <c r="CL80" s="54">
        <v>3.2</v>
      </c>
    </row>
    <row r="81" spans="1:90" x14ac:dyDescent="0.35">
      <c r="B81" s="9" t="s">
        <v>289</v>
      </c>
      <c r="C81" s="6">
        <v>146</v>
      </c>
      <c r="D81" s="6">
        <v>609</v>
      </c>
      <c r="E81" s="6">
        <v>8.8000000000000007</v>
      </c>
      <c r="F81" s="6">
        <v>8.8000000000000007</v>
      </c>
      <c r="G81" s="6">
        <v>0</v>
      </c>
      <c r="H81" s="6">
        <v>10.9</v>
      </c>
      <c r="I81" s="6">
        <v>10.9</v>
      </c>
      <c r="J81" s="6">
        <v>0</v>
      </c>
      <c r="K81" s="6">
        <v>50</v>
      </c>
      <c r="L81" s="6">
        <v>3.5</v>
      </c>
      <c r="M81" s="6">
        <v>0</v>
      </c>
      <c r="N81" s="6">
        <v>3.5</v>
      </c>
      <c r="O81" s="6">
        <v>0</v>
      </c>
      <c r="P81" s="6">
        <v>0</v>
      </c>
      <c r="Q81" s="6">
        <v>75.7</v>
      </c>
      <c r="R81" s="6">
        <v>0.4</v>
      </c>
      <c r="S81" s="6">
        <v>295</v>
      </c>
      <c r="T81" s="6">
        <v>78</v>
      </c>
      <c r="U81" s="6">
        <v>119</v>
      </c>
      <c r="V81" s="6">
        <v>237</v>
      </c>
      <c r="W81" s="6">
        <v>0.5</v>
      </c>
      <c r="X81" s="6">
        <v>17</v>
      </c>
      <c r="Y81" s="6">
        <v>0.02</v>
      </c>
      <c r="Z81" s="6">
        <v>3.9</v>
      </c>
      <c r="AA81" s="6">
        <v>100</v>
      </c>
      <c r="AB81" s="6">
        <v>15</v>
      </c>
      <c r="AC81" s="51">
        <v>5.0000000000000001E-3</v>
      </c>
      <c r="AD81" s="6">
        <v>30</v>
      </c>
      <c r="AE81" s="6">
        <v>0.02</v>
      </c>
      <c r="AF81" s="6">
        <v>0.19</v>
      </c>
      <c r="AG81" s="6">
        <v>0</v>
      </c>
      <c r="AH81" s="6">
        <v>0.09</v>
      </c>
      <c r="AI81" s="6">
        <v>0.03</v>
      </c>
      <c r="AJ81" s="6">
        <v>12</v>
      </c>
      <c r="AK81" s="6">
        <v>0.21</v>
      </c>
      <c r="AL81" s="6">
        <v>1.9</v>
      </c>
      <c r="AM81" s="6">
        <v>0.3</v>
      </c>
      <c r="AN81" s="6">
        <v>200</v>
      </c>
      <c r="AO81" s="6">
        <v>185</v>
      </c>
      <c r="AP81" s="6">
        <v>92</v>
      </c>
      <c r="AQ81" s="6">
        <v>0.21</v>
      </c>
      <c r="AR81" s="6">
        <v>0.03</v>
      </c>
      <c r="AS81" s="6">
        <v>1.1000000000000001</v>
      </c>
      <c r="AT81" s="6">
        <v>6.82</v>
      </c>
      <c r="AU81" s="6">
        <v>0.23</v>
      </c>
      <c r="AV81" s="6">
        <v>0.39</v>
      </c>
      <c r="AW81" s="6">
        <v>1.33</v>
      </c>
      <c r="AX81" s="6">
        <v>3.49</v>
      </c>
      <c r="AY81" s="6">
        <v>1.06</v>
      </c>
      <c r="AZ81" s="6">
        <v>0</v>
      </c>
      <c r="BA81" s="6">
        <v>0</v>
      </c>
      <c r="BB81" s="6">
        <v>2.76</v>
      </c>
      <c r="BC81" s="6">
        <v>0.11</v>
      </c>
      <c r="BD81" s="6">
        <v>0.19</v>
      </c>
      <c r="BE81" s="6">
        <v>2.37</v>
      </c>
      <c r="BF81" s="6">
        <v>0</v>
      </c>
      <c r="BG81" s="6">
        <v>0</v>
      </c>
      <c r="BH81" s="6">
        <v>0.39</v>
      </c>
      <c r="BI81" s="6">
        <v>0.25</v>
      </c>
      <c r="BJ81" s="6">
        <v>0.14000000000000001</v>
      </c>
      <c r="BK81" s="6">
        <v>0</v>
      </c>
      <c r="BL81" s="6">
        <v>0</v>
      </c>
      <c r="BM81" s="6">
        <v>0</v>
      </c>
      <c r="BN81" s="6">
        <v>0</v>
      </c>
      <c r="BO81" s="7">
        <v>88</v>
      </c>
      <c r="BP81" s="7">
        <v>410</v>
      </c>
      <c r="BQ81" s="7">
        <v>466</v>
      </c>
      <c r="BR81" s="7">
        <v>997</v>
      </c>
      <c r="BS81" s="7">
        <v>794</v>
      </c>
      <c r="BT81" s="7">
        <v>203</v>
      </c>
      <c r="BU81" s="7">
        <v>182</v>
      </c>
      <c r="BV81" s="7">
        <v>353</v>
      </c>
      <c r="BW81" s="7">
        <v>331</v>
      </c>
      <c r="BX81" s="7">
        <v>532</v>
      </c>
      <c r="BY81" s="7">
        <v>278</v>
      </c>
      <c r="BZ81" s="7">
        <v>185</v>
      </c>
      <c r="CA81" s="7">
        <v>430</v>
      </c>
      <c r="CB81" s="7">
        <v>840</v>
      </c>
      <c r="CC81" s="7">
        <v>1631</v>
      </c>
      <c r="CD81" s="7">
        <v>181</v>
      </c>
      <c r="CE81" s="7">
        <v>539</v>
      </c>
      <c r="CF81" s="7">
        <v>416</v>
      </c>
      <c r="CG81" s="6">
        <v>0</v>
      </c>
      <c r="CH81" s="6">
        <v>0</v>
      </c>
      <c r="CI81" s="6">
        <v>0</v>
      </c>
      <c r="CJ81" s="6">
        <v>0</v>
      </c>
      <c r="CK81" s="6">
        <v>0</v>
      </c>
      <c r="CL81" s="6">
        <v>3.5</v>
      </c>
    </row>
    <row r="82" spans="1:90" x14ac:dyDescent="0.35">
      <c r="B82" s="9" t="s">
        <v>311</v>
      </c>
      <c r="C82" s="6">
        <v>157</v>
      </c>
      <c r="D82" s="6">
        <v>654</v>
      </c>
      <c r="E82" s="6">
        <v>9.5</v>
      </c>
      <c r="F82" s="6">
        <v>9.5</v>
      </c>
      <c r="G82" s="6">
        <v>0</v>
      </c>
      <c r="H82" s="6">
        <v>11.5</v>
      </c>
      <c r="I82" s="6">
        <v>11.5</v>
      </c>
      <c r="J82" s="6">
        <v>0</v>
      </c>
      <c r="K82" s="6">
        <v>56</v>
      </c>
      <c r="L82" s="6">
        <v>4.2</v>
      </c>
      <c r="M82" s="6">
        <v>0</v>
      </c>
      <c r="N82" s="6">
        <v>4.2</v>
      </c>
      <c r="O82" s="6">
        <v>0</v>
      </c>
      <c r="P82" s="6">
        <v>0</v>
      </c>
      <c r="Q82" s="6">
        <v>74.099999999999994</v>
      </c>
      <c r="R82" s="6">
        <v>0.3</v>
      </c>
      <c r="S82" s="6">
        <v>166</v>
      </c>
      <c r="T82" s="6">
        <v>85</v>
      </c>
      <c r="U82" s="6">
        <v>98</v>
      </c>
      <c r="V82" s="6">
        <v>153</v>
      </c>
      <c r="W82" s="6">
        <v>0.2</v>
      </c>
      <c r="X82" s="6">
        <v>15</v>
      </c>
      <c r="Y82" s="6">
        <v>0.05</v>
      </c>
      <c r="Z82" s="6">
        <v>3.9</v>
      </c>
      <c r="AA82" s="6">
        <v>82</v>
      </c>
      <c r="AB82" s="6">
        <v>4</v>
      </c>
      <c r="AC82" s="51">
        <v>5.0000000000000001E-3</v>
      </c>
      <c r="AD82" s="6">
        <v>110</v>
      </c>
      <c r="AE82" s="6">
        <v>0.03</v>
      </c>
      <c r="AF82" s="6">
        <v>0.19</v>
      </c>
      <c r="AG82" s="6">
        <v>0</v>
      </c>
      <c r="AH82" s="6">
        <v>0.09</v>
      </c>
      <c r="AI82" s="6">
        <v>0.03</v>
      </c>
      <c r="AJ82" s="6">
        <v>12</v>
      </c>
      <c r="AK82" s="6">
        <v>0.21</v>
      </c>
      <c r="AL82" s="6">
        <v>2.5</v>
      </c>
      <c r="AM82" s="6">
        <v>0.3</v>
      </c>
      <c r="AN82" s="6">
        <v>200</v>
      </c>
      <c r="AO82" s="6">
        <v>185</v>
      </c>
      <c r="AP82" s="6">
        <v>92</v>
      </c>
      <c r="AQ82" s="6">
        <v>0.21</v>
      </c>
      <c r="AR82" s="6">
        <v>0.18</v>
      </c>
      <c r="AS82" s="6">
        <v>1.1000000000000001</v>
      </c>
      <c r="AT82" s="6">
        <v>7.36</v>
      </c>
      <c r="AU82" s="6">
        <v>1.26</v>
      </c>
      <c r="AV82" s="6">
        <v>0.66</v>
      </c>
      <c r="AW82" s="6">
        <v>1.46</v>
      </c>
      <c r="AX82" s="6">
        <v>2.85</v>
      </c>
      <c r="AY82" s="6">
        <v>0.78</v>
      </c>
      <c r="AZ82" s="6">
        <v>0</v>
      </c>
      <c r="BA82" s="6">
        <v>0</v>
      </c>
      <c r="BB82" s="6">
        <v>2.5</v>
      </c>
      <c r="BC82" s="6">
        <v>0.04</v>
      </c>
      <c r="BD82" s="6">
        <v>0.16</v>
      </c>
      <c r="BE82" s="6">
        <v>2.19</v>
      </c>
      <c r="BF82" s="6">
        <v>0</v>
      </c>
      <c r="BG82" s="6">
        <v>0</v>
      </c>
      <c r="BH82" s="6">
        <v>0.68</v>
      </c>
      <c r="BI82" s="6">
        <v>0.32</v>
      </c>
      <c r="BJ82" s="6">
        <v>0.35</v>
      </c>
      <c r="BK82" s="6">
        <v>0</v>
      </c>
      <c r="BL82" s="6">
        <v>0</v>
      </c>
      <c r="BM82" s="6">
        <v>0</v>
      </c>
      <c r="BN82" s="6">
        <v>0.01</v>
      </c>
      <c r="BO82" s="7">
        <v>96</v>
      </c>
      <c r="BP82" s="7">
        <v>450</v>
      </c>
      <c r="BQ82" s="7">
        <v>484</v>
      </c>
      <c r="BR82" s="7">
        <v>1021</v>
      </c>
      <c r="BS82" s="7">
        <v>814</v>
      </c>
      <c r="BT82" s="7">
        <v>202</v>
      </c>
      <c r="BU82" s="7">
        <v>198</v>
      </c>
      <c r="BV82" s="7">
        <v>373</v>
      </c>
      <c r="BW82" s="7">
        <v>373</v>
      </c>
      <c r="BX82" s="7">
        <v>575</v>
      </c>
      <c r="BY82" s="7">
        <v>293</v>
      </c>
      <c r="BZ82" s="7">
        <v>192</v>
      </c>
      <c r="CA82" s="7">
        <v>514</v>
      </c>
      <c r="CB82" s="7">
        <v>904</v>
      </c>
      <c r="CC82" s="7">
        <v>1704</v>
      </c>
      <c r="CD82" s="7">
        <v>182</v>
      </c>
      <c r="CE82" s="7">
        <v>602</v>
      </c>
      <c r="CF82" s="7">
        <v>428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4.2</v>
      </c>
    </row>
    <row r="83" spans="1:90" x14ac:dyDescent="0.35">
      <c r="B83" s="9" t="s">
        <v>287</v>
      </c>
      <c r="C83" s="54">
        <v>338</v>
      </c>
      <c r="D83" s="54">
        <v>1402</v>
      </c>
      <c r="E83" s="54">
        <v>20</v>
      </c>
      <c r="F83" s="54">
        <v>20</v>
      </c>
      <c r="G83" s="54">
        <v>0</v>
      </c>
      <c r="H83" s="54">
        <v>27.7</v>
      </c>
      <c r="I83" s="54">
        <v>27.7</v>
      </c>
      <c r="J83" s="54">
        <v>0</v>
      </c>
      <c r="K83" s="54">
        <v>90</v>
      </c>
      <c r="L83" s="54">
        <v>2.2999999999999998</v>
      </c>
      <c r="M83" s="54">
        <v>0</v>
      </c>
      <c r="N83" s="54">
        <v>2.2999999999999998</v>
      </c>
      <c r="O83" s="54">
        <v>0</v>
      </c>
      <c r="P83" s="54">
        <v>0</v>
      </c>
      <c r="Q83" s="54">
        <v>46</v>
      </c>
      <c r="R83" s="54">
        <v>0.7</v>
      </c>
      <c r="S83" s="54">
        <v>704</v>
      </c>
      <c r="T83" s="54">
        <v>1110</v>
      </c>
      <c r="U83" s="54">
        <v>96</v>
      </c>
      <c r="V83" s="54">
        <v>374</v>
      </c>
      <c r="W83" s="54">
        <v>4.0999999999999996</v>
      </c>
      <c r="X83" s="54">
        <v>20</v>
      </c>
      <c r="Y83" s="54">
        <v>0.42</v>
      </c>
      <c r="Z83" s="54">
        <v>6</v>
      </c>
      <c r="AA83" s="54">
        <v>820</v>
      </c>
      <c r="AB83" s="54">
        <v>29</v>
      </c>
      <c r="AC83" s="51">
        <v>5.0000000000000001E-3</v>
      </c>
      <c r="AD83" s="54">
        <v>110</v>
      </c>
      <c r="AE83" s="54">
        <v>0.05</v>
      </c>
      <c r="AF83" s="54">
        <v>0.24</v>
      </c>
      <c r="AG83" s="54">
        <v>0</v>
      </c>
      <c r="AH83" s="54">
        <v>0.8</v>
      </c>
      <c r="AI83" s="54">
        <v>0.08</v>
      </c>
      <c r="AJ83" s="54">
        <v>19</v>
      </c>
      <c r="AK83" s="54">
        <v>0.51</v>
      </c>
      <c r="AL83" s="54">
        <v>3.6</v>
      </c>
      <c r="AM83" s="54">
        <v>0.6</v>
      </c>
      <c r="AN83" s="54">
        <v>293</v>
      </c>
      <c r="AO83" s="54">
        <v>275</v>
      </c>
      <c r="AP83" s="54">
        <v>105</v>
      </c>
      <c r="AQ83" s="54">
        <v>0.45</v>
      </c>
      <c r="AR83" s="54">
        <v>0.17</v>
      </c>
      <c r="AS83" s="55">
        <v>2.2999999999999998</v>
      </c>
      <c r="AT83" s="54">
        <v>16.234999999999999</v>
      </c>
      <c r="AU83" s="54">
        <v>2.4620000000000002</v>
      </c>
      <c r="AV83" s="54">
        <v>0.84599999999999997</v>
      </c>
      <c r="AW83" s="54">
        <v>2.847</v>
      </c>
      <c r="AX83" s="54">
        <v>7.0789999999999997</v>
      </c>
      <c r="AY83" s="54">
        <v>3.0009999999999999</v>
      </c>
      <c r="AZ83" s="54">
        <v>0</v>
      </c>
      <c r="BA83" s="54">
        <v>0</v>
      </c>
      <c r="BB83" s="54">
        <v>8.4640000000000004</v>
      </c>
      <c r="BC83" s="54">
        <v>0.53900000000000003</v>
      </c>
      <c r="BD83" s="54">
        <v>0.76900000000000002</v>
      </c>
      <c r="BE83" s="54">
        <v>7.1559999999999997</v>
      </c>
      <c r="BF83" s="54">
        <v>0</v>
      </c>
      <c r="BG83" s="54">
        <v>0</v>
      </c>
      <c r="BH83" s="54">
        <v>0.92300000000000004</v>
      </c>
      <c r="BI83" s="54">
        <v>0.53900000000000003</v>
      </c>
      <c r="BJ83" s="54">
        <v>0.38500000000000001</v>
      </c>
      <c r="BK83" s="54">
        <v>0</v>
      </c>
      <c r="BL83" s="54">
        <v>0</v>
      </c>
      <c r="BM83" s="54">
        <v>0</v>
      </c>
      <c r="BN83" s="54">
        <v>0</v>
      </c>
      <c r="BO83" s="56">
        <v>258</v>
      </c>
      <c r="BP83" s="56">
        <v>622</v>
      </c>
      <c r="BQ83" s="56">
        <v>740</v>
      </c>
      <c r="BR83" s="56">
        <v>1467</v>
      </c>
      <c r="BS83" s="56">
        <v>1186</v>
      </c>
      <c r="BT83" s="56">
        <v>470</v>
      </c>
      <c r="BU83" s="56">
        <v>117</v>
      </c>
      <c r="BV83" s="56">
        <v>798</v>
      </c>
      <c r="BW83" s="56">
        <v>892</v>
      </c>
      <c r="BX83" s="56">
        <v>963</v>
      </c>
      <c r="BY83" s="56">
        <v>528</v>
      </c>
      <c r="BZ83" s="56">
        <v>423</v>
      </c>
      <c r="CA83" s="56">
        <v>505</v>
      </c>
      <c r="CB83" s="56">
        <v>1197</v>
      </c>
      <c r="CC83" s="56">
        <v>3087</v>
      </c>
      <c r="CD83" s="56">
        <v>293</v>
      </c>
      <c r="CE83" s="56">
        <v>1737</v>
      </c>
      <c r="CF83" s="56">
        <v>904</v>
      </c>
      <c r="CG83" s="54">
        <v>0</v>
      </c>
      <c r="CH83" s="54">
        <v>0</v>
      </c>
      <c r="CI83" s="54">
        <v>0</v>
      </c>
      <c r="CJ83" s="54">
        <v>0</v>
      </c>
      <c r="CK83" s="54">
        <v>0</v>
      </c>
      <c r="CL83" s="54">
        <v>2.2999999999999998</v>
      </c>
    </row>
    <row r="84" spans="1:90" x14ac:dyDescent="0.35">
      <c r="B84" s="9" t="s">
        <v>317</v>
      </c>
      <c r="C84" s="54">
        <v>375</v>
      </c>
      <c r="D84" s="54">
        <v>1552</v>
      </c>
      <c r="E84" s="54">
        <v>19.7</v>
      </c>
      <c r="F84" s="54">
        <v>19.7</v>
      </c>
      <c r="G84" s="54">
        <v>0</v>
      </c>
      <c r="H84" s="54">
        <v>32.9</v>
      </c>
      <c r="I84" s="54">
        <v>32.9</v>
      </c>
      <c r="J84" s="54">
        <v>0</v>
      </c>
      <c r="K84" s="54">
        <v>90</v>
      </c>
      <c r="L84" s="51">
        <v>0.05</v>
      </c>
      <c r="M84" s="54">
        <v>0</v>
      </c>
      <c r="N84" s="51">
        <v>0.05</v>
      </c>
      <c r="O84" s="54">
        <v>0</v>
      </c>
      <c r="P84" s="54">
        <v>0</v>
      </c>
      <c r="Q84" s="54">
        <v>41.3</v>
      </c>
      <c r="R84" s="54">
        <v>0.4</v>
      </c>
      <c r="S84" s="54">
        <v>530</v>
      </c>
      <c r="T84" s="54">
        <v>1670</v>
      </c>
      <c r="U84" s="54">
        <v>91</v>
      </c>
      <c r="V84" s="54">
        <v>400</v>
      </c>
      <c r="W84" s="54">
        <v>1.6</v>
      </c>
      <c r="X84" s="54">
        <v>33</v>
      </c>
      <c r="Y84" s="54">
        <v>0.09</v>
      </c>
      <c r="Z84" s="54">
        <v>3</v>
      </c>
      <c r="AA84" s="54">
        <v>2670</v>
      </c>
      <c r="AB84" s="54">
        <v>46</v>
      </c>
      <c r="AC84" s="51">
        <v>5.0000000000000001E-3</v>
      </c>
      <c r="AD84" s="54">
        <v>230</v>
      </c>
      <c r="AE84" s="54">
        <v>0.04</v>
      </c>
      <c r="AF84" s="54">
        <v>0.65</v>
      </c>
      <c r="AG84" s="51">
        <v>0.5</v>
      </c>
      <c r="AH84" s="54">
        <v>0.6</v>
      </c>
      <c r="AI84" s="54">
        <v>0.09</v>
      </c>
      <c r="AJ84" s="54">
        <v>45</v>
      </c>
      <c r="AK84" s="54">
        <v>0.5</v>
      </c>
      <c r="AL84" s="54">
        <v>2.2999999999999998</v>
      </c>
      <c r="AM84" s="54">
        <v>0.4</v>
      </c>
      <c r="AN84" s="54">
        <v>297</v>
      </c>
      <c r="AO84" s="54">
        <v>295</v>
      </c>
      <c r="AP84" s="54">
        <v>10</v>
      </c>
      <c r="AQ84" s="54">
        <v>0.55000000000000004</v>
      </c>
      <c r="AR84" s="54">
        <v>0.18</v>
      </c>
      <c r="AS84" s="55">
        <v>2.4</v>
      </c>
      <c r="AT84" s="54">
        <v>20.684000000000001</v>
      </c>
      <c r="AU84" s="54">
        <v>4.6970000000000001</v>
      </c>
      <c r="AV84" s="54">
        <v>1.391</v>
      </c>
      <c r="AW84" s="54">
        <v>3.49</v>
      </c>
      <c r="AX84" s="54">
        <v>7.0549999999999997</v>
      </c>
      <c r="AY84" s="54">
        <v>3.3730000000000002</v>
      </c>
      <c r="AZ84" s="62">
        <v>0</v>
      </c>
      <c r="BA84" s="62">
        <v>0</v>
      </c>
      <c r="BB84" s="54">
        <v>9.0990000000000002</v>
      </c>
      <c r="BC84" s="63">
        <v>0.309</v>
      </c>
      <c r="BD84" s="54">
        <v>0.78400000000000003</v>
      </c>
      <c r="BE84" s="54">
        <v>8.0060000000000002</v>
      </c>
      <c r="BF84" s="62">
        <v>0</v>
      </c>
      <c r="BG84" s="62">
        <v>0</v>
      </c>
      <c r="BH84" s="54">
        <v>1.417</v>
      </c>
      <c r="BI84" s="54">
        <v>0.66100000000000003</v>
      </c>
      <c r="BJ84" s="54">
        <v>0.75600000000000001</v>
      </c>
      <c r="BK84" s="54">
        <v>0</v>
      </c>
      <c r="BL84" s="62">
        <v>0</v>
      </c>
      <c r="BM84" s="62">
        <v>0</v>
      </c>
      <c r="BN84" s="54">
        <v>0</v>
      </c>
      <c r="BO84" s="56">
        <v>277</v>
      </c>
      <c r="BP84" s="56">
        <v>883</v>
      </c>
      <c r="BQ84" s="56">
        <v>1113</v>
      </c>
      <c r="BR84" s="56">
        <v>1933</v>
      </c>
      <c r="BS84" s="56">
        <v>1690</v>
      </c>
      <c r="BT84" s="56">
        <v>510</v>
      </c>
      <c r="BU84" s="56">
        <v>115</v>
      </c>
      <c r="BV84" s="56">
        <v>936</v>
      </c>
      <c r="BW84" s="56">
        <v>926</v>
      </c>
      <c r="BX84" s="56">
        <v>1476</v>
      </c>
      <c r="BY84" s="56">
        <v>652</v>
      </c>
      <c r="BZ84" s="56">
        <v>551</v>
      </c>
      <c r="CA84" s="56">
        <v>886</v>
      </c>
      <c r="CB84" s="56">
        <v>1080</v>
      </c>
      <c r="CC84" s="56">
        <v>3356</v>
      </c>
      <c r="CD84" s="56">
        <v>135</v>
      </c>
      <c r="CE84" s="56">
        <v>1911</v>
      </c>
      <c r="CF84" s="56">
        <v>1621</v>
      </c>
      <c r="CG84" s="54">
        <v>0</v>
      </c>
      <c r="CH84" s="54">
        <v>0</v>
      </c>
      <c r="CI84" s="54">
        <v>0</v>
      </c>
      <c r="CJ84" s="54">
        <v>0</v>
      </c>
      <c r="CK84" s="54">
        <v>0</v>
      </c>
      <c r="CL84" s="51">
        <v>0.05</v>
      </c>
    </row>
    <row r="85" spans="1:90" x14ac:dyDescent="0.35">
      <c r="B85" s="9" t="s">
        <v>218</v>
      </c>
      <c r="C85" s="54">
        <v>334</v>
      </c>
      <c r="D85" s="54">
        <v>1388</v>
      </c>
      <c r="E85" s="54">
        <v>25</v>
      </c>
      <c r="F85" s="54">
        <v>25</v>
      </c>
      <c r="G85" s="54">
        <v>0</v>
      </c>
      <c r="H85" s="54">
        <v>25.6</v>
      </c>
      <c r="I85" s="54">
        <v>25.6</v>
      </c>
      <c r="J85" s="54">
        <v>0</v>
      </c>
      <c r="K85" s="54">
        <v>101</v>
      </c>
      <c r="L85" s="54">
        <v>1</v>
      </c>
      <c r="M85" s="54">
        <v>0</v>
      </c>
      <c r="N85" s="54">
        <v>1</v>
      </c>
      <c r="O85" s="54">
        <v>0</v>
      </c>
      <c r="P85" s="54">
        <v>0</v>
      </c>
      <c r="Q85" s="54">
        <v>44.9</v>
      </c>
      <c r="R85" s="54">
        <v>0.3</v>
      </c>
      <c r="S85" s="54">
        <v>512</v>
      </c>
      <c r="T85" s="54">
        <v>699</v>
      </c>
      <c r="U85" s="54">
        <v>108</v>
      </c>
      <c r="V85" s="54">
        <v>299</v>
      </c>
      <c r="W85" s="54">
        <v>3.4</v>
      </c>
      <c r="X85" s="54">
        <v>10</v>
      </c>
      <c r="Y85" s="54">
        <v>0.23</v>
      </c>
      <c r="Z85" s="54">
        <v>3</v>
      </c>
      <c r="AA85" s="54">
        <v>990</v>
      </c>
      <c r="AB85" s="54">
        <v>4</v>
      </c>
      <c r="AC85" s="51">
        <v>5.0000000000000001E-3</v>
      </c>
      <c r="AD85" s="54">
        <v>110</v>
      </c>
      <c r="AE85" s="54">
        <v>0.02</v>
      </c>
      <c r="AF85" s="54">
        <v>0.32</v>
      </c>
      <c r="AG85" s="51">
        <v>0.5</v>
      </c>
      <c r="AH85" s="54">
        <v>0.6</v>
      </c>
      <c r="AI85" s="54">
        <v>0.09</v>
      </c>
      <c r="AJ85" s="54">
        <v>19</v>
      </c>
      <c r="AK85" s="54">
        <v>0.25</v>
      </c>
      <c r="AL85" s="54">
        <v>2.21</v>
      </c>
      <c r="AM85" s="54">
        <v>2.1</v>
      </c>
      <c r="AN85" s="54">
        <v>363</v>
      </c>
      <c r="AO85" s="54">
        <v>335</v>
      </c>
      <c r="AP85" s="54">
        <v>167</v>
      </c>
      <c r="AQ85" s="54">
        <v>0.48</v>
      </c>
      <c r="AR85" s="54">
        <v>0.16</v>
      </c>
      <c r="AS85" s="52">
        <v>2.2000000000000002</v>
      </c>
      <c r="AT85" s="54">
        <v>15.004</v>
      </c>
      <c r="AU85" s="54">
        <v>2.2759999999999998</v>
      </c>
      <c r="AV85" s="54">
        <v>0.78200000000000003</v>
      </c>
      <c r="AW85" s="54">
        <v>2.6309999999999998</v>
      </c>
      <c r="AX85" s="54">
        <v>6.5419999999999998</v>
      </c>
      <c r="AY85" s="54">
        <v>2.7730000000000001</v>
      </c>
      <c r="AZ85" s="54">
        <v>0</v>
      </c>
      <c r="BA85" s="54">
        <v>0</v>
      </c>
      <c r="BB85" s="54">
        <v>7.8220000000000001</v>
      </c>
      <c r="BC85" s="54">
        <v>0.498</v>
      </c>
      <c r="BD85" s="54">
        <v>0.71099999999999997</v>
      </c>
      <c r="BE85" s="54">
        <v>6.6130000000000004</v>
      </c>
      <c r="BF85" s="54">
        <v>0</v>
      </c>
      <c r="BG85" s="54">
        <v>0</v>
      </c>
      <c r="BH85" s="54">
        <v>0.85299999999999998</v>
      </c>
      <c r="BI85" s="54">
        <v>0.498</v>
      </c>
      <c r="BJ85" s="54">
        <v>0.35599999999999998</v>
      </c>
      <c r="BK85" s="54">
        <v>0</v>
      </c>
      <c r="BL85" s="54">
        <v>0</v>
      </c>
      <c r="BM85" s="54">
        <v>0</v>
      </c>
      <c r="BN85" s="54">
        <v>0</v>
      </c>
      <c r="BO85" s="56">
        <v>241</v>
      </c>
      <c r="BP85" s="56">
        <v>722</v>
      </c>
      <c r="BQ85" s="56">
        <v>642</v>
      </c>
      <c r="BR85" s="56">
        <v>1872</v>
      </c>
      <c r="BS85" s="56">
        <v>1604</v>
      </c>
      <c r="BT85" s="56">
        <v>762</v>
      </c>
      <c r="BU85" s="56">
        <v>187</v>
      </c>
      <c r="BV85" s="56">
        <v>1096</v>
      </c>
      <c r="BW85" s="56">
        <v>1176</v>
      </c>
      <c r="BX85" s="56">
        <v>842</v>
      </c>
      <c r="BY85" s="56">
        <v>735</v>
      </c>
      <c r="BZ85" s="56">
        <v>615</v>
      </c>
      <c r="CA85" s="56">
        <v>709</v>
      </c>
      <c r="CB85" s="56">
        <v>1537</v>
      </c>
      <c r="CC85" s="56">
        <v>4011</v>
      </c>
      <c r="CD85" s="56">
        <v>441</v>
      </c>
      <c r="CE85" s="56">
        <v>2206</v>
      </c>
      <c r="CF85" s="56">
        <v>1203</v>
      </c>
      <c r="CG85" s="54">
        <v>0</v>
      </c>
      <c r="CH85" s="54">
        <v>0</v>
      </c>
      <c r="CI85" s="54">
        <v>0</v>
      </c>
      <c r="CJ85" s="54">
        <v>0</v>
      </c>
      <c r="CK85" s="54">
        <v>0</v>
      </c>
      <c r="CL85" s="54">
        <v>1</v>
      </c>
    </row>
    <row r="86" spans="1:90" x14ac:dyDescent="0.35">
      <c r="B86" s="9" t="s">
        <v>321</v>
      </c>
      <c r="C86" s="54">
        <v>334</v>
      </c>
      <c r="D86" s="54">
        <v>1388</v>
      </c>
      <c r="E86" s="54">
        <v>25</v>
      </c>
      <c r="F86" s="54">
        <v>25</v>
      </c>
      <c r="G86" s="54">
        <v>0</v>
      </c>
      <c r="H86" s="54">
        <v>25.6</v>
      </c>
      <c r="I86" s="54">
        <v>25.6</v>
      </c>
      <c r="J86" s="54">
        <v>0</v>
      </c>
      <c r="K86" s="54">
        <v>101</v>
      </c>
      <c r="L86" s="54">
        <v>1</v>
      </c>
      <c r="M86" s="54">
        <v>0</v>
      </c>
      <c r="N86" s="54">
        <v>1</v>
      </c>
      <c r="O86" s="54">
        <v>0</v>
      </c>
      <c r="P86" s="54">
        <v>0</v>
      </c>
      <c r="Q86" s="54">
        <v>44.9</v>
      </c>
      <c r="R86" s="54">
        <v>0.3</v>
      </c>
      <c r="S86" s="54">
        <v>512</v>
      </c>
      <c r="T86" s="54">
        <v>699</v>
      </c>
      <c r="U86" s="54">
        <v>108</v>
      </c>
      <c r="V86" s="54">
        <v>299</v>
      </c>
      <c r="W86" s="54">
        <v>3.4</v>
      </c>
      <c r="X86" s="54">
        <v>10</v>
      </c>
      <c r="Y86" s="54">
        <v>0.23</v>
      </c>
      <c r="Z86" s="54">
        <v>3</v>
      </c>
      <c r="AA86" s="54">
        <v>990</v>
      </c>
      <c r="AB86" s="54">
        <v>4</v>
      </c>
      <c r="AC86" s="54">
        <v>0</v>
      </c>
      <c r="AD86" s="54">
        <v>110</v>
      </c>
      <c r="AE86" s="54">
        <v>0.02</v>
      </c>
      <c r="AF86" s="54">
        <v>0.32</v>
      </c>
      <c r="AG86" s="54">
        <v>0</v>
      </c>
      <c r="AH86" s="54">
        <v>0.6</v>
      </c>
      <c r="AI86" s="54">
        <v>0.09</v>
      </c>
      <c r="AJ86" s="54">
        <v>19</v>
      </c>
      <c r="AK86" s="54">
        <v>0.25</v>
      </c>
      <c r="AL86" s="54">
        <v>2.21</v>
      </c>
      <c r="AM86" s="54">
        <v>2.1</v>
      </c>
      <c r="AN86" s="54">
        <v>363</v>
      </c>
      <c r="AO86" s="54">
        <v>335</v>
      </c>
      <c r="AP86" s="54">
        <v>167</v>
      </c>
      <c r="AQ86" s="54">
        <v>0.48</v>
      </c>
      <c r="AR86" s="54">
        <v>0.16</v>
      </c>
      <c r="AS86" s="52">
        <v>2.2000000000000002</v>
      </c>
      <c r="AT86" s="54">
        <v>15.004</v>
      </c>
      <c r="AU86" s="54">
        <v>2.2759999999999998</v>
      </c>
      <c r="AV86" s="54">
        <v>0.78200000000000003</v>
      </c>
      <c r="AW86" s="54">
        <v>2.6309999999999998</v>
      </c>
      <c r="AX86" s="54">
        <v>6.5419999999999998</v>
      </c>
      <c r="AY86" s="54">
        <v>2.7730000000000001</v>
      </c>
      <c r="AZ86" s="54">
        <v>0</v>
      </c>
      <c r="BA86" s="54">
        <v>0</v>
      </c>
      <c r="BB86" s="54">
        <v>7.8220000000000001</v>
      </c>
      <c r="BC86" s="54">
        <v>0.498</v>
      </c>
      <c r="BD86" s="54">
        <v>0.71099999999999997</v>
      </c>
      <c r="BE86" s="54">
        <v>6.6130000000000004</v>
      </c>
      <c r="BF86" s="54">
        <v>0</v>
      </c>
      <c r="BG86" s="54">
        <v>0</v>
      </c>
      <c r="BH86" s="54">
        <v>0.85299999999999998</v>
      </c>
      <c r="BI86" s="54">
        <v>0.498</v>
      </c>
      <c r="BJ86" s="54">
        <v>0.35599999999999998</v>
      </c>
      <c r="BK86" s="54">
        <v>0</v>
      </c>
      <c r="BL86" s="54">
        <v>0</v>
      </c>
      <c r="BM86" s="54">
        <v>0</v>
      </c>
      <c r="BN86" s="54">
        <v>0</v>
      </c>
      <c r="BO86" s="56">
        <v>241</v>
      </c>
      <c r="BP86" s="56">
        <v>722</v>
      </c>
      <c r="BQ86" s="56">
        <v>642</v>
      </c>
      <c r="BR86" s="56">
        <v>1872</v>
      </c>
      <c r="BS86" s="56">
        <v>1604</v>
      </c>
      <c r="BT86" s="56">
        <v>762</v>
      </c>
      <c r="BU86" s="56">
        <v>187</v>
      </c>
      <c r="BV86" s="56">
        <v>1096</v>
      </c>
      <c r="BW86" s="56">
        <v>1176</v>
      </c>
      <c r="BX86" s="56">
        <v>842</v>
      </c>
      <c r="BY86" s="56">
        <v>735</v>
      </c>
      <c r="BZ86" s="56">
        <v>615</v>
      </c>
      <c r="CA86" s="56">
        <v>709</v>
      </c>
      <c r="CB86" s="56">
        <v>1537</v>
      </c>
      <c r="CC86" s="56">
        <v>4011</v>
      </c>
      <c r="CD86" s="56">
        <v>441</v>
      </c>
      <c r="CE86" s="56">
        <v>2206</v>
      </c>
      <c r="CF86" s="56">
        <v>1203</v>
      </c>
      <c r="CG86" s="54">
        <v>0</v>
      </c>
      <c r="CH86" s="54">
        <v>0</v>
      </c>
      <c r="CI86" s="54">
        <v>0</v>
      </c>
      <c r="CJ86" s="54">
        <v>0</v>
      </c>
      <c r="CK86" s="54">
        <v>0</v>
      </c>
      <c r="CL86" s="54">
        <v>1</v>
      </c>
    </row>
    <row r="87" spans="1:90" x14ac:dyDescent="0.35">
      <c r="B87" s="9" t="s">
        <v>291</v>
      </c>
      <c r="C87" s="54">
        <v>374</v>
      </c>
      <c r="D87" s="54">
        <v>1551</v>
      </c>
      <c r="E87" s="54">
        <v>25.4</v>
      </c>
      <c r="F87" s="54">
        <v>25.4</v>
      </c>
      <c r="G87" s="54">
        <v>0</v>
      </c>
      <c r="H87" s="54">
        <v>30.2</v>
      </c>
      <c r="I87" s="54">
        <v>30.2</v>
      </c>
      <c r="J87" s="54">
        <v>0</v>
      </c>
      <c r="K87" s="54">
        <v>90</v>
      </c>
      <c r="L87" s="54">
        <v>0.1</v>
      </c>
      <c r="M87" s="54">
        <v>0</v>
      </c>
      <c r="N87" s="54">
        <v>0.1</v>
      </c>
      <c r="O87" s="54">
        <v>0</v>
      </c>
      <c r="P87" s="54">
        <v>0</v>
      </c>
      <c r="Q87" s="54">
        <v>38.9</v>
      </c>
      <c r="R87" s="54">
        <v>0.6</v>
      </c>
      <c r="S87" s="54">
        <v>604</v>
      </c>
      <c r="T87" s="54">
        <v>630</v>
      </c>
      <c r="U87" s="54">
        <v>111</v>
      </c>
      <c r="V87" s="54">
        <v>480</v>
      </c>
      <c r="W87" s="54">
        <v>2.5</v>
      </c>
      <c r="X87" s="54">
        <v>26</v>
      </c>
      <c r="Y87" s="54">
        <v>0.31</v>
      </c>
      <c r="Z87" s="54">
        <v>11</v>
      </c>
      <c r="AA87" s="54">
        <v>1090</v>
      </c>
      <c r="AB87" s="54">
        <v>46</v>
      </c>
      <c r="AC87" s="51">
        <v>5.0000000000000001E-3</v>
      </c>
      <c r="AD87" s="54">
        <v>230</v>
      </c>
      <c r="AE87" s="54">
        <v>7.0000000000000007E-2</v>
      </c>
      <c r="AF87" s="54">
        <v>0.3</v>
      </c>
      <c r="AG87" s="54">
        <v>0</v>
      </c>
      <c r="AH87" s="54">
        <v>0.3</v>
      </c>
      <c r="AI87" s="54">
        <v>0.1</v>
      </c>
      <c r="AJ87" s="54">
        <v>26</v>
      </c>
      <c r="AK87" s="54">
        <v>0.28999999999999998</v>
      </c>
      <c r="AL87" s="54">
        <v>3</v>
      </c>
      <c r="AM87" s="54">
        <v>1.4</v>
      </c>
      <c r="AN87" s="54">
        <v>248</v>
      </c>
      <c r="AO87" s="54">
        <v>217</v>
      </c>
      <c r="AP87" s="54">
        <v>186</v>
      </c>
      <c r="AQ87" s="54">
        <v>0.46</v>
      </c>
      <c r="AR87" s="54">
        <v>0.26</v>
      </c>
      <c r="AS87" s="55">
        <v>2.2999999999999998</v>
      </c>
      <c r="AT87" s="54">
        <v>14.67</v>
      </c>
      <c r="AU87" s="54">
        <v>0</v>
      </c>
      <c r="AV87" s="54">
        <v>1.1299999999999999</v>
      </c>
      <c r="AW87" s="54">
        <v>2.86</v>
      </c>
      <c r="AX87" s="54">
        <v>7.79</v>
      </c>
      <c r="AY87" s="54">
        <v>2.89</v>
      </c>
      <c r="AZ87" s="54">
        <v>0</v>
      </c>
      <c r="BA87" s="54">
        <v>0</v>
      </c>
      <c r="BB87" s="54">
        <v>8.56</v>
      </c>
      <c r="BC87" s="54">
        <v>0</v>
      </c>
      <c r="BD87" s="54">
        <v>0.67</v>
      </c>
      <c r="BE87" s="54">
        <v>7.89</v>
      </c>
      <c r="BF87" s="54">
        <v>0</v>
      </c>
      <c r="BG87" s="54">
        <v>0</v>
      </c>
      <c r="BH87" s="54">
        <v>0.56999999999999995</v>
      </c>
      <c r="BI87" s="54">
        <v>0.26</v>
      </c>
      <c r="BJ87" s="54">
        <v>0.31</v>
      </c>
      <c r="BK87" s="54">
        <v>0</v>
      </c>
      <c r="BL87" s="54">
        <v>0</v>
      </c>
      <c r="BM87" s="54">
        <v>0</v>
      </c>
      <c r="BN87" s="54">
        <v>0</v>
      </c>
      <c r="BO87" s="56">
        <v>277</v>
      </c>
      <c r="BP87" s="56">
        <v>903</v>
      </c>
      <c r="BQ87" s="56">
        <v>1107</v>
      </c>
      <c r="BR87" s="56">
        <v>2071</v>
      </c>
      <c r="BS87" s="56">
        <v>1745</v>
      </c>
      <c r="BT87" s="56">
        <v>734</v>
      </c>
      <c r="BU87" s="56">
        <v>169</v>
      </c>
      <c r="BV87" s="56">
        <v>1204</v>
      </c>
      <c r="BW87" s="56">
        <v>1288</v>
      </c>
      <c r="BX87" s="56">
        <v>1372</v>
      </c>
      <c r="BY87" s="56">
        <v>855</v>
      </c>
      <c r="BZ87" s="56">
        <v>662</v>
      </c>
      <c r="CA87" s="56">
        <v>710</v>
      </c>
      <c r="CB87" s="56">
        <v>1541</v>
      </c>
      <c r="CC87" s="56">
        <v>4045</v>
      </c>
      <c r="CD87" s="56">
        <v>445</v>
      </c>
      <c r="CE87" s="56">
        <v>2396</v>
      </c>
      <c r="CF87" s="56">
        <v>1228</v>
      </c>
      <c r="CG87" s="54">
        <v>0</v>
      </c>
      <c r="CH87" s="54">
        <v>0</v>
      </c>
      <c r="CI87" s="54">
        <v>0</v>
      </c>
      <c r="CJ87" s="54">
        <v>0</v>
      </c>
      <c r="CK87" s="54">
        <v>0</v>
      </c>
      <c r="CL87" s="54">
        <v>0.1</v>
      </c>
    </row>
    <row r="88" spans="1:90" x14ac:dyDescent="0.35">
      <c r="B88" s="9" t="s">
        <v>324</v>
      </c>
      <c r="C88" s="54">
        <v>179</v>
      </c>
      <c r="D88" s="54">
        <v>742</v>
      </c>
      <c r="E88" s="54">
        <v>9.1999999999999993</v>
      </c>
      <c r="F88" s="54">
        <v>9.1999999999999993</v>
      </c>
      <c r="G88" s="54">
        <v>0</v>
      </c>
      <c r="H88" s="54">
        <v>14.5</v>
      </c>
      <c r="I88" s="54">
        <v>14.5</v>
      </c>
      <c r="J88" s="54">
        <v>0</v>
      </c>
      <c r="K88" s="54">
        <v>42</v>
      </c>
      <c r="L88" s="54">
        <v>3.1</v>
      </c>
      <c r="M88" s="54">
        <v>0</v>
      </c>
      <c r="N88" s="54">
        <v>3.1</v>
      </c>
      <c r="O88" s="54">
        <v>0</v>
      </c>
      <c r="P88" s="54">
        <v>0</v>
      </c>
      <c r="Q88" s="54">
        <v>69.5</v>
      </c>
      <c r="R88" s="54">
        <v>0.1</v>
      </c>
      <c r="S88" s="54">
        <v>110</v>
      </c>
      <c r="T88" s="54">
        <v>330</v>
      </c>
      <c r="U88" s="54">
        <v>150</v>
      </c>
      <c r="V88" s="54">
        <v>130</v>
      </c>
      <c r="W88" s="54">
        <v>0.7</v>
      </c>
      <c r="X88" s="54">
        <v>9</v>
      </c>
      <c r="Y88" s="54">
        <v>0.1</v>
      </c>
      <c r="Z88" s="54">
        <v>3</v>
      </c>
      <c r="AA88" s="54">
        <v>600</v>
      </c>
      <c r="AB88" s="54">
        <v>29</v>
      </c>
      <c r="AC88" s="51">
        <v>5.0000000000000001E-3</v>
      </c>
      <c r="AD88" s="54">
        <v>110</v>
      </c>
      <c r="AE88" s="54">
        <v>0.03</v>
      </c>
      <c r="AF88" s="54">
        <v>0.17</v>
      </c>
      <c r="AG88" s="51">
        <v>0.5</v>
      </c>
      <c r="AH88" s="54">
        <v>0.1</v>
      </c>
      <c r="AI88" s="54">
        <v>0.05</v>
      </c>
      <c r="AJ88" s="54">
        <v>13</v>
      </c>
      <c r="AK88" s="54">
        <v>0.31</v>
      </c>
      <c r="AL88" s="54">
        <v>2</v>
      </c>
      <c r="AM88" s="54">
        <v>0.3</v>
      </c>
      <c r="AN88" s="54">
        <v>224</v>
      </c>
      <c r="AO88" s="54">
        <v>195</v>
      </c>
      <c r="AP88" s="54">
        <v>175</v>
      </c>
      <c r="AQ88" s="54">
        <v>0.78</v>
      </c>
      <c r="AR88" s="54">
        <v>0.11</v>
      </c>
      <c r="AS88" s="55">
        <v>1.6</v>
      </c>
      <c r="AT88" s="54">
        <v>8.4990000000000006</v>
      </c>
      <c r="AU88" s="54">
        <v>1.2889999999999999</v>
      </c>
      <c r="AV88" s="54">
        <v>0.443</v>
      </c>
      <c r="AW88" s="54">
        <v>1.49</v>
      </c>
      <c r="AX88" s="54">
        <v>3.706</v>
      </c>
      <c r="AY88" s="54">
        <v>1.571</v>
      </c>
      <c r="AZ88" s="54">
        <v>0</v>
      </c>
      <c r="BA88" s="54">
        <v>0</v>
      </c>
      <c r="BB88" s="54">
        <v>4.431</v>
      </c>
      <c r="BC88" s="54">
        <v>0.28199999999999997</v>
      </c>
      <c r="BD88" s="54">
        <v>0.40300000000000002</v>
      </c>
      <c r="BE88" s="54">
        <v>3.746</v>
      </c>
      <c r="BF88" s="54">
        <v>0</v>
      </c>
      <c r="BG88" s="54">
        <v>0</v>
      </c>
      <c r="BH88" s="54">
        <v>0.48299999999999998</v>
      </c>
      <c r="BI88" s="54">
        <v>0.28199999999999997</v>
      </c>
      <c r="BJ88" s="54">
        <v>0.20100000000000001</v>
      </c>
      <c r="BK88" s="54">
        <v>0</v>
      </c>
      <c r="BL88" s="54">
        <v>0</v>
      </c>
      <c r="BM88" s="54">
        <v>0</v>
      </c>
      <c r="BN88" s="54">
        <v>0</v>
      </c>
      <c r="BO88" s="56">
        <v>139</v>
      </c>
      <c r="BP88" s="56">
        <v>457</v>
      </c>
      <c r="BQ88" s="56">
        <v>535</v>
      </c>
      <c r="BR88" s="56">
        <v>990</v>
      </c>
      <c r="BS88" s="56">
        <v>758</v>
      </c>
      <c r="BT88" s="56">
        <v>226</v>
      </c>
      <c r="BU88" s="56">
        <v>103</v>
      </c>
      <c r="BV88" s="56">
        <v>491</v>
      </c>
      <c r="BW88" s="56">
        <v>396</v>
      </c>
      <c r="BX88" s="56">
        <v>650</v>
      </c>
      <c r="BY88" s="56">
        <v>293</v>
      </c>
      <c r="BZ88" s="56">
        <v>259</v>
      </c>
      <c r="CA88" s="56">
        <v>332</v>
      </c>
      <c r="CB88" s="56">
        <v>750</v>
      </c>
      <c r="CC88" s="56">
        <v>2149</v>
      </c>
      <c r="CD88" s="56">
        <v>195</v>
      </c>
      <c r="CE88" s="56">
        <v>1034</v>
      </c>
      <c r="CF88" s="56">
        <v>566</v>
      </c>
      <c r="CG88" s="54">
        <v>0</v>
      </c>
      <c r="CH88" s="54">
        <v>0</v>
      </c>
      <c r="CI88" s="54">
        <v>0</v>
      </c>
      <c r="CJ88" s="54">
        <v>0</v>
      </c>
      <c r="CK88" s="54">
        <v>0</v>
      </c>
      <c r="CL88" s="54">
        <v>3.1</v>
      </c>
    </row>
    <row r="89" spans="1:90" x14ac:dyDescent="0.35">
      <c r="B89" s="9" t="s">
        <v>312</v>
      </c>
      <c r="C89" s="54">
        <v>300</v>
      </c>
      <c r="D89" s="54">
        <v>1243</v>
      </c>
      <c r="E89" s="54">
        <v>18.5</v>
      </c>
      <c r="F89" s="54">
        <v>18.5</v>
      </c>
      <c r="G89" s="54">
        <v>0</v>
      </c>
      <c r="H89" s="54">
        <v>25.1</v>
      </c>
      <c r="I89" s="54">
        <v>25.1</v>
      </c>
      <c r="J89" s="54">
        <v>0</v>
      </c>
      <c r="K89" s="54">
        <v>90</v>
      </c>
      <c r="L89" s="51">
        <v>0.05</v>
      </c>
      <c r="M89" s="54">
        <v>0</v>
      </c>
      <c r="N89" s="51">
        <v>0.05</v>
      </c>
      <c r="O89" s="54">
        <v>0</v>
      </c>
      <c r="P89" s="54">
        <v>0</v>
      </c>
      <c r="Q89" s="54">
        <v>53.5</v>
      </c>
      <c r="R89" s="54">
        <v>0.3</v>
      </c>
      <c r="S89" s="54">
        <v>567</v>
      </c>
      <c r="T89" s="54">
        <v>414</v>
      </c>
      <c r="U89" s="54">
        <v>62</v>
      </c>
      <c r="V89" s="54">
        <v>374</v>
      </c>
      <c r="W89" s="54">
        <v>1.7</v>
      </c>
      <c r="X89" s="54">
        <v>20</v>
      </c>
      <c r="Y89" s="54">
        <v>0.48</v>
      </c>
      <c r="Z89" s="54">
        <v>6.4</v>
      </c>
      <c r="AA89" s="54">
        <v>820</v>
      </c>
      <c r="AB89" s="54">
        <v>29</v>
      </c>
      <c r="AC89" s="51">
        <v>5.0000000000000001E-3</v>
      </c>
      <c r="AD89" s="54">
        <v>110</v>
      </c>
      <c r="AE89" s="54">
        <v>0.05</v>
      </c>
      <c r="AF89" s="54">
        <v>0.36</v>
      </c>
      <c r="AG89" s="51">
        <v>0.5</v>
      </c>
      <c r="AH89" s="54">
        <v>0.12</v>
      </c>
      <c r="AI89" s="54">
        <v>0.08</v>
      </c>
      <c r="AJ89" s="54">
        <v>19</v>
      </c>
      <c r="AK89" s="54">
        <v>0.51</v>
      </c>
      <c r="AL89" s="54">
        <v>3.6</v>
      </c>
      <c r="AM89" s="54">
        <v>0.6</v>
      </c>
      <c r="AN89" s="54">
        <v>248</v>
      </c>
      <c r="AO89" s="54">
        <v>217</v>
      </c>
      <c r="AP89" s="54">
        <v>186</v>
      </c>
      <c r="AQ89" s="54">
        <v>0.45</v>
      </c>
      <c r="AR89" s="54">
        <v>0.17</v>
      </c>
      <c r="AS89" s="55">
        <v>2.2999999999999998</v>
      </c>
      <c r="AT89" s="54">
        <v>14.711</v>
      </c>
      <c r="AU89" s="54">
        <v>2.2309999999999999</v>
      </c>
      <c r="AV89" s="54">
        <v>0.76700000000000002</v>
      </c>
      <c r="AW89" s="54">
        <v>2.58</v>
      </c>
      <c r="AX89" s="54">
        <v>6.4139999999999997</v>
      </c>
      <c r="AY89" s="54">
        <v>2.7189999999999999</v>
      </c>
      <c r="AZ89" s="54">
        <v>0</v>
      </c>
      <c r="BA89" s="54">
        <v>0</v>
      </c>
      <c r="BB89" s="54">
        <v>7.6689999999999996</v>
      </c>
      <c r="BC89" s="54">
        <v>0.48799999999999999</v>
      </c>
      <c r="BD89" s="54">
        <v>0.69699999999999995</v>
      </c>
      <c r="BE89" s="54">
        <v>6.484</v>
      </c>
      <c r="BF89" s="54">
        <v>0</v>
      </c>
      <c r="BG89" s="54">
        <v>0</v>
      </c>
      <c r="BH89" s="54">
        <v>0.83699999999999997</v>
      </c>
      <c r="BI89" s="54">
        <v>0.48799999999999999</v>
      </c>
      <c r="BJ89" s="54">
        <v>0.34899999999999998</v>
      </c>
      <c r="BK89" s="54">
        <v>0</v>
      </c>
      <c r="BL89" s="54">
        <v>0</v>
      </c>
      <c r="BM89" s="54">
        <v>0</v>
      </c>
      <c r="BN89" s="54">
        <v>0</v>
      </c>
      <c r="BO89" s="56">
        <v>253</v>
      </c>
      <c r="BP89" s="56">
        <v>609</v>
      </c>
      <c r="BQ89" s="56">
        <v>724</v>
      </c>
      <c r="BR89" s="56">
        <v>1436</v>
      </c>
      <c r="BS89" s="56">
        <v>1161</v>
      </c>
      <c r="BT89" s="56">
        <v>460</v>
      </c>
      <c r="BU89" s="56">
        <v>115</v>
      </c>
      <c r="BV89" s="56">
        <v>781</v>
      </c>
      <c r="BW89" s="56">
        <v>873</v>
      </c>
      <c r="BX89" s="56">
        <v>942</v>
      </c>
      <c r="BY89" s="56">
        <v>517</v>
      </c>
      <c r="BZ89" s="56">
        <v>414</v>
      </c>
      <c r="CA89" s="56">
        <v>494</v>
      </c>
      <c r="CB89" s="56">
        <v>1172</v>
      </c>
      <c r="CC89" s="56">
        <v>3022</v>
      </c>
      <c r="CD89" s="56">
        <v>287</v>
      </c>
      <c r="CE89" s="56">
        <v>1701</v>
      </c>
      <c r="CF89" s="56">
        <v>885</v>
      </c>
      <c r="CG89" s="54">
        <v>0</v>
      </c>
      <c r="CH89" s="54">
        <v>0</v>
      </c>
      <c r="CI89" s="54">
        <v>0</v>
      </c>
      <c r="CJ89" s="54">
        <v>0</v>
      </c>
      <c r="CK89" s="54">
        <v>0</v>
      </c>
      <c r="CL89" s="51">
        <v>0.05</v>
      </c>
    </row>
    <row r="90" spans="1:90" x14ac:dyDescent="0.35">
      <c r="B90" s="9" t="s">
        <v>219</v>
      </c>
      <c r="C90" s="54">
        <v>315</v>
      </c>
      <c r="D90" s="54">
        <v>1307</v>
      </c>
      <c r="E90" s="54">
        <v>19</v>
      </c>
      <c r="F90" s="54">
        <v>19</v>
      </c>
      <c r="G90" s="54">
        <v>0</v>
      </c>
      <c r="H90" s="54">
        <v>26.2</v>
      </c>
      <c r="I90" s="54">
        <v>26.2</v>
      </c>
      <c r="J90" s="54">
        <v>0</v>
      </c>
      <c r="K90" s="54">
        <v>90</v>
      </c>
      <c r="L90" s="54">
        <v>0.9</v>
      </c>
      <c r="M90" s="54">
        <v>0</v>
      </c>
      <c r="N90" s="54">
        <v>0.9</v>
      </c>
      <c r="O90" s="54">
        <v>0</v>
      </c>
      <c r="P90" s="54">
        <v>0</v>
      </c>
      <c r="Q90" s="54">
        <v>51.8</v>
      </c>
      <c r="R90" s="54">
        <v>0.1</v>
      </c>
      <c r="S90" s="54">
        <v>433</v>
      </c>
      <c r="T90" s="54">
        <v>873</v>
      </c>
      <c r="U90" s="54">
        <v>89</v>
      </c>
      <c r="V90" s="54">
        <v>328</v>
      </c>
      <c r="W90" s="54">
        <v>2</v>
      </c>
      <c r="X90" s="54">
        <v>22</v>
      </c>
      <c r="Y90" s="54">
        <v>0.4</v>
      </c>
      <c r="Z90" s="54">
        <v>3</v>
      </c>
      <c r="AA90" s="54">
        <v>1120</v>
      </c>
      <c r="AB90" s="54">
        <v>46</v>
      </c>
      <c r="AC90" s="51">
        <v>5.0000000000000001E-3</v>
      </c>
      <c r="AD90" s="54">
        <v>230</v>
      </c>
      <c r="AE90" s="54">
        <v>0.05</v>
      </c>
      <c r="AF90" s="54">
        <v>0.22</v>
      </c>
      <c r="AG90" s="54">
        <v>0</v>
      </c>
      <c r="AH90" s="54">
        <v>1</v>
      </c>
      <c r="AI90" s="54">
        <v>0.13</v>
      </c>
      <c r="AJ90" s="54">
        <v>102</v>
      </c>
      <c r="AK90" s="54">
        <v>0.36</v>
      </c>
      <c r="AL90" s="54">
        <v>7.6</v>
      </c>
      <c r="AM90" s="54">
        <v>1.1000000000000001</v>
      </c>
      <c r="AN90" s="54">
        <v>450</v>
      </c>
      <c r="AO90" s="54">
        <v>443</v>
      </c>
      <c r="AP90" s="54">
        <v>46</v>
      </c>
      <c r="AQ90" s="54">
        <v>0.62</v>
      </c>
      <c r="AR90" s="54">
        <v>0.18</v>
      </c>
      <c r="AS90" s="55">
        <v>4.5</v>
      </c>
      <c r="AT90" s="54">
        <v>15.356</v>
      </c>
      <c r="AU90" s="54">
        <v>2.3290000000000002</v>
      </c>
      <c r="AV90" s="54">
        <v>0.80100000000000005</v>
      </c>
      <c r="AW90" s="54">
        <v>2.6930000000000001</v>
      </c>
      <c r="AX90" s="54">
        <v>6.6959999999999997</v>
      </c>
      <c r="AY90" s="54">
        <v>2.8380000000000001</v>
      </c>
      <c r="AZ90" s="65">
        <v>0</v>
      </c>
      <c r="BA90" s="65">
        <v>0</v>
      </c>
      <c r="BB90" s="54">
        <v>8.0060000000000002</v>
      </c>
      <c r="BC90" s="54">
        <v>0.50900000000000001</v>
      </c>
      <c r="BD90" s="54">
        <v>0.72799999999999998</v>
      </c>
      <c r="BE90" s="54">
        <v>6.7679999999999998</v>
      </c>
      <c r="BF90" s="54">
        <v>0</v>
      </c>
      <c r="BG90" s="54">
        <v>0</v>
      </c>
      <c r="BH90" s="54">
        <v>0.873</v>
      </c>
      <c r="BI90" s="54">
        <v>0.50900000000000001</v>
      </c>
      <c r="BJ90" s="54">
        <v>0.36399999999999999</v>
      </c>
      <c r="BK90" s="54">
        <v>0</v>
      </c>
      <c r="BL90" s="54">
        <v>0</v>
      </c>
      <c r="BM90" s="54">
        <v>0</v>
      </c>
      <c r="BN90" s="54">
        <v>0</v>
      </c>
      <c r="BO90" s="56">
        <v>229</v>
      </c>
      <c r="BP90" s="56">
        <v>632</v>
      </c>
      <c r="BQ90" s="56">
        <v>955</v>
      </c>
      <c r="BR90" s="56">
        <v>1690</v>
      </c>
      <c r="BS90" s="56">
        <v>1424</v>
      </c>
      <c r="BT90" s="56">
        <v>566</v>
      </c>
      <c r="BU90" s="56">
        <v>88</v>
      </c>
      <c r="BV90" s="56">
        <v>901</v>
      </c>
      <c r="BW90" s="56">
        <v>987</v>
      </c>
      <c r="BX90" s="56">
        <v>1187</v>
      </c>
      <c r="BY90" s="56">
        <v>667</v>
      </c>
      <c r="BZ90" s="56">
        <v>535</v>
      </c>
      <c r="CA90" s="56">
        <v>540</v>
      </c>
      <c r="CB90" s="56">
        <v>1245</v>
      </c>
      <c r="CC90" s="56">
        <v>4151</v>
      </c>
      <c r="CD90" s="56">
        <v>374</v>
      </c>
      <c r="CE90" s="56">
        <v>1742</v>
      </c>
      <c r="CF90" s="56">
        <v>894</v>
      </c>
      <c r="CG90" s="54">
        <v>0</v>
      </c>
      <c r="CH90" s="54">
        <v>0</v>
      </c>
      <c r="CI90" s="54">
        <v>0</v>
      </c>
      <c r="CJ90" s="54">
        <v>0</v>
      </c>
      <c r="CK90" s="54">
        <v>0</v>
      </c>
      <c r="CL90" s="54">
        <v>0.9</v>
      </c>
    </row>
    <row r="91" spans="1:90" x14ac:dyDescent="0.35">
      <c r="C91">
        <f t="shared" ref="C91:AH91" si="4">AVERAGE(C22:C90)</f>
        <v>324.47826086956519</v>
      </c>
      <c r="D91">
        <f t="shared" si="4"/>
        <v>1346.7826086956522</v>
      </c>
      <c r="E91">
        <f t="shared" si="4"/>
        <v>21.763623188405802</v>
      </c>
      <c r="F91">
        <f t="shared" si="4"/>
        <v>21.754927536231889</v>
      </c>
      <c r="G91">
        <f t="shared" si="4"/>
        <v>8.6956521739130436E-3</v>
      </c>
      <c r="H91">
        <f t="shared" si="4"/>
        <v>25.716666666666672</v>
      </c>
      <c r="I91">
        <f t="shared" si="4"/>
        <v>25.677536231884059</v>
      </c>
      <c r="J91">
        <f t="shared" si="4"/>
        <v>3.9130434782608699E-2</v>
      </c>
      <c r="K91">
        <f t="shared" si="4"/>
        <v>83.320289855072474</v>
      </c>
      <c r="L91">
        <f t="shared" si="4"/>
        <v>1.589565217391304</v>
      </c>
      <c r="M91">
        <f t="shared" si="4"/>
        <v>1.4492753623188406E-3</v>
      </c>
      <c r="N91">
        <f t="shared" si="4"/>
        <v>1.588115942028985</v>
      </c>
      <c r="O91">
        <f t="shared" si="4"/>
        <v>2.8985507246376812E-3</v>
      </c>
      <c r="P91">
        <f t="shared" si="4"/>
        <v>0</v>
      </c>
      <c r="Q91">
        <f t="shared" si="4"/>
        <v>47.053333333333335</v>
      </c>
      <c r="R91">
        <f t="shared" si="4"/>
        <v>0.49782608695652164</v>
      </c>
      <c r="S91">
        <f t="shared" si="4"/>
        <v>549.66956521739121</v>
      </c>
      <c r="T91">
        <f t="shared" si="4"/>
        <v>714.45072463768111</v>
      </c>
      <c r="U91">
        <f t="shared" si="4"/>
        <v>106.42753623188406</v>
      </c>
      <c r="V91">
        <f t="shared" si="4"/>
        <v>419.53478260869565</v>
      </c>
      <c r="W91">
        <f t="shared" si="4"/>
        <v>2.9944202898550718</v>
      </c>
      <c r="X91">
        <f t="shared" si="4"/>
        <v>26.318840579710145</v>
      </c>
      <c r="Y91">
        <f t="shared" si="4"/>
        <v>0.19065217391304345</v>
      </c>
      <c r="Z91">
        <f t="shared" si="4"/>
        <v>7.5618840579710129</v>
      </c>
      <c r="AA91">
        <f t="shared" si="4"/>
        <v>1081.191304347826</v>
      </c>
      <c r="AB91">
        <f t="shared" si="4"/>
        <v>23.455072463768118</v>
      </c>
      <c r="AC91">
        <f t="shared" si="4"/>
        <v>9.1304347826086998E-3</v>
      </c>
      <c r="AD91">
        <f t="shared" si="4"/>
        <v>161.86956521739131</v>
      </c>
      <c r="AE91">
        <f t="shared" si="4"/>
        <v>2.7840579710144944E-2</v>
      </c>
      <c r="AF91">
        <f t="shared" si="4"/>
        <v>0.32037681159420295</v>
      </c>
      <c r="AG91">
        <f t="shared" si="4"/>
        <v>0.30289855072463767</v>
      </c>
      <c r="AH91">
        <f t="shared" si="4"/>
        <v>0.28718840579710142</v>
      </c>
      <c r="AI91">
        <f t="shared" ref="AI91:BN91" si="5">AVERAGE(AI22:AI90)</f>
        <v>7.930434782608696E-2</v>
      </c>
      <c r="AJ91">
        <f t="shared" si="5"/>
        <v>21.39855072463768</v>
      </c>
      <c r="AK91">
        <f t="shared" si="5"/>
        <v>0.35307246376811613</v>
      </c>
      <c r="AL91">
        <f t="shared" si="5"/>
        <v>2.8207246376811601</v>
      </c>
      <c r="AM91">
        <f t="shared" si="5"/>
        <v>1.3021739130434777</v>
      </c>
      <c r="AN91">
        <f t="shared" si="5"/>
        <v>283.61884057971014</v>
      </c>
      <c r="AO91">
        <f t="shared" si="5"/>
        <v>261.79565217391308</v>
      </c>
      <c r="AP91">
        <f t="shared" si="5"/>
        <v>130.54782608695652</v>
      </c>
      <c r="AQ91">
        <f t="shared" si="5"/>
        <v>0.51163768115942021</v>
      </c>
      <c r="AR91">
        <f t="shared" si="5"/>
        <v>0.23971014492753628</v>
      </c>
      <c r="AS91">
        <f t="shared" si="5"/>
        <v>2.6368115942028951</v>
      </c>
      <c r="AT91">
        <f t="shared" si="5"/>
        <v>15.070360869565221</v>
      </c>
      <c r="AU91">
        <f t="shared" si="5"/>
        <v>2.2540579710144919</v>
      </c>
      <c r="AV91">
        <f t="shared" si="5"/>
        <v>0.78002608695652165</v>
      </c>
      <c r="AW91">
        <f t="shared" si="5"/>
        <v>2.6430536231884076</v>
      </c>
      <c r="AX91">
        <f t="shared" si="5"/>
        <v>6.5979869565217433</v>
      </c>
      <c r="AY91">
        <f t="shared" si="5"/>
        <v>2.5750376811594182</v>
      </c>
      <c r="AZ91">
        <f t="shared" si="5"/>
        <v>1.4492753623188405E-4</v>
      </c>
      <c r="BA91">
        <f t="shared" si="5"/>
        <v>0</v>
      </c>
      <c r="BB91">
        <f t="shared" si="5"/>
        <v>7.1732130434782588</v>
      </c>
      <c r="BC91">
        <f t="shared" si="5"/>
        <v>0.4637971014492755</v>
      </c>
      <c r="BD91">
        <f t="shared" si="5"/>
        <v>0.61454782608695646</v>
      </c>
      <c r="BE91">
        <f t="shared" si="5"/>
        <v>6.0386608695652155</v>
      </c>
      <c r="BF91">
        <f t="shared" si="5"/>
        <v>3.1884057971014491E-3</v>
      </c>
      <c r="BG91">
        <f t="shared" si="5"/>
        <v>0</v>
      </c>
      <c r="BH91">
        <f t="shared" si="5"/>
        <v>0.85230869565217382</v>
      </c>
      <c r="BI91">
        <f t="shared" si="5"/>
        <v>0.49304347826086953</v>
      </c>
      <c r="BJ91">
        <f t="shared" si="5"/>
        <v>0.35256956521739141</v>
      </c>
      <c r="BK91">
        <f t="shared" si="5"/>
        <v>3.9130434782608698E-4</v>
      </c>
      <c r="BL91">
        <f t="shared" si="5"/>
        <v>0</v>
      </c>
      <c r="BM91">
        <f t="shared" si="5"/>
        <v>0</v>
      </c>
      <c r="BN91">
        <f t="shared" si="5"/>
        <v>6.5217391304347831E-3</v>
      </c>
      <c r="BO91">
        <f t="shared" ref="BO91:CL91" si="6">AVERAGE(BO22:BO90)</f>
        <v>268.97101449275362</v>
      </c>
      <c r="BP91">
        <f t="shared" si="6"/>
        <v>768.50724637681162</v>
      </c>
      <c r="BQ91">
        <f t="shared" si="6"/>
        <v>1041.5652173913043</v>
      </c>
      <c r="BR91">
        <f t="shared" si="6"/>
        <v>1979.5217391304348</v>
      </c>
      <c r="BS91">
        <f t="shared" si="6"/>
        <v>1719.4927536231885</v>
      </c>
      <c r="BT91">
        <f t="shared" si="6"/>
        <v>619.95652173913038</v>
      </c>
      <c r="BU91">
        <f t="shared" si="6"/>
        <v>150.71014492753622</v>
      </c>
      <c r="BV91">
        <f t="shared" si="6"/>
        <v>1067.9420289855072</v>
      </c>
      <c r="BW91">
        <f t="shared" si="6"/>
        <v>1132.7391304347825</v>
      </c>
      <c r="BX91">
        <f t="shared" si="6"/>
        <v>1337.2173913043478</v>
      </c>
      <c r="BY91">
        <f t="shared" si="6"/>
        <v>684.6521739130435</v>
      </c>
      <c r="BZ91">
        <f t="shared" si="6"/>
        <v>606.39130434782612</v>
      </c>
      <c r="CA91">
        <f t="shared" si="6"/>
        <v>674.92753623188401</v>
      </c>
      <c r="CB91">
        <f t="shared" si="6"/>
        <v>1458.5797101449275</v>
      </c>
      <c r="CC91">
        <f t="shared" si="6"/>
        <v>4231.521739130435</v>
      </c>
      <c r="CD91">
        <f t="shared" si="6"/>
        <v>389.71014492753625</v>
      </c>
      <c r="CE91">
        <f t="shared" si="6"/>
        <v>2203.782608695652</v>
      </c>
      <c r="CF91">
        <f t="shared" si="6"/>
        <v>1137.1884057971015</v>
      </c>
      <c r="CG91">
        <f t="shared" si="6"/>
        <v>0</v>
      </c>
      <c r="CH91">
        <f t="shared" si="6"/>
        <v>0</v>
      </c>
      <c r="CI91">
        <f t="shared" si="6"/>
        <v>1.3043478260869568E-2</v>
      </c>
      <c r="CJ91">
        <f t="shared" si="6"/>
        <v>1.4492753623188406E-3</v>
      </c>
      <c r="CK91">
        <f t="shared" si="6"/>
        <v>0</v>
      </c>
      <c r="CL91">
        <f t="shared" si="6"/>
        <v>1.5656521739130433</v>
      </c>
    </row>
    <row r="94" spans="1:90" x14ac:dyDescent="0.35">
      <c r="A94" s="53" t="s">
        <v>12</v>
      </c>
      <c r="B94" s="12" t="s">
        <v>351</v>
      </c>
      <c r="C94" s="6">
        <v>550</v>
      </c>
      <c r="D94" s="6">
        <v>2282</v>
      </c>
      <c r="E94" s="6">
        <v>15</v>
      </c>
      <c r="F94" s="6">
        <v>0</v>
      </c>
      <c r="G94" s="6">
        <v>15</v>
      </c>
      <c r="H94" s="6">
        <v>46</v>
      </c>
      <c r="I94" s="6">
        <v>0</v>
      </c>
      <c r="J94" s="6">
        <v>46</v>
      </c>
      <c r="K94" s="6">
        <v>0</v>
      </c>
      <c r="L94" s="6">
        <v>18.8</v>
      </c>
      <c r="M94" s="6">
        <v>13.2</v>
      </c>
      <c r="N94" s="6">
        <v>5.6</v>
      </c>
      <c r="O94" s="6">
        <v>3</v>
      </c>
      <c r="P94" s="6">
        <v>0</v>
      </c>
      <c r="Q94" s="6">
        <v>3</v>
      </c>
      <c r="R94" s="6">
        <v>6</v>
      </c>
      <c r="S94" s="6">
        <v>45</v>
      </c>
      <c r="T94" s="6">
        <v>16</v>
      </c>
      <c r="U94" s="6">
        <v>565</v>
      </c>
      <c r="V94" s="6">
        <v>490</v>
      </c>
      <c r="W94" s="6">
        <v>6</v>
      </c>
      <c r="X94" s="6">
        <v>260</v>
      </c>
      <c r="Y94" s="6">
        <v>2</v>
      </c>
      <c r="Z94" s="6">
        <v>12</v>
      </c>
      <c r="AA94" s="6">
        <v>18</v>
      </c>
      <c r="AB94" s="6">
        <v>11</v>
      </c>
      <c r="AC94" s="6">
        <v>1.8</v>
      </c>
      <c r="AD94" s="6">
        <v>380</v>
      </c>
      <c r="AE94" s="6">
        <v>0.2</v>
      </c>
      <c r="AF94" s="6">
        <v>0.02</v>
      </c>
      <c r="AG94" s="6">
        <v>0</v>
      </c>
      <c r="AH94" s="6">
        <v>1</v>
      </c>
      <c r="AI94" s="6">
        <v>0.43</v>
      </c>
      <c r="AJ94" s="6">
        <v>68</v>
      </c>
      <c r="AK94" s="6">
        <v>1.08</v>
      </c>
      <c r="AL94" s="6">
        <v>13</v>
      </c>
      <c r="AM94" s="6">
        <v>0</v>
      </c>
      <c r="AN94" s="6">
        <v>0</v>
      </c>
      <c r="AO94" s="6">
        <v>0</v>
      </c>
      <c r="AP94" s="6">
        <v>0</v>
      </c>
      <c r="AQ94" s="6">
        <v>1</v>
      </c>
      <c r="AR94" s="6">
        <v>0</v>
      </c>
      <c r="AS94" s="6">
        <v>34.1</v>
      </c>
      <c r="AT94" s="6">
        <v>8.1649999999999991</v>
      </c>
      <c r="AU94" s="6">
        <v>3.1E-2</v>
      </c>
      <c r="AV94" s="6">
        <v>1.6E-2</v>
      </c>
      <c r="AW94" s="6">
        <v>1.6E-2</v>
      </c>
      <c r="AX94" s="6">
        <v>4.1079999999999997</v>
      </c>
      <c r="AY94" s="6">
        <v>3.3809999999999998</v>
      </c>
      <c r="AZ94" s="6">
        <v>0.27900000000000003</v>
      </c>
      <c r="BA94" s="6">
        <v>0.18099999999999999</v>
      </c>
      <c r="BB94" s="6">
        <v>24.963999999999999</v>
      </c>
      <c r="BC94" s="6">
        <v>0</v>
      </c>
      <c r="BD94" s="6">
        <v>0.14299999999999999</v>
      </c>
      <c r="BE94" s="6">
        <v>24.675999999999998</v>
      </c>
      <c r="BF94" s="6">
        <v>0.14499999999999999</v>
      </c>
      <c r="BG94" s="6">
        <v>0</v>
      </c>
      <c r="BH94" s="6">
        <v>8.23</v>
      </c>
      <c r="BI94" s="6">
        <v>8.1639999999999997</v>
      </c>
      <c r="BJ94" s="6">
        <v>6.5000000000000002E-2</v>
      </c>
      <c r="BK94" s="6">
        <v>0</v>
      </c>
      <c r="BL94" s="6">
        <v>0</v>
      </c>
      <c r="BM94" s="6">
        <v>0</v>
      </c>
      <c r="BN94" s="6">
        <v>0</v>
      </c>
      <c r="BO94" s="7">
        <v>240</v>
      </c>
      <c r="BP94" s="7">
        <v>590</v>
      </c>
      <c r="BQ94" s="7">
        <v>730</v>
      </c>
      <c r="BR94" s="7">
        <v>1280</v>
      </c>
      <c r="BS94" s="7">
        <v>520</v>
      </c>
      <c r="BT94" s="7">
        <v>270</v>
      </c>
      <c r="BU94" s="7">
        <v>280</v>
      </c>
      <c r="BV94" s="7">
        <v>790</v>
      </c>
      <c r="BW94" s="7">
        <v>490</v>
      </c>
      <c r="BX94" s="7">
        <v>910</v>
      </c>
      <c r="BY94" s="7">
        <v>1740</v>
      </c>
      <c r="BZ94" s="7">
        <v>400</v>
      </c>
      <c r="CA94" s="7">
        <v>700</v>
      </c>
      <c r="CB94" s="7">
        <v>1500</v>
      </c>
      <c r="CC94" s="7">
        <v>3620</v>
      </c>
      <c r="CD94" s="7">
        <v>800</v>
      </c>
      <c r="CE94" s="7">
        <v>690</v>
      </c>
      <c r="CF94" s="7">
        <v>850</v>
      </c>
      <c r="CG94" s="6">
        <v>0</v>
      </c>
      <c r="CH94" s="6">
        <v>0</v>
      </c>
      <c r="CI94" s="6">
        <v>0</v>
      </c>
      <c r="CJ94" s="6">
        <v>5.6</v>
      </c>
      <c r="CK94" s="6">
        <v>0</v>
      </c>
      <c r="CL94" s="6">
        <v>0</v>
      </c>
    </row>
    <row r="95" spans="1:90" x14ac:dyDescent="0.35">
      <c r="B95" s="12" t="s">
        <v>345</v>
      </c>
      <c r="C95" s="6">
        <v>671</v>
      </c>
      <c r="D95" s="6">
        <v>2769</v>
      </c>
      <c r="E95" s="6">
        <v>13.8</v>
      </c>
      <c r="F95" s="6">
        <v>0</v>
      </c>
      <c r="G95" s="6">
        <v>13.8</v>
      </c>
      <c r="H95" s="6">
        <v>64.099999999999994</v>
      </c>
      <c r="I95" s="6">
        <v>0</v>
      </c>
      <c r="J95" s="6">
        <v>64.099999999999994</v>
      </c>
      <c r="K95" s="6">
        <v>0</v>
      </c>
      <c r="L95" s="6">
        <v>6.1</v>
      </c>
      <c r="M95" s="6">
        <v>2</v>
      </c>
      <c r="N95" s="6">
        <v>4.0999999999999996</v>
      </c>
      <c r="O95" s="6">
        <v>8.1</v>
      </c>
      <c r="P95" s="6">
        <v>0</v>
      </c>
      <c r="Q95" s="6">
        <v>4.5</v>
      </c>
      <c r="R95" s="6">
        <v>3.3</v>
      </c>
      <c r="S95" s="6">
        <v>150</v>
      </c>
      <c r="T95" s="6">
        <v>11</v>
      </c>
      <c r="U95" s="6">
        <v>466</v>
      </c>
      <c r="V95" s="6">
        <v>322</v>
      </c>
      <c r="W95" s="6">
        <v>2</v>
      </c>
      <c r="X95" s="6">
        <v>160</v>
      </c>
      <c r="Y95" s="6">
        <v>1.3</v>
      </c>
      <c r="Z95" s="6">
        <v>2</v>
      </c>
      <c r="AA95" s="6">
        <v>18</v>
      </c>
      <c r="AB95" s="6">
        <v>17</v>
      </c>
      <c r="AC95" s="6">
        <v>4.9000000000000004</v>
      </c>
      <c r="AD95" s="6">
        <v>120</v>
      </c>
      <c r="AE95" s="6">
        <v>0.51</v>
      </c>
      <c r="AF95" s="6">
        <v>0.1</v>
      </c>
      <c r="AG95" s="6">
        <v>4</v>
      </c>
      <c r="AH95" s="6">
        <v>2.8</v>
      </c>
      <c r="AI95" s="6">
        <v>0.59</v>
      </c>
      <c r="AJ95" s="6">
        <v>72</v>
      </c>
      <c r="AK95" s="6">
        <v>1.51</v>
      </c>
      <c r="AL95" s="6">
        <v>76</v>
      </c>
      <c r="AM95" s="6">
        <v>0</v>
      </c>
      <c r="AN95" s="6">
        <v>30</v>
      </c>
      <c r="AO95" s="6">
        <v>0</v>
      </c>
      <c r="AP95" s="6">
        <v>180</v>
      </c>
      <c r="AQ95" s="6">
        <v>24.98</v>
      </c>
      <c r="AR95" s="6">
        <v>0</v>
      </c>
      <c r="AS95" s="6">
        <v>14.2</v>
      </c>
      <c r="AT95" s="6">
        <v>4.16</v>
      </c>
      <c r="AU95" s="6">
        <v>0</v>
      </c>
      <c r="AV95" s="6">
        <v>0</v>
      </c>
      <c r="AW95" s="6">
        <v>0.74</v>
      </c>
      <c r="AX95" s="6">
        <v>2.4500000000000002</v>
      </c>
      <c r="AY95" s="6">
        <v>0.88</v>
      </c>
      <c r="AZ95" s="6">
        <v>0.09</v>
      </c>
      <c r="BA95" s="6">
        <v>0</v>
      </c>
      <c r="BB95" s="6">
        <v>38.6</v>
      </c>
      <c r="BC95" s="6">
        <v>0</v>
      </c>
      <c r="BD95" s="6">
        <v>0.13</v>
      </c>
      <c r="BE95" s="6">
        <v>38.46</v>
      </c>
      <c r="BF95" s="6">
        <v>0.03</v>
      </c>
      <c r="BG95" s="6">
        <v>0</v>
      </c>
      <c r="BH95" s="6">
        <v>5.2</v>
      </c>
      <c r="BI95" s="6">
        <v>5.09</v>
      </c>
      <c r="BJ95" s="6">
        <v>0.11</v>
      </c>
      <c r="BK95" s="6">
        <v>0</v>
      </c>
      <c r="BL95" s="6">
        <v>0</v>
      </c>
      <c r="BM95" s="6">
        <v>0</v>
      </c>
      <c r="BN95" s="6">
        <v>0</v>
      </c>
      <c r="BO95" s="7">
        <v>125</v>
      </c>
      <c r="BP95" s="7">
        <v>524</v>
      </c>
      <c r="BQ95" s="7">
        <v>514</v>
      </c>
      <c r="BR95" s="7">
        <v>930</v>
      </c>
      <c r="BS95" s="7">
        <v>408</v>
      </c>
      <c r="BT95" s="7">
        <v>206</v>
      </c>
      <c r="BU95" s="7">
        <v>278</v>
      </c>
      <c r="BV95" s="7">
        <v>595</v>
      </c>
      <c r="BW95" s="7">
        <v>397</v>
      </c>
      <c r="BX95" s="7">
        <v>659</v>
      </c>
      <c r="BY95" s="7">
        <v>2042</v>
      </c>
      <c r="BZ95" s="7">
        <v>296</v>
      </c>
      <c r="CA95" s="7">
        <v>579</v>
      </c>
      <c r="CB95" s="7">
        <v>1651</v>
      </c>
      <c r="CC95" s="7">
        <v>3146</v>
      </c>
      <c r="CD95" s="7">
        <v>556</v>
      </c>
      <c r="CE95" s="7">
        <v>513</v>
      </c>
      <c r="CF95" s="7">
        <v>612</v>
      </c>
      <c r="CG95" s="6">
        <v>0.2</v>
      </c>
      <c r="CH95" s="6">
        <v>0.1</v>
      </c>
      <c r="CI95" s="6">
        <v>0</v>
      </c>
      <c r="CJ95" s="6">
        <v>3.8</v>
      </c>
      <c r="CK95" s="6">
        <v>0</v>
      </c>
      <c r="CL95" s="6">
        <v>0</v>
      </c>
    </row>
    <row r="96" spans="1:90" x14ac:dyDescent="0.35">
      <c r="B96" s="12" t="s">
        <v>341</v>
      </c>
      <c r="C96" s="6">
        <v>585</v>
      </c>
      <c r="D96" s="6">
        <v>2426</v>
      </c>
      <c r="E96" s="6">
        <v>26</v>
      </c>
      <c r="F96" s="6">
        <v>0</v>
      </c>
      <c r="G96" s="6">
        <v>26</v>
      </c>
      <c r="H96" s="6">
        <v>47.2</v>
      </c>
      <c r="I96" s="6">
        <v>0</v>
      </c>
      <c r="J96" s="6">
        <v>47.2</v>
      </c>
      <c r="K96" s="6">
        <v>0</v>
      </c>
      <c r="L96" s="6">
        <v>11.2</v>
      </c>
      <c r="M96" s="6">
        <v>6.7</v>
      </c>
      <c r="N96" s="6">
        <v>4.5</v>
      </c>
      <c r="O96" s="6">
        <v>7.3</v>
      </c>
      <c r="P96" s="6">
        <v>0</v>
      </c>
      <c r="Q96" s="6">
        <v>7.1</v>
      </c>
      <c r="R96" s="6">
        <v>3.2</v>
      </c>
      <c r="S96" s="6">
        <v>60</v>
      </c>
      <c r="T96" s="6">
        <v>2</v>
      </c>
      <c r="U96" s="6">
        <v>670</v>
      </c>
      <c r="V96" s="6">
        <v>239</v>
      </c>
      <c r="W96" s="6">
        <v>3.5</v>
      </c>
      <c r="X96" s="6">
        <v>210</v>
      </c>
      <c r="Y96" s="6">
        <v>1.02</v>
      </c>
      <c r="Z96" s="6">
        <v>3</v>
      </c>
      <c r="AA96" s="6">
        <v>7</v>
      </c>
      <c r="AB96" s="6">
        <v>20</v>
      </c>
      <c r="AC96" s="6">
        <v>2.1</v>
      </c>
      <c r="AD96" s="6">
        <v>380</v>
      </c>
      <c r="AE96" s="6">
        <v>1.52</v>
      </c>
      <c r="AF96" s="6">
        <v>0.09</v>
      </c>
      <c r="AG96" s="6">
        <v>2</v>
      </c>
      <c r="AH96" s="6">
        <v>13.8</v>
      </c>
      <c r="AI96" s="6">
        <v>0.59</v>
      </c>
      <c r="AJ96" s="6">
        <v>110</v>
      </c>
      <c r="AK96" s="6">
        <v>2.66</v>
      </c>
      <c r="AL96" s="6">
        <v>72</v>
      </c>
      <c r="AM96" s="6">
        <v>0</v>
      </c>
      <c r="AN96" s="6">
        <v>0</v>
      </c>
      <c r="AO96" s="6">
        <v>0</v>
      </c>
      <c r="AP96" s="6">
        <v>0</v>
      </c>
      <c r="AQ96" s="6">
        <v>10.09</v>
      </c>
      <c r="AR96" s="6">
        <v>0</v>
      </c>
      <c r="AS96" s="6">
        <v>0</v>
      </c>
      <c r="AT96" s="6">
        <v>8.8859999999999992</v>
      </c>
      <c r="AU96" s="6">
        <v>0</v>
      </c>
      <c r="AV96" s="6">
        <v>4.1000000000000002E-2</v>
      </c>
      <c r="AW96" s="6">
        <v>0.22600000000000001</v>
      </c>
      <c r="AX96" s="6">
        <v>4.8330000000000002</v>
      </c>
      <c r="AY96" s="6">
        <v>1.2210000000000001</v>
      </c>
      <c r="AZ96" s="6">
        <v>0.54</v>
      </c>
      <c r="BA96" s="6">
        <v>1.54</v>
      </c>
      <c r="BB96" s="6">
        <v>22.605</v>
      </c>
      <c r="BC96" s="6">
        <v>0</v>
      </c>
      <c r="BD96" s="6">
        <v>0</v>
      </c>
      <c r="BE96" s="6">
        <v>22.111999999999998</v>
      </c>
      <c r="BF96" s="6">
        <v>0.49299999999999999</v>
      </c>
      <c r="BG96" s="6">
        <v>0</v>
      </c>
      <c r="BH96" s="6">
        <v>13.442</v>
      </c>
      <c r="BI96" s="6">
        <v>13.083</v>
      </c>
      <c r="BJ96" s="6">
        <v>0.35899999999999999</v>
      </c>
      <c r="BK96" s="6">
        <v>0</v>
      </c>
      <c r="BL96" s="6">
        <v>0</v>
      </c>
      <c r="BM96" s="6">
        <v>0</v>
      </c>
      <c r="BN96" s="6">
        <v>0</v>
      </c>
      <c r="BO96" s="7">
        <v>252</v>
      </c>
      <c r="BP96" s="7">
        <v>890</v>
      </c>
      <c r="BQ96" s="7">
        <v>914</v>
      </c>
      <c r="BR96" s="7">
        <v>1685</v>
      </c>
      <c r="BS96" s="7">
        <v>933</v>
      </c>
      <c r="BT96" s="7">
        <v>319</v>
      </c>
      <c r="BU96" s="7">
        <v>334</v>
      </c>
      <c r="BV96" s="7">
        <v>1347</v>
      </c>
      <c r="BW96" s="7">
        <v>1057</v>
      </c>
      <c r="BX96" s="7">
        <v>1090</v>
      </c>
      <c r="BY96" s="7">
        <v>3109</v>
      </c>
      <c r="BZ96" s="7">
        <v>657</v>
      </c>
      <c r="CA96" s="7">
        <v>1033</v>
      </c>
      <c r="CB96" s="7">
        <v>3170</v>
      </c>
      <c r="CC96" s="7">
        <v>5432</v>
      </c>
      <c r="CD96" s="7">
        <v>1566</v>
      </c>
      <c r="CE96" s="7">
        <v>1147</v>
      </c>
      <c r="CF96" s="7">
        <v>1281</v>
      </c>
      <c r="CG96" s="6">
        <v>0</v>
      </c>
      <c r="CH96" s="6">
        <v>0</v>
      </c>
      <c r="CI96" s="6">
        <v>0</v>
      </c>
      <c r="CJ96" s="6">
        <v>4.5</v>
      </c>
      <c r="CK96" s="6">
        <v>0</v>
      </c>
      <c r="CL96" s="6">
        <v>0</v>
      </c>
    </row>
    <row r="97" spans="1:90" x14ac:dyDescent="0.35">
      <c r="B97" s="12" t="s">
        <v>342</v>
      </c>
      <c r="C97" s="6">
        <v>620</v>
      </c>
      <c r="D97" s="6">
        <v>2566</v>
      </c>
      <c r="E97" s="6">
        <v>29</v>
      </c>
      <c r="F97" s="6">
        <v>0</v>
      </c>
      <c r="G97" s="6">
        <v>29</v>
      </c>
      <c r="H97" s="6">
        <v>50</v>
      </c>
      <c r="I97" s="6">
        <v>0</v>
      </c>
      <c r="J97" s="6">
        <v>50</v>
      </c>
      <c r="K97" s="6">
        <v>0</v>
      </c>
      <c r="L97" s="6">
        <v>8.5</v>
      </c>
      <c r="M97" s="6">
        <v>5.4</v>
      </c>
      <c r="N97" s="6">
        <v>3.1</v>
      </c>
      <c r="O97" s="6">
        <v>10.9</v>
      </c>
      <c r="P97" s="6">
        <v>0</v>
      </c>
      <c r="Q97" s="6">
        <v>2.2999999999999998</v>
      </c>
      <c r="R97" s="6">
        <v>3.5</v>
      </c>
      <c r="S97" s="6">
        <v>64</v>
      </c>
      <c r="T97" s="6">
        <v>6</v>
      </c>
      <c r="U97" s="6">
        <v>680</v>
      </c>
      <c r="V97" s="6">
        <v>283</v>
      </c>
      <c r="W97" s="6">
        <v>3.5</v>
      </c>
      <c r="X97" s="6">
        <v>175</v>
      </c>
      <c r="Y97" s="6">
        <v>1</v>
      </c>
      <c r="Z97" s="6">
        <v>3</v>
      </c>
      <c r="AA97" s="6">
        <v>7</v>
      </c>
      <c r="AB97" s="6">
        <v>19</v>
      </c>
      <c r="AC97" s="6">
        <v>2.2000000000000002</v>
      </c>
      <c r="AD97" s="6">
        <v>380</v>
      </c>
      <c r="AE97" s="6">
        <v>0.16</v>
      </c>
      <c r="AF97" s="6">
        <v>0.08</v>
      </c>
      <c r="AG97" s="6">
        <v>0</v>
      </c>
      <c r="AH97" s="6">
        <v>14</v>
      </c>
      <c r="AI97" s="6">
        <v>0.54</v>
      </c>
      <c r="AJ97" s="6">
        <v>44</v>
      </c>
      <c r="AK97" s="6">
        <v>1.59</v>
      </c>
      <c r="AL97" s="6">
        <v>130</v>
      </c>
      <c r="AM97" s="6">
        <v>0</v>
      </c>
      <c r="AN97" s="6">
        <v>0</v>
      </c>
      <c r="AO97" s="6">
        <v>0</v>
      </c>
      <c r="AP97" s="6">
        <v>0</v>
      </c>
      <c r="AQ97" s="6">
        <v>1.1100000000000001</v>
      </c>
      <c r="AR97" s="6">
        <v>0</v>
      </c>
      <c r="AS97" s="6">
        <v>0.31</v>
      </c>
      <c r="AT97" s="6">
        <v>7.13</v>
      </c>
      <c r="AU97" s="6">
        <v>0</v>
      </c>
      <c r="AV97" s="6">
        <v>0</v>
      </c>
      <c r="AW97" s="6">
        <v>0.23</v>
      </c>
      <c r="AX97" s="6">
        <v>5.0599999999999996</v>
      </c>
      <c r="AY97" s="6">
        <v>1.28</v>
      </c>
      <c r="AZ97" s="6">
        <v>0.56000000000000005</v>
      </c>
      <c r="BA97" s="6">
        <v>0</v>
      </c>
      <c r="BB97" s="6">
        <v>23.05</v>
      </c>
      <c r="BC97" s="6">
        <v>0</v>
      </c>
      <c r="BD97" s="6">
        <v>0</v>
      </c>
      <c r="BE97" s="6">
        <v>22.53</v>
      </c>
      <c r="BF97" s="6">
        <v>0.52</v>
      </c>
      <c r="BG97" s="6">
        <v>0</v>
      </c>
      <c r="BH97" s="6">
        <v>14.19</v>
      </c>
      <c r="BI97" s="6">
        <v>13.74</v>
      </c>
      <c r="BJ97" s="6">
        <v>0.45</v>
      </c>
      <c r="BK97" s="6">
        <v>0</v>
      </c>
      <c r="BL97" s="6">
        <v>0</v>
      </c>
      <c r="BM97" s="6">
        <v>0</v>
      </c>
      <c r="BN97" s="6">
        <v>0</v>
      </c>
      <c r="BO97" s="7">
        <v>318</v>
      </c>
      <c r="BP97" s="7">
        <v>884</v>
      </c>
      <c r="BQ97" s="7">
        <v>1086</v>
      </c>
      <c r="BR97" s="7">
        <v>2092</v>
      </c>
      <c r="BS97" s="7">
        <v>1150</v>
      </c>
      <c r="BT97" s="7">
        <v>334</v>
      </c>
      <c r="BU97" s="7">
        <v>390</v>
      </c>
      <c r="BV97" s="7">
        <v>1598</v>
      </c>
      <c r="BW97" s="7">
        <v>1349</v>
      </c>
      <c r="BX97" s="7">
        <v>1404</v>
      </c>
      <c r="BY97" s="7">
        <v>3680</v>
      </c>
      <c r="BZ97" s="7">
        <v>772</v>
      </c>
      <c r="CA97" s="7">
        <v>1263</v>
      </c>
      <c r="CB97" s="7">
        <v>3736</v>
      </c>
      <c r="CC97" s="7">
        <v>5967</v>
      </c>
      <c r="CD97" s="7">
        <v>1856</v>
      </c>
      <c r="CE97" s="7">
        <v>1478</v>
      </c>
      <c r="CF97" s="7">
        <v>1428</v>
      </c>
      <c r="CG97" s="6">
        <v>0</v>
      </c>
      <c r="CH97" s="6">
        <v>0</v>
      </c>
      <c r="CI97" s="6">
        <v>0</v>
      </c>
      <c r="CJ97" s="6">
        <v>3.1</v>
      </c>
      <c r="CK97" s="6">
        <v>0</v>
      </c>
      <c r="CL97" s="6">
        <v>0</v>
      </c>
    </row>
    <row r="98" spans="1:90" x14ac:dyDescent="0.35">
      <c r="B98" s="12" t="s">
        <v>349</v>
      </c>
      <c r="C98" s="6">
        <v>615</v>
      </c>
      <c r="D98" s="6">
        <v>2546</v>
      </c>
      <c r="E98" s="6">
        <v>24.5</v>
      </c>
      <c r="F98" s="6">
        <v>0</v>
      </c>
      <c r="G98" s="6">
        <v>24.5</v>
      </c>
      <c r="H98" s="6">
        <v>53</v>
      </c>
      <c r="I98" s="6">
        <v>0</v>
      </c>
      <c r="J98" s="6">
        <v>53</v>
      </c>
      <c r="K98" s="6">
        <v>0</v>
      </c>
      <c r="L98" s="6">
        <v>7.1</v>
      </c>
      <c r="M98" s="6">
        <v>3.3</v>
      </c>
      <c r="N98" s="6">
        <v>3.8</v>
      </c>
      <c r="O98" s="6">
        <v>6.9</v>
      </c>
      <c r="P98" s="6">
        <v>0</v>
      </c>
      <c r="Q98" s="6">
        <v>1.9</v>
      </c>
      <c r="R98" s="6">
        <v>1.3</v>
      </c>
      <c r="S98" s="6">
        <v>37</v>
      </c>
      <c r="T98" s="6">
        <v>400</v>
      </c>
      <c r="U98" s="6">
        <v>810</v>
      </c>
      <c r="V98" s="6">
        <v>410</v>
      </c>
      <c r="W98" s="6">
        <v>2.9</v>
      </c>
      <c r="X98" s="6">
        <v>180</v>
      </c>
      <c r="Y98" s="6">
        <v>0.54</v>
      </c>
      <c r="Z98" s="6">
        <v>4</v>
      </c>
      <c r="AA98" s="6">
        <v>660</v>
      </c>
      <c r="AB98" s="6">
        <v>19</v>
      </c>
      <c r="AC98" s="6">
        <v>1.9</v>
      </c>
      <c r="AD98" s="6">
        <v>360</v>
      </c>
      <c r="AE98" s="6">
        <v>0.18</v>
      </c>
      <c r="AF98" s="6">
        <v>0.1</v>
      </c>
      <c r="AG98" s="6">
        <v>0</v>
      </c>
      <c r="AH98" s="6">
        <v>13.6</v>
      </c>
      <c r="AI98" s="6">
        <v>0.63</v>
      </c>
      <c r="AJ98" s="6">
        <v>52</v>
      </c>
      <c r="AK98" s="6">
        <v>1.7</v>
      </c>
      <c r="AL98" s="6">
        <v>102</v>
      </c>
      <c r="AM98" s="6">
        <v>0</v>
      </c>
      <c r="AN98" s="6">
        <v>0</v>
      </c>
      <c r="AO98" s="6">
        <v>0</v>
      </c>
      <c r="AP98" s="6">
        <v>0</v>
      </c>
      <c r="AQ98" s="6">
        <v>0.66</v>
      </c>
      <c r="AR98" s="6">
        <v>0</v>
      </c>
      <c r="AS98" s="6">
        <v>0.31</v>
      </c>
      <c r="AT98" s="6">
        <v>7.5579999999999998</v>
      </c>
      <c r="AU98" s="6">
        <v>0</v>
      </c>
      <c r="AV98" s="6">
        <v>0</v>
      </c>
      <c r="AW98" s="6">
        <v>0.24399999999999999</v>
      </c>
      <c r="AX98" s="6">
        <v>5.3639999999999999</v>
      </c>
      <c r="AY98" s="6">
        <v>1.357</v>
      </c>
      <c r="AZ98" s="6">
        <v>0.59399999999999997</v>
      </c>
      <c r="BA98" s="6">
        <v>0</v>
      </c>
      <c r="BB98" s="6">
        <v>24.433</v>
      </c>
      <c r="BC98" s="6">
        <v>0</v>
      </c>
      <c r="BD98" s="6">
        <v>0</v>
      </c>
      <c r="BE98" s="6">
        <v>23.882000000000001</v>
      </c>
      <c r="BF98" s="6">
        <v>0.55100000000000005</v>
      </c>
      <c r="BG98" s="6">
        <v>0</v>
      </c>
      <c r="BH98" s="6">
        <v>15.041</v>
      </c>
      <c r="BI98" s="6">
        <v>14.564</v>
      </c>
      <c r="BJ98" s="6">
        <v>0.47699999999999998</v>
      </c>
      <c r="BK98" s="6">
        <v>0</v>
      </c>
      <c r="BL98" s="6">
        <v>0</v>
      </c>
      <c r="BM98" s="6">
        <v>0</v>
      </c>
      <c r="BN98" s="6">
        <v>0</v>
      </c>
      <c r="BO98" s="7">
        <v>269</v>
      </c>
      <c r="BP98" s="7">
        <v>747</v>
      </c>
      <c r="BQ98" s="7">
        <v>917</v>
      </c>
      <c r="BR98" s="7">
        <v>1767</v>
      </c>
      <c r="BS98" s="7">
        <v>972</v>
      </c>
      <c r="BT98" s="7">
        <v>282</v>
      </c>
      <c r="BU98" s="7">
        <v>329</v>
      </c>
      <c r="BV98" s="7">
        <v>1350</v>
      </c>
      <c r="BW98" s="7">
        <v>1140</v>
      </c>
      <c r="BX98" s="7">
        <v>1186</v>
      </c>
      <c r="BY98" s="7">
        <v>3109</v>
      </c>
      <c r="BZ98" s="7">
        <v>652</v>
      </c>
      <c r="CA98" s="7">
        <v>1067</v>
      </c>
      <c r="CB98" s="7">
        <v>3156</v>
      </c>
      <c r="CC98" s="7">
        <v>5041</v>
      </c>
      <c r="CD98" s="7">
        <v>1568</v>
      </c>
      <c r="CE98" s="7">
        <v>1249</v>
      </c>
      <c r="CF98" s="7">
        <v>1206</v>
      </c>
      <c r="CG98" s="6">
        <v>0</v>
      </c>
      <c r="CH98" s="6">
        <v>0</v>
      </c>
      <c r="CI98" s="6">
        <v>0</v>
      </c>
      <c r="CJ98" s="6">
        <v>3.8</v>
      </c>
      <c r="CK98" s="6">
        <v>0</v>
      </c>
      <c r="CL98" s="6">
        <v>0</v>
      </c>
    </row>
    <row r="99" spans="1:90" x14ac:dyDescent="0.35">
      <c r="B99" s="12" t="s">
        <v>350</v>
      </c>
      <c r="C99" s="6">
        <v>723</v>
      </c>
      <c r="D99" s="6">
        <v>2981</v>
      </c>
      <c r="E99" s="6">
        <v>7.2</v>
      </c>
      <c r="F99" s="6">
        <v>0</v>
      </c>
      <c r="G99" s="6">
        <v>7.2</v>
      </c>
      <c r="H99" s="6">
        <v>71.8</v>
      </c>
      <c r="I99" s="6">
        <v>0</v>
      </c>
      <c r="J99" s="6">
        <v>71.8</v>
      </c>
      <c r="K99" s="6">
        <v>0</v>
      </c>
      <c r="L99" s="6">
        <v>7.9</v>
      </c>
      <c r="M99" s="6">
        <v>3.6</v>
      </c>
      <c r="N99" s="6">
        <v>4.3</v>
      </c>
      <c r="O99" s="6">
        <v>9.4</v>
      </c>
      <c r="P99" s="6">
        <v>0</v>
      </c>
      <c r="Q99" s="6">
        <v>5</v>
      </c>
      <c r="R99" s="6">
        <v>2.1</v>
      </c>
      <c r="S99" s="6">
        <v>83</v>
      </c>
      <c r="T99" s="6">
        <v>2</v>
      </c>
      <c r="U99" s="6">
        <v>368</v>
      </c>
      <c r="V99" s="6">
        <v>380</v>
      </c>
      <c r="W99" s="6">
        <v>2.7</v>
      </c>
      <c r="X99" s="6">
        <v>131</v>
      </c>
      <c r="Y99" s="6">
        <v>1.5</v>
      </c>
      <c r="Z99" s="6">
        <v>3.1</v>
      </c>
      <c r="AA99" s="6">
        <v>15</v>
      </c>
      <c r="AB99" s="6">
        <v>9</v>
      </c>
      <c r="AC99" s="6">
        <v>4.5999999999999996</v>
      </c>
      <c r="AD99" s="6">
        <v>140</v>
      </c>
      <c r="AE99" s="6">
        <v>0.45</v>
      </c>
      <c r="AF99" s="6">
        <v>0.1</v>
      </c>
      <c r="AG99" s="51">
        <v>0.5</v>
      </c>
      <c r="AH99" s="6">
        <v>1.9</v>
      </c>
      <c r="AI99" s="6">
        <v>0.19</v>
      </c>
      <c r="AJ99" s="6">
        <v>39</v>
      </c>
      <c r="AK99" s="6">
        <v>1.71</v>
      </c>
      <c r="AL99" s="6">
        <v>19</v>
      </c>
      <c r="AM99" s="6">
        <v>0</v>
      </c>
      <c r="AN99" s="6">
        <v>8</v>
      </c>
      <c r="AO99" s="6">
        <v>0</v>
      </c>
      <c r="AP99" s="6">
        <v>48</v>
      </c>
      <c r="AQ99" s="6">
        <v>3</v>
      </c>
      <c r="AR99" s="6">
        <v>0</v>
      </c>
      <c r="AS99" s="6">
        <v>3.5</v>
      </c>
      <c r="AT99" s="6">
        <v>6.165</v>
      </c>
      <c r="AU99" s="6">
        <v>0</v>
      </c>
      <c r="AV99" s="6">
        <v>0</v>
      </c>
      <c r="AW99" s="6">
        <v>0</v>
      </c>
      <c r="AX99" s="6">
        <v>4.3559999999999999</v>
      </c>
      <c r="AY99" s="6">
        <v>1.7410000000000001</v>
      </c>
      <c r="AZ99" s="6">
        <v>6.9000000000000006E-2</v>
      </c>
      <c r="BA99" s="6">
        <v>0</v>
      </c>
      <c r="BB99" s="6">
        <v>40.704999999999998</v>
      </c>
      <c r="BC99" s="6">
        <v>0</v>
      </c>
      <c r="BD99" s="6">
        <v>0</v>
      </c>
      <c r="BE99" s="6">
        <v>40.497999999999998</v>
      </c>
      <c r="BF99" s="6">
        <v>0.20699999999999999</v>
      </c>
      <c r="BG99" s="6">
        <v>0</v>
      </c>
      <c r="BH99" s="6">
        <v>21.562999999999999</v>
      </c>
      <c r="BI99" s="6">
        <v>20.579000000000001</v>
      </c>
      <c r="BJ99" s="6">
        <v>0.98399999999999999</v>
      </c>
      <c r="BK99" s="6">
        <v>0</v>
      </c>
      <c r="BL99" s="6">
        <v>0</v>
      </c>
      <c r="BM99" s="6">
        <v>0</v>
      </c>
      <c r="BN99" s="6">
        <v>0</v>
      </c>
      <c r="BO99" s="7">
        <v>103</v>
      </c>
      <c r="BP99" s="7">
        <v>202</v>
      </c>
      <c r="BQ99" s="7">
        <v>290</v>
      </c>
      <c r="BR99" s="7">
        <v>488</v>
      </c>
      <c r="BS99" s="7">
        <v>230</v>
      </c>
      <c r="BT99" s="7">
        <v>133</v>
      </c>
      <c r="BU99" s="7">
        <v>117</v>
      </c>
      <c r="BV99" s="7">
        <v>345</v>
      </c>
      <c r="BW99" s="7">
        <v>231</v>
      </c>
      <c r="BX99" s="7">
        <v>349</v>
      </c>
      <c r="BY99" s="7">
        <v>886</v>
      </c>
      <c r="BZ99" s="7">
        <v>168</v>
      </c>
      <c r="CA99" s="7">
        <v>316</v>
      </c>
      <c r="CB99" s="7">
        <v>676</v>
      </c>
      <c r="CC99" s="7">
        <v>1405</v>
      </c>
      <c r="CD99" s="7">
        <v>345</v>
      </c>
      <c r="CE99" s="7">
        <v>338</v>
      </c>
      <c r="CF99" s="7">
        <v>351</v>
      </c>
      <c r="CG99" s="6">
        <v>0.3</v>
      </c>
      <c r="CH99" s="6">
        <v>0.3</v>
      </c>
      <c r="CI99" s="6">
        <v>0</v>
      </c>
      <c r="CJ99" s="6">
        <v>3.7</v>
      </c>
      <c r="CK99" s="6">
        <v>0</v>
      </c>
      <c r="CL99" s="6">
        <v>0</v>
      </c>
    </row>
    <row r="100" spans="1:90" x14ac:dyDescent="0.35">
      <c r="B100" s="12" t="s">
        <v>232</v>
      </c>
      <c r="C100" s="6">
        <v>604</v>
      </c>
      <c r="D100" s="6">
        <v>2503</v>
      </c>
      <c r="E100" s="6">
        <v>31.9</v>
      </c>
      <c r="F100" s="6">
        <v>0</v>
      </c>
      <c r="G100" s="6">
        <v>31.9</v>
      </c>
      <c r="H100" s="6">
        <v>50.3</v>
      </c>
      <c r="I100" s="6">
        <v>0</v>
      </c>
      <c r="J100" s="6">
        <v>50.3</v>
      </c>
      <c r="K100" s="6">
        <v>0</v>
      </c>
      <c r="L100" s="6">
        <v>4</v>
      </c>
      <c r="M100" s="6">
        <v>0.1</v>
      </c>
      <c r="N100" s="6">
        <v>3.9</v>
      </c>
      <c r="O100" s="6">
        <v>4.5</v>
      </c>
      <c r="P100" s="6">
        <v>0</v>
      </c>
      <c r="Q100" s="6">
        <v>4.3</v>
      </c>
      <c r="R100" s="6">
        <v>2</v>
      </c>
      <c r="S100" s="6">
        <v>40</v>
      </c>
      <c r="T100" s="6">
        <v>1</v>
      </c>
      <c r="U100" s="6">
        <v>780</v>
      </c>
      <c r="V100" s="6">
        <v>466</v>
      </c>
      <c r="W100" s="6">
        <v>6.5</v>
      </c>
      <c r="X100" s="6">
        <v>270</v>
      </c>
      <c r="Y100" s="6">
        <v>1.32</v>
      </c>
      <c r="Z100" s="6">
        <v>0.7</v>
      </c>
      <c r="AA100" s="6">
        <v>41</v>
      </c>
      <c r="AB100" s="6">
        <v>2</v>
      </c>
      <c r="AC100" s="6">
        <v>7.9</v>
      </c>
      <c r="AD100" s="6">
        <v>150</v>
      </c>
      <c r="AE100" s="6">
        <v>0.39</v>
      </c>
      <c r="AF100" s="6">
        <v>0.25</v>
      </c>
      <c r="AG100" s="6">
        <v>0</v>
      </c>
      <c r="AH100" s="6">
        <v>2.7</v>
      </c>
      <c r="AI100" s="6">
        <v>0.09</v>
      </c>
      <c r="AJ100" s="6">
        <v>34</v>
      </c>
      <c r="AK100" s="6">
        <v>0.31</v>
      </c>
      <c r="AL100" s="6">
        <v>64</v>
      </c>
      <c r="AM100" s="6">
        <v>0</v>
      </c>
      <c r="AN100" s="6">
        <v>9</v>
      </c>
      <c r="AO100" s="6">
        <v>0</v>
      </c>
      <c r="AP100" s="6">
        <v>54</v>
      </c>
      <c r="AQ100" s="6">
        <v>13.65</v>
      </c>
      <c r="AR100" s="6">
        <v>0</v>
      </c>
      <c r="AS100" s="6">
        <v>53.9</v>
      </c>
      <c r="AT100" s="6">
        <v>3.6040000000000001</v>
      </c>
      <c r="AU100" s="6">
        <v>0</v>
      </c>
      <c r="AV100" s="6">
        <v>0</v>
      </c>
      <c r="AW100" s="6">
        <v>0</v>
      </c>
      <c r="AX100" s="6">
        <v>2.363</v>
      </c>
      <c r="AY100" s="6">
        <v>1.0229999999999999</v>
      </c>
      <c r="AZ100" s="6">
        <v>0.16800000000000001</v>
      </c>
      <c r="BA100" s="6">
        <v>0.05</v>
      </c>
      <c r="BB100" s="6">
        <v>13.805</v>
      </c>
      <c r="BC100" s="6">
        <v>0</v>
      </c>
      <c r="BD100" s="6">
        <v>1.2999999999999999E-2</v>
      </c>
      <c r="BE100" s="6">
        <v>13.204000000000001</v>
      </c>
      <c r="BF100" s="6">
        <v>0.58899999999999997</v>
      </c>
      <c r="BG100" s="6">
        <v>0</v>
      </c>
      <c r="BH100" s="6">
        <v>25.065999999999999</v>
      </c>
      <c r="BI100" s="6">
        <v>24.388999999999999</v>
      </c>
      <c r="BJ100" s="6">
        <v>0.121</v>
      </c>
      <c r="BK100" s="6">
        <v>0</v>
      </c>
      <c r="BL100" s="6">
        <v>0</v>
      </c>
      <c r="BM100" s="6">
        <v>0</v>
      </c>
      <c r="BN100" s="6">
        <v>0.56000000000000005</v>
      </c>
      <c r="BO100" s="7">
        <v>300</v>
      </c>
      <c r="BP100" s="7">
        <v>804</v>
      </c>
      <c r="BQ100" s="7">
        <v>991</v>
      </c>
      <c r="BR100" s="7">
        <v>2121</v>
      </c>
      <c r="BS100" s="7">
        <v>754</v>
      </c>
      <c r="BT100" s="7">
        <v>731</v>
      </c>
      <c r="BU100" s="7">
        <v>942</v>
      </c>
      <c r="BV100" s="7">
        <v>1044</v>
      </c>
      <c r="BW100" s="7">
        <v>1242</v>
      </c>
      <c r="BX100" s="7">
        <v>1594</v>
      </c>
      <c r="BY100" s="7">
        <v>6229</v>
      </c>
      <c r="BZ100" s="7">
        <v>642</v>
      </c>
      <c r="CA100" s="7">
        <v>1469</v>
      </c>
      <c r="CB100" s="7">
        <v>2820</v>
      </c>
      <c r="CC100" s="7">
        <v>6740</v>
      </c>
      <c r="CD100" s="7">
        <v>1502</v>
      </c>
      <c r="CE100" s="7">
        <v>1716</v>
      </c>
      <c r="CF100" s="7">
        <v>1726</v>
      </c>
      <c r="CG100" s="6">
        <v>0.1</v>
      </c>
      <c r="CH100" s="6">
        <v>0.1</v>
      </c>
      <c r="CI100" s="6">
        <v>0</v>
      </c>
      <c r="CJ100" s="6">
        <v>3.7</v>
      </c>
      <c r="CK100" s="6">
        <v>0</v>
      </c>
      <c r="CL100" s="6">
        <v>0</v>
      </c>
    </row>
    <row r="101" spans="1:90" x14ac:dyDescent="0.35">
      <c r="B101" s="12" t="s">
        <v>352</v>
      </c>
      <c r="C101" s="6">
        <v>595</v>
      </c>
      <c r="D101" s="6">
        <v>2462</v>
      </c>
      <c r="E101" s="6">
        <v>24.3</v>
      </c>
      <c r="F101" s="6">
        <v>0</v>
      </c>
      <c r="G101" s="6">
        <v>24.3</v>
      </c>
      <c r="H101" s="6">
        <v>48.9</v>
      </c>
      <c r="I101" s="6">
        <v>0</v>
      </c>
      <c r="J101" s="6">
        <v>48.9</v>
      </c>
      <c r="K101" s="6">
        <v>0</v>
      </c>
      <c r="L101" s="6">
        <v>7.3</v>
      </c>
      <c r="M101" s="51">
        <v>0.05</v>
      </c>
      <c r="N101" s="6">
        <v>7.3</v>
      </c>
      <c r="O101" s="6">
        <v>15.3</v>
      </c>
      <c r="P101" s="6">
        <v>0</v>
      </c>
      <c r="Q101" s="6">
        <v>5.3</v>
      </c>
      <c r="R101" s="6">
        <v>4.5</v>
      </c>
      <c r="S101" s="6">
        <v>114</v>
      </c>
      <c r="T101" s="51">
        <v>0.5</v>
      </c>
      <c r="U101" s="6">
        <v>962</v>
      </c>
      <c r="V101" s="6">
        <v>416</v>
      </c>
      <c r="W101" s="6">
        <v>2.1</v>
      </c>
      <c r="X101" s="6">
        <v>121</v>
      </c>
      <c r="Y101" s="6">
        <v>1.2</v>
      </c>
      <c r="Z101" s="6">
        <v>8</v>
      </c>
      <c r="AA101" s="6">
        <v>7</v>
      </c>
      <c r="AB101" s="6">
        <v>6.2</v>
      </c>
      <c r="AC101" s="6">
        <v>0.3</v>
      </c>
      <c r="AD101" s="6">
        <v>160</v>
      </c>
      <c r="AE101" s="6">
        <v>0.51</v>
      </c>
      <c r="AF101" s="6">
        <v>0.19</v>
      </c>
      <c r="AG101" s="6">
        <v>2</v>
      </c>
      <c r="AH101" s="6">
        <v>1.4</v>
      </c>
      <c r="AI101" s="6">
        <v>1.89</v>
      </c>
      <c r="AJ101" s="6">
        <v>51</v>
      </c>
      <c r="AK101" s="6">
        <v>0.52</v>
      </c>
      <c r="AL101" s="6">
        <v>30</v>
      </c>
      <c r="AM101" s="6">
        <v>0</v>
      </c>
      <c r="AN101" s="6">
        <v>33</v>
      </c>
      <c r="AO101" s="6">
        <v>0</v>
      </c>
      <c r="AP101" s="6">
        <v>200</v>
      </c>
      <c r="AQ101" s="6">
        <v>0.14000000000000001</v>
      </c>
      <c r="AR101" s="6">
        <v>0</v>
      </c>
      <c r="AS101" s="6">
        <v>60</v>
      </c>
      <c r="AT101" s="6">
        <v>5.43</v>
      </c>
      <c r="AU101" s="6">
        <v>0</v>
      </c>
      <c r="AV101" s="6">
        <v>0</v>
      </c>
      <c r="AW101" s="6">
        <v>0.04</v>
      </c>
      <c r="AX101" s="6">
        <v>4.3499999999999996</v>
      </c>
      <c r="AY101" s="6">
        <v>0.91</v>
      </c>
      <c r="AZ101" s="6">
        <v>0.08</v>
      </c>
      <c r="BA101" s="6">
        <v>0.04</v>
      </c>
      <c r="BB101" s="6">
        <v>33.729999999999997</v>
      </c>
      <c r="BC101" s="6">
        <v>0</v>
      </c>
      <c r="BD101" s="6">
        <v>0.41</v>
      </c>
      <c r="BE101" s="6">
        <v>33.15</v>
      </c>
      <c r="BF101" s="6">
        <v>0.16</v>
      </c>
      <c r="BG101" s="6">
        <v>0</v>
      </c>
      <c r="BH101" s="6">
        <v>7.56</v>
      </c>
      <c r="BI101" s="6">
        <v>7.38</v>
      </c>
      <c r="BJ101" s="6">
        <v>0.18</v>
      </c>
      <c r="BK101" s="6">
        <v>0</v>
      </c>
      <c r="BL101" s="6">
        <v>0</v>
      </c>
      <c r="BM101" s="6">
        <v>0</v>
      </c>
      <c r="BN101" s="6">
        <v>0</v>
      </c>
      <c r="BO101" s="7">
        <v>194</v>
      </c>
      <c r="BP101" s="7">
        <v>887</v>
      </c>
      <c r="BQ101" s="7">
        <v>1050</v>
      </c>
      <c r="BR101" s="7">
        <v>1702</v>
      </c>
      <c r="BS101" s="7">
        <v>758</v>
      </c>
      <c r="BT101" s="7">
        <v>279</v>
      </c>
      <c r="BU101" s="7">
        <v>438</v>
      </c>
      <c r="BV101" s="7">
        <v>1318</v>
      </c>
      <c r="BW101" s="7">
        <v>861</v>
      </c>
      <c r="BX101" s="7">
        <v>1253</v>
      </c>
      <c r="BY101" s="7">
        <v>3042</v>
      </c>
      <c r="BZ101" s="7">
        <v>585</v>
      </c>
      <c r="CA101" s="7">
        <v>1148</v>
      </c>
      <c r="CB101" s="7">
        <v>2674</v>
      </c>
      <c r="CC101" s="7">
        <v>5808</v>
      </c>
      <c r="CD101" s="7">
        <v>1420</v>
      </c>
      <c r="CE101" s="7">
        <v>972</v>
      </c>
      <c r="CF101" s="7">
        <v>1100</v>
      </c>
      <c r="CG101" s="6">
        <v>0.1</v>
      </c>
      <c r="CH101" s="6">
        <v>0.1</v>
      </c>
      <c r="CI101" s="6">
        <v>0</v>
      </c>
      <c r="CJ101" s="6">
        <v>3.7</v>
      </c>
      <c r="CK101" s="6">
        <v>0.1</v>
      </c>
      <c r="CL101" s="6">
        <v>0</v>
      </c>
    </row>
    <row r="102" spans="1:90" x14ac:dyDescent="0.35">
      <c r="B102" s="12" t="s">
        <v>347</v>
      </c>
      <c r="C102" s="6">
        <v>629</v>
      </c>
      <c r="D102" s="6">
        <v>2598</v>
      </c>
      <c r="E102" s="6">
        <v>18.100000000000001</v>
      </c>
      <c r="F102" s="6">
        <v>0</v>
      </c>
      <c r="G102" s="6">
        <v>18.100000000000001</v>
      </c>
      <c r="H102" s="6">
        <v>56.1</v>
      </c>
      <c r="I102" s="6">
        <v>0</v>
      </c>
      <c r="J102" s="6">
        <v>56.1</v>
      </c>
      <c r="K102" s="6">
        <v>0</v>
      </c>
      <c r="L102" s="6">
        <v>8.1</v>
      </c>
      <c r="M102" s="6">
        <v>3.6</v>
      </c>
      <c r="N102" s="6">
        <v>4.5</v>
      </c>
      <c r="O102" s="6">
        <v>10.6</v>
      </c>
      <c r="P102" s="6">
        <v>0</v>
      </c>
      <c r="Q102" s="6">
        <v>3.9</v>
      </c>
      <c r="R102" s="6">
        <v>7.3</v>
      </c>
      <c r="S102" s="6">
        <v>131</v>
      </c>
      <c r="T102" s="6">
        <v>1</v>
      </c>
      <c r="U102" s="6">
        <v>972</v>
      </c>
      <c r="V102" s="6">
        <v>500</v>
      </c>
      <c r="W102" s="6">
        <v>2.37</v>
      </c>
      <c r="X102" s="6">
        <v>158</v>
      </c>
      <c r="Y102" s="6">
        <v>0.75</v>
      </c>
      <c r="Z102" s="6">
        <v>8</v>
      </c>
      <c r="AA102" s="6">
        <v>7</v>
      </c>
      <c r="AB102" s="6">
        <v>6.2</v>
      </c>
      <c r="AC102" s="6">
        <v>1.2</v>
      </c>
      <c r="AD102" s="6">
        <v>160</v>
      </c>
      <c r="AE102" s="6">
        <v>0.67</v>
      </c>
      <c r="AF102" s="6">
        <v>0.1</v>
      </c>
      <c r="AG102" s="6">
        <v>2</v>
      </c>
      <c r="AH102" s="6">
        <v>1.4</v>
      </c>
      <c r="AI102" s="6">
        <v>1.7</v>
      </c>
      <c r="AJ102" s="6">
        <v>51</v>
      </c>
      <c r="AK102" s="6">
        <v>0.52</v>
      </c>
      <c r="AL102" s="6">
        <v>30</v>
      </c>
      <c r="AM102" s="6">
        <v>0</v>
      </c>
      <c r="AN102" s="6">
        <v>43</v>
      </c>
      <c r="AO102" s="6">
        <v>0</v>
      </c>
      <c r="AP102" s="6">
        <v>258</v>
      </c>
      <c r="AQ102" s="6">
        <v>4.57</v>
      </c>
      <c r="AR102" s="6">
        <v>0</v>
      </c>
      <c r="AS102" s="6">
        <v>60</v>
      </c>
      <c r="AT102" s="6">
        <v>5.61</v>
      </c>
      <c r="AU102" s="6">
        <v>0</v>
      </c>
      <c r="AV102" s="6">
        <v>0</v>
      </c>
      <c r="AW102" s="6">
        <v>0</v>
      </c>
      <c r="AX102" s="6">
        <v>4.49</v>
      </c>
      <c r="AY102" s="6">
        <v>1.1200000000000001</v>
      </c>
      <c r="AZ102" s="6">
        <v>0</v>
      </c>
      <c r="BA102" s="6">
        <v>0</v>
      </c>
      <c r="BB102" s="6">
        <v>36.47</v>
      </c>
      <c r="BC102" s="6">
        <v>0</v>
      </c>
      <c r="BD102" s="6">
        <v>0</v>
      </c>
      <c r="BE102" s="6">
        <v>36.47</v>
      </c>
      <c r="BF102" s="6">
        <v>0</v>
      </c>
      <c r="BG102" s="6">
        <v>0</v>
      </c>
      <c r="BH102" s="6">
        <v>10.66</v>
      </c>
      <c r="BI102" s="6">
        <v>10.66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7">
        <v>145</v>
      </c>
      <c r="BP102" s="7">
        <v>661</v>
      </c>
      <c r="BQ102" s="7">
        <v>782</v>
      </c>
      <c r="BR102" s="7">
        <v>1268</v>
      </c>
      <c r="BS102" s="7">
        <v>565</v>
      </c>
      <c r="BT102" s="7">
        <v>208</v>
      </c>
      <c r="BU102" s="7">
        <v>326</v>
      </c>
      <c r="BV102" s="7">
        <v>982</v>
      </c>
      <c r="BW102" s="7">
        <v>641</v>
      </c>
      <c r="BX102" s="7">
        <v>933</v>
      </c>
      <c r="BY102" s="7">
        <v>2266</v>
      </c>
      <c r="BZ102" s="7">
        <v>436</v>
      </c>
      <c r="CA102" s="7">
        <v>855</v>
      </c>
      <c r="CB102" s="7">
        <v>1992</v>
      </c>
      <c r="CC102" s="7">
        <v>4326</v>
      </c>
      <c r="CD102" s="7">
        <v>1058</v>
      </c>
      <c r="CE102" s="7">
        <v>724</v>
      </c>
      <c r="CF102" s="7">
        <v>819</v>
      </c>
      <c r="CG102" s="6">
        <v>0.2</v>
      </c>
      <c r="CH102" s="6">
        <v>0.1</v>
      </c>
      <c r="CI102" s="6">
        <v>0</v>
      </c>
      <c r="CJ102" s="6">
        <v>4</v>
      </c>
      <c r="CK102" s="6">
        <v>0.1</v>
      </c>
      <c r="CL102" s="6">
        <v>0</v>
      </c>
    </row>
    <row r="103" spans="1:90" x14ac:dyDescent="0.35">
      <c r="B103" s="12" t="s">
        <v>346</v>
      </c>
      <c r="C103" s="6">
        <v>409</v>
      </c>
      <c r="D103" s="6">
        <v>1698</v>
      </c>
      <c r="E103" s="6">
        <v>12.8</v>
      </c>
      <c r="F103" s="6">
        <v>0</v>
      </c>
      <c r="G103" s="6">
        <v>12.8</v>
      </c>
      <c r="H103" s="6">
        <v>32.6</v>
      </c>
      <c r="I103" s="6">
        <v>0</v>
      </c>
      <c r="J103" s="6">
        <v>32.6</v>
      </c>
      <c r="K103" s="6">
        <v>0</v>
      </c>
      <c r="L103" s="6">
        <v>16.399999999999999</v>
      </c>
      <c r="M103" s="6">
        <v>7.3</v>
      </c>
      <c r="N103" s="6">
        <v>9.1</v>
      </c>
      <c r="O103" s="6">
        <v>1.5</v>
      </c>
      <c r="P103" s="6">
        <v>0</v>
      </c>
      <c r="Q103" s="6">
        <v>35.200000000000003</v>
      </c>
      <c r="R103" s="6">
        <v>2.8</v>
      </c>
      <c r="S103" s="6">
        <v>65</v>
      </c>
      <c r="T103" s="6">
        <v>9</v>
      </c>
      <c r="U103" s="6">
        <v>501</v>
      </c>
      <c r="V103" s="6">
        <v>164</v>
      </c>
      <c r="W103" s="6">
        <v>2.37</v>
      </c>
      <c r="X103" s="6">
        <v>158</v>
      </c>
      <c r="Y103" s="6">
        <v>0.75</v>
      </c>
      <c r="Z103" s="6">
        <v>8</v>
      </c>
      <c r="AA103" s="6">
        <v>7</v>
      </c>
      <c r="AB103" s="6">
        <v>6.2</v>
      </c>
      <c r="AC103" s="6">
        <v>1.2</v>
      </c>
      <c r="AD103" s="6">
        <v>160</v>
      </c>
      <c r="AE103" s="6">
        <v>0.5</v>
      </c>
      <c r="AF103" s="6">
        <v>0.3</v>
      </c>
      <c r="AG103" s="6">
        <v>1</v>
      </c>
      <c r="AH103" s="6">
        <v>1</v>
      </c>
      <c r="AI103" s="6">
        <v>1.7</v>
      </c>
      <c r="AJ103" s="6">
        <v>51</v>
      </c>
      <c r="AK103" s="6">
        <v>0.52</v>
      </c>
      <c r="AL103" s="6">
        <v>30</v>
      </c>
      <c r="AM103" s="6">
        <v>0</v>
      </c>
      <c r="AN103" s="6">
        <v>87</v>
      </c>
      <c r="AO103" s="6">
        <v>0</v>
      </c>
      <c r="AP103" s="6">
        <v>522</v>
      </c>
      <c r="AQ103" s="6">
        <v>4.57</v>
      </c>
      <c r="AR103" s="6">
        <v>0</v>
      </c>
      <c r="AS103" s="6">
        <v>60</v>
      </c>
      <c r="AT103" s="6">
        <v>3.26</v>
      </c>
      <c r="AU103" s="6">
        <v>0</v>
      </c>
      <c r="AV103" s="6">
        <v>0</v>
      </c>
      <c r="AW103" s="6">
        <v>0</v>
      </c>
      <c r="AX103" s="6">
        <v>2.609</v>
      </c>
      <c r="AY103" s="6">
        <v>0.65100000000000002</v>
      </c>
      <c r="AZ103" s="6">
        <v>0</v>
      </c>
      <c r="BA103" s="6">
        <v>0</v>
      </c>
      <c r="BB103" s="6">
        <v>21.193000000000001</v>
      </c>
      <c r="BC103" s="6">
        <v>0</v>
      </c>
      <c r="BD103" s="6">
        <v>0</v>
      </c>
      <c r="BE103" s="6">
        <v>21.193000000000001</v>
      </c>
      <c r="BF103" s="6">
        <v>0</v>
      </c>
      <c r="BG103" s="6">
        <v>0</v>
      </c>
      <c r="BH103" s="6">
        <v>6.1950000000000003</v>
      </c>
      <c r="BI103" s="6">
        <v>6.1950000000000003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7">
        <v>103</v>
      </c>
      <c r="BP103" s="7">
        <v>467</v>
      </c>
      <c r="BQ103" s="7">
        <v>553</v>
      </c>
      <c r="BR103" s="7">
        <v>897</v>
      </c>
      <c r="BS103" s="7">
        <v>400</v>
      </c>
      <c r="BT103" s="7">
        <v>147</v>
      </c>
      <c r="BU103" s="7">
        <v>231</v>
      </c>
      <c r="BV103" s="7">
        <v>694</v>
      </c>
      <c r="BW103" s="7">
        <v>453</v>
      </c>
      <c r="BX103" s="7">
        <v>660</v>
      </c>
      <c r="BY103" s="7">
        <v>1602</v>
      </c>
      <c r="BZ103" s="7">
        <v>308</v>
      </c>
      <c r="CA103" s="7">
        <v>605</v>
      </c>
      <c r="CB103" s="7">
        <v>1409</v>
      </c>
      <c r="CC103" s="7">
        <v>3059</v>
      </c>
      <c r="CD103" s="7">
        <v>748</v>
      </c>
      <c r="CE103" s="7">
        <v>512</v>
      </c>
      <c r="CF103" s="7">
        <v>579</v>
      </c>
      <c r="CG103" s="6">
        <v>0.4</v>
      </c>
      <c r="CH103" s="6">
        <v>0.3</v>
      </c>
      <c r="CI103" s="6">
        <v>0</v>
      </c>
      <c r="CJ103" s="6">
        <v>8.1999999999999993</v>
      </c>
      <c r="CK103" s="6">
        <v>0.2</v>
      </c>
      <c r="CL103" s="6">
        <v>0</v>
      </c>
    </row>
    <row r="104" spans="1:90" x14ac:dyDescent="0.35">
      <c r="B104" s="12" t="s">
        <v>348</v>
      </c>
      <c r="C104" s="6">
        <v>613</v>
      </c>
      <c r="D104" s="6">
        <v>2534</v>
      </c>
      <c r="E104" s="6">
        <v>17.899999999999999</v>
      </c>
      <c r="F104" s="6">
        <v>0</v>
      </c>
      <c r="G104" s="6">
        <v>17.899999999999999</v>
      </c>
      <c r="H104" s="6">
        <v>55.4</v>
      </c>
      <c r="I104" s="6">
        <v>0</v>
      </c>
      <c r="J104" s="6">
        <v>55.4</v>
      </c>
      <c r="K104" s="6">
        <v>0</v>
      </c>
      <c r="L104" s="6">
        <v>8.1999999999999993</v>
      </c>
      <c r="M104" s="6">
        <v>2.5</v>
      </c>
      <c r="N104" s="6">
        <v>5.7</v>
      </c>
      <c r="O104" s="6">
        <v>6.1</v>
      </c>
      <c r="P104" s="6">
        <v>0</v>
      </c>
      <c r="Q104" s="6">
        <v>2.1</v>
      </c>
      <c r="R104" s="6">
        <v>3</v>
      </c>
      <c r="S104" s="6">
        <v>110</v>
      </c>
      <c r="T104" s="6">
        <v>530</v>
      </c>
      <c r="U104" s="6">
        <v>1040</v>
      </c>
      <c r="V104" s="6">
        <v>420</v>
      </c>
      <c r="W104" s="6">
        <v>2.2000000000000002</v>
      </c>
      <c r="X104" s="6">
        <v>130</v>
      </c>
      <c r="Y104" s="6">
        <v>0.83</v>
      </c>
      <c r="Z104" s="6">
        <v>6</v>
      </c>
      <c r="AA104" s="6">
        <v>810</v>
      </c>
      <c r="AB104" s="6">
        <v>6.2</v>
      </c>
      <c r="AC104" s="6">
        <v>0.9</v>
      </c>
      <c r="AD104" s="6">
        <v>160</v>
      </c>
      <c r="AE104" s="6">
        <v>0.7</v>
      </c>
      <c r="AF104" s="6">
        <v>0.23</v>
      </c>
      <c r="AG104" s="6">
        <v>0</v>
      </c>
      <c r="AH104" s="6">
        <v>1.7</v>
      </c>
      <c r="AI104" s="6">
        <v>1.1200000000000001</v>
      </c>
      <c r="AJ104" s="6">
        <v>58</v>
      </c>
      <c r="AK104" s="6">
        <v>0.51</v>
      </c>
      <c r="AL104" s="6">
        <v>30</v>
      </c>
      <c r="AM104" s="6">
        <v>0</v>
      </c>
      <c r="AN104" s="6">
        <v>22</v>
      </c>
      <c r="AO104" s="6">
        <v>0</v>
      </c>
      <c r="AP104" s="6">
        <v>130</v>
      </c>
      <c r="AQ104" s="6">
        <v>4.16</v>
      </c>
      <c r="AR104" s="6">
        <v>0</v>
      </c>
      <c r="AS104" s="6">
        <v>13.2</v>
      </c>
      <c r="AT104" s="6">
        <v>6.7439999999999998</v>
      </c>
      <c r="AU104" s="6">
        <v>0</v>
      </c>
      <c r="AV104" s="6">
        <v>0</v>
      </c>
      <c r="AW104" s="6">
        <v>2.1999999999999999E-2</v>
      </c>
      <c r="AX104" s="6">
        <v>5.97</v>
      </c>
      <c r="AY104" s="6">
        <v>0.63500000000000001</v>
      </c>
      <c r="AZ104" s="6">
        <v>6.0999999999999999E-2</v>
      </c>
      <c r="BA104" s="6">
        <v>4.8000000000000001E-2</v>
      </c>
      <c r="BB104" s="6">
        <v>29.265000000000001</v>
      </c>
      <c r="BC104" s="6">
        <v>6.0000000000000001E-3</v>
      </c>
      <c r="BD104" s="6">
        <v>0.56200000000000006</v>
      </c>
      <c r="BE104" s="6">
        <v>28.460999999999999</v>
      </c>
      <c r="BF104" s="6">
        <v>0.19400000000000001</v>
      </c>
      <c r="BG104" s="6">
        <v>6.0000000000000001E-3</v>
      </c>
      <c r="BH104" s="6">
        <v>16.622</v>
      </c>
      <c r="BI104" s="6">
        <v>16.317</v>
      </c>
      <c r="BJ104" s="6">
        <v>0.29399999999999998</v>
      </c>
      <c r="BK104" s="6">
        <v>6.0000000000000001E-3</v>
      </c>
      <c r="BL104" s="6">
        <v>0</v>
      </c>
      <c r="BM104" s="6">
        <v>0</v>
      </c>
      <c r="BN104" s="6">
        <v>0</v>
      </c>
      <c r="BO104" s="7">
        <v>243</v>
      </c>
      <c r="BP104" s="7">
        <v>601</v>
      </c>
      <c r="BQ104" s="7">
        <v>796</v>
      </c>
      <c r="BR104" s="7">
        <v>1366</v>
      </c>
      <c r="BS104" s="7">
        <v>1021</v>
      </c>
      <c r="BT104" s="7">
        <v>293</v>
      </c>
      <c r="BU104" s="7">
        <v>308</v>
      </c>
      <c r="BV104" s="7">
        <v>946</v>
      </c>
      <c r="BW104" s="7">
        <v>433</v>
      </c>
      <c r="BX104" s="7">
        <v>1078</v>
      </c>
      <c r="BY104" s="7">
        <v>1882</v>
      </c>
      <c r="BZ104" s="7">
        <v>438</v>
      </c>
      <c r="CA104" s="7">
        <v>816</v>
      </c>
      <c r="CB104" s="7">
        <v>1629</v>
      </c>
      <c r="CC104" s="7">
        <v>3471</v>
      </c>
      <c r="CD104" s="7">
        <v>848</v>
      </c>
      <c r="CE104" s="7">
        <v>721</v>
      </c>
      <c r="CF104" s="7">
        <v>1079</v>
      </c>
      <c r="CG104" s="51">
        <v>0.05</v>
      </c>
      <c r="CH104" s="51">
        <v>0.05</v>
      </c>
      <c r="CI104" s="6">
        <v>0</v>
      </c>
      <c r="CJ104" s="6">
        <v>5.7</v>
      </c>
      <c r="CK104" s="6">
        <v>0</v>
      </c>
      <c r="CL104" s="6">
        <v>0</v>
      </c>
    </row>
    <row r="105" spans="1:90" x14ac:dyDescent="0.35">
      <c r="B105" s="12" t="s">
        <v>344</v>
      </c>
      <c r="C105" s="6">
        <v>702</v>
      </c>
      <c r="D105" s="6">
        <v>2894</v>
      </c>
      <c r="E105" s="6">
        <v>14.3</v>
      </c>
      <c r="F105" s="6">
        <v>0</v>
      </c>
      <c r="G105" s="6">
        <v>14.3</v>
      </c>
      <c r="H105" s="6">
        <v>68.099999999999994</v>
      </c>
      <c r="I105" s="6">
        <v>0</v>
      </c>
      <c r="J105" s="6">
        <v>68.099999999999994</v>
      </c>
      <c r="K105" s="6">
        <v>0</v>
      </c>
      <c r="L105" s="6">
        <v>5.0999999999999996</v>
      </c>
      <c r="M105" s="6">
        <v>2</v>
      </c>
      <c r="N105" s="6">
        <v>3.1</v>
      </c>
      <c r="O105" s="6">
        <v>6.2</v>
      </c>
      <c r="P105" s="6">
        <v>0</v>
      </c>
      <c r="Q105" s="6">
        <v>3.5</v>
      </c>
      <c r="R105" s="6">
        <v>2.4</v>
      </c>
      <c r="S105" s="6">
        <v>61</v>
      </c>
      <c r="T105" s="51">
        <v>0.5</v>
      </c>
      <c r="U105" s="6">
        <v>603</v>
      </c>
      <c r="V105" s="6">
        <v>300</v>
      </c>
      <c r="W105" s="6">
        <v>5</v>
      </c>
      <c r="X105" s="6">
        <v>121</v>
      </c>
      <c r="Y105" s="6">
        <v>1</v>
      </c>
      <c r="Z105" s="6">
        <v>6</v>
      </c>
      <c r="AA105" s="6">
        <v>24</v>
      </c>
      <c r="AB105" s="6">
        <v>9</v>
      </c>
      <c r="AC105" s="6">
        <v>3.4</v>
      </c>
      <c r="AD105" s="6">
        <v>140</v>
      </c>
      <c r="AE105" s="6">
        <v>0.71</v>
      </c>
      <c r="AF105" s="6">
        <v>0.15</v>
      </c>
      <c r="AG105" s="6">
        <v>1</v>
      </c>
      <c r="AH105" s="6">
        <v>1.4</v>
      </c>
      <c r="AI105" s="6">
        <v>0.67</v>
      </c>
      <c r="AJ105" s="6">
        <v>66</v>
      </c>
      <c r="AK105" s="6">
        <v>1.6</v>
      </c>
      <c r="AL105" s="6">
        <v>19</v>
      </c>
      <c r="AM105" s="6">
        <v>0</v>
      </c>
      <c r="AN105" s="6">
        <v>8</v>
      </c>
      <c r="AO105" s="6">
        <v>0</v>
      </c>
      <c r="AP105" s="6">
        <v>48</v>
      </c>
      <c r="AQ105" s="6">
        <v>4</v>
      </c>
      <c r="AR105" s="6">
        <v>0</v>
      </c>
      <c r="AS105" s="6">
        <v>2.7</v>
      </c>
      <c r="AT105" s="6">
        <v>5.57</v>
      </c>
      <c r="AU105" s="6">
        <v>0</v>
      </c>
      <c r="AV105" s="6">
        <v>0</v>
      </c>
      <c r="AW105" s="6">
        <v>0.56000000000000005</v>
      </c>
      <c r="AX105" s="6">
        <v>3.62</v>
      </c>
      <c r="AY105" s="6">
        <v>1.05</v>
      </c>
      <c r="AZ105" s="6">
        <v>0.34</v>
      </c>
      <c r="BA105" s="6">
        <v>0</v>
      </c>
      <c r="BB105" s="6">
        <v>9.5399999999999991</v>
      </c>
      <c r="BC105" s="6">
        <v>0</v>
      </c>
      <c r="BD105" s="6">
        <v>0.16</v>
      </c>
      <c r="BE105" s="6">
        <v>9.3800000000000008</v>
      </c>
      <c r="BF105" s="6">
        <v>0</v>
      </c>
      <c r="BG105" s="6">
        <v>0</v>
      </c>
      <c r="BH105" s="6">
        <v>40.659999999999997</v>
      </c>
      <c r="BI105" s="6">
        <v>34.020000000000003</v>
      </c>
      <c r="BJ105" s="6">
        <v>6.64</v>
      </c>
      <c r="BK105" s="6">
        <v>0</v>
      </c>
      <c r="BL105" s="6">
        <v>0</v>
      </c>
      <c r="BM105" s="6">
        <v>0</v>
      </c>
      <c r="BN105" s="6">
        <v>0</v>
      </c>
      <c r="BO105" s="7">
        <v>104</v>
      </c>
      <c r="BP105" s="7">
        <v>448</v>
      </c>
      <c r="BQ105" s="7">
        <v>623</v>
      </c>
      <c r="BR105" s="7">
        <v>1011</v>
      </c>
      <c r="BS105" s="7">
        <v>389</v>
      </c>
      <c r="BT105" s="7">
        <v>275</v>
      </c>
      <c r="BU105" s="7">
        <v>217</v>
      </c>
      <c r="BV105" s="7">
        <v>642</v>
      </c>
      <c r="BW105" s="7">
        <v>453</v>
      </c>
      <c r="BX105" s="7">
        <v>745</v>
      </c>
      <c r="BY105" s="7">
        <v>2003</v>
      </c>
      <c r="BZ105" s="7">
        <v>345</v>
      </c>
      <c r="CA105" s="7">
        <v>618</v>
      </c>
      <c r="CB105" s="7">
        <v>1409</v>
      </c>
      <c r="CC105" s="7">
        <v>2800</v>
      </c>
      <c r="CD105" s="7">
        <v>698</v>
      </c>
      <c r="CE105" s="7">
        <v>645</v>
      </c>
      <c r="CF105" s="7">
        <v>734</v>
      </c>
      <c r="CG105" s="6">
        <v>0.2</v>
      </c>
      <c r="CH105" s="6">
        <v>0.2</v>
      </c>
      <c r="CI105" s="6">
        <v>0</v>
      </c>
      <c r="CJ105" s="6">
        <v>2.6</v>
      </c>
      <c r="CK105" s="6">
        <v>0</v>
      </c>
      <c r="CL105" s="6">
        <v>0</v>
      </c>
    </row>
    <row r="106" spans="1:90" x14ac:dyDescent="0.35">
      <c r="B106" s="12" t="s">
        <v>343</v>
      </c>
      <c r="C106" s="6">
        <v>589</v>
      </c>
      <c r="D106" s="6">
        <v>2429</v>
      </c>
      <c r="E106" s="6">
        <v>10.5</v>
      </c>
      <c r="F106" s="6">
        <v>0</v>
      </c>
      <c r="G106" s="6">
        <v>10.5</v>
      </c>
      <c r="H106" s="6">
        <v>57.7</v>
      </c>
      <c r="I106" s="6">
        <v>0</v>
      </c>
      <c r="J106" s="6">
        <v>57.7</v>
      </c>
      <c r="K106" s="6">
        <v>0</v>
      </c>
      <c r="L106" s="6">
        <v>5.5</v>
      </c>
      <c r="M106" s="6">
        <v>2.1</v>
      </c>
      <c r="N106" s="6">
        <v>3.4</v>
      </c>
      <c r="O106" s="6">
        <v>3.5</v>
      </c>
      <c r="P106" s="6">
        <v>0</v>
      </c>
      <c r="Q106" s="6">
        <v>19.2</v>
      </c>
      <c r="R106" s="6">
        <v>2.6</v>
      </c>
      <c r="S106" s="6">
        <v>131</v>
      </c>
      <c r="T106" s="6">
        <v>3</v>
      </c>
      <c r="U106" s="6">
        <v>690</v>
      </c>
      <c r="V106" s="6">
        <v>238</v>
      </c>
      <c r="W106" s="6">
        <v>3</v>
      </c>
      <c r="X106" s="6">
        <v>130</v>
      </c>
      <c r="Y106" s="6">
        <v>0.31</v>
      </c>
      <c r="Z106" s="6">
        <v>6</v>
      </c>
      <c r="AA106" s="6">
        <v>23</v>
      </c>
      <c r="AB106" s="6">
        <v>9</v>
      </c>
      <c r="AC106" s="6">
        <v>3.4</v>
      </c>
      <c r="AD106" s="6">
        <v>100</v>
      </c>
      <c r="AE106" s="6">
        <v>0.57999999999999996</v>
      </c>
      <c r="AF106" s="6">
        <v>0.17</v>
      </c>
      <c r="AG106" s="51">
        <v>0.5</v>
      </c>
      <c r="AH106" s="6">
        <v>0.8</v>
      </c>
      <c r="AI106" s="6">
        <v>0.73</v>
      </c>
      <c r="AJ106" s="6">
        <v>66</v>
      </c>
      <c r="AK106" s="6">
        <v>0.9</v>
      </c>
      <c r="AL106" s="6">
        <v>2</v>
      </c>
      <c r="AM106" s="6">
        <v>0</v>
      </c>
      <c r="AN106" s="6">
        <v>6</v>
      </c>
      <c r="AO106" s="6">
        <v>0</v>
      </c>
      <c r="AP106" s="6">
        <v>36</v>
      </c>
      <c r="AQ106" s="6">
        <v>4</v>
      </c>
      <c r="AR106" s="6">
        <v>0</v>
      </c>
      <c r="AS106" s="6">
        <v>2.7</v>
      </c>
      <c r="AT106" s="6">
        <v>4.7190000000000003</v>
      </c>
      <c r="AU106" s="6">
        <v>0</v>
      </c>
      <c r="AV106" s="6">
        <v>0</v>
      </c>
      <c r="AW106" s="6">
        <v>0.47399999999999998</v>
      </c>
      <c r="AX106" s="6">
        <v>3.0670000000000002</v>
      </c>
      <c r="AY106" s="6">
        <v>0.89</v>
      </c>
      <c r="AZ106" s="6">
        <v>0.28799999999999998</v>
      </c>
      <c r="BA106" s="6">
        <v>0</v>
      </c>
      <c r="BB106" s="6">
        <v>8.0830000000000002</v>
      </c>
      <c r="BC106" s="6">
        <v>0</v>
      </c>
      <c r="BD106" s="6">
        <v>0.13600000000000001</v>
      </c>
      <c r="BE106" s="6">
        <v>7.9480000000000004</v>
      </c>
      <c r="BF106" s="6">
        <v>0</v>
      </c>
      <c r="BG106" s="6">
        <v>0</v>
      </c>
      <c r="BH106" s="6">
        <v>34.451000000000001</v>
      </c>
      <c r="BI106" s="6">
        <v>28.824999999999999</v>
      </c>
      <c r="BJ106" s="6">
        <v>5.6260000000000003</v>
      </c>
      <c r="BK106" s="6">
        <v>0</v>
      </c>
      <c r="BL106" s="6">
        <v>0</v>
      </c>
      <c r="BM106" s="6">
        <v>0</v>
      </c>
      <c r="BN106" s="6">
        <v>0</v>
      </c>
      <c r="BO106" s="7">
        <v>76</v>
      </c>
      <c r="BP106" s="7">
        <v>329</v>
      </c>
      <c r="BQ106" s="7">
        <v>457</v>
      </c>
      <c r="BR106" s="7">
        <v>742</v>
      </c>
      <c r="BS106" s="7">
        <v>286</v>
      </c>
      <c r="BT106" s="7">
        <v>202</v>
      </c>
      <c r="BU106" s="7">
        <v>159</v>
      </c>
      <c r="BV106" s="7">
        <v>471</v>
      </c>
      <c r="BW106" s="7">
        <v>333</v>
      </c>
      <c r="BX106" s="7">
        <v>547</v>
      </c>
      <c r="BY106" s="7">
        <v>1471</v>
      </c>
      <c r="BZ106" s="7">
        <v>253</v>
      </c>
      <c r="CA106" s="7">
        <v>454</v>
      </c>
      <c r="CB106" s="7">
        <v>1035</v>
      </c>
      <c r="CC106" s="7">
        <v>2056</v>
      </c>
      <c r="CD106" s="7">
        <v>513</v>
      </c>
      <c r="CE106" s="7">
        <v>474</v>
      </c>
      <c r="CF106" s="7">
        <v>539</v>
      </c>
      <c r="CG106" s="6">
        <v>0.3</v>
      </c>
      <c r="CH106" s="6">
        <v>0.3</v>
      </c>
      <c r="CI106" s="6">
        <v>0</v>
      </c>
      <c r="CJ106" s="6">
        <v>2.9</v>
      </c>
      <c r="CK106" s="6">
        <v>0</v>
      </c>
      <c r="CL106" s="6">
        <v>0</v>
      </c>
    </row>
    <row r="107" spans="1:90" x14ac:dyDescent="0.35">
      <c r="C107">
        <f t="shared" ref="C107:AH107" si="7">AVERAGE(C94:C106)</f>
        <v>608.07692307692309</v>
      </c>
      <c r="D107">
        <f t="shared" si="7"/>
        <v>2514.4615384615386</v>
      </c>
      <c r="E107">
        <f t="shared" si="7"/>
        <v>18.869230769230771</v>
      </c>
      <c r="F107">
        <f t="shared" si="7"/>
        <v>0</v>
      </c>
      <c r="G107">
        <f t="shared" si="7"/>
        <v>18.869230769230771</v>
      </c>
      <c r="H107">
        <f t="shared" si="7"/>
        <v>53.938461538461539</v>
      </c>
      <c r="I107">
        <f t="shared" si="7"/>
        <v>0</v>
      </c>
      <c r="J107">
        <f t="shared" si="7"/>
        <v>53.938461538461539</v>
      </c>
      <c r="K107">
        <f t="shared" si="7"/>
        <v>0</v>
      </c>
      <c r="L107">
        <f t="shared" si="7"/>
        <v>8.7846153846153818</v>
      </c>
      <c r="M107">
        <f t="shared" si="7"/>
        <v>3.9884615384615381</v>
      </c>
      <c r="N107">
        <f t="shared" si="7"/>
        <v>4.8000000000000007</v>
      </c>
      <c r="O107">
        <f t="shared" si="7"/>
        <v>7.1769230769230754</v>
      </c>
      <c r="P107">
        <f t="shared" si="7"/>
        <v>0</v>
      </c>
      <c r="Q107">
        <f t="shared" si="7"/>
        <v>7.4846153846153847</v>
      </c>
      <c r="R107">
        <f t="shared" si="7"/>
        <v>3.3846153846153846</v>
      </c>
      <c r="S107">
        <f t="shared" si="7"/>
        <v>83.92307692307692</v>
      </c>
      <c r="T107">
        <f t="shared" si="7"/>
        <v>75.538461538461533</v>
      </c>
      <c r="U107">
        <f t="shared" si="7"/>
        <v>700.53846153846155</v>
      </c>
      <c r="V107">
        <f t="shared" si="7"/>
        <v>356</v>
      </c>
      <c r="W107">
        <f t="shared" si="7"/>
        <v>3.3953846153846152</v>
      </c>
      <c r="X107">
        <f t="shared" si="7"/>
        <v>169.53846153846155</v>
      </c>
      <c r="Y107">
        <f t="shared" si="7"/>
        <v>1.04</v>
      </c>
      <c r="Z107">
        <f t="shared" si="7"/>
        <v>5.3692307692307688</v>
      </c>
      <c r="AA107">
        <f t="shared" si="7"/>
        <v>126.46153846153847</v>
      </c>
      <c r="AB107">
        <f t="shared" si="7"/>
        <v>10.753846153846155</v>
      </c>
      <c r="AC107">
        <f t="shared" si="7"/>
        <v>2.7538461538461538</v>
      </c>
      <c r="AD107">
        <f t="shared" si="7"/>
        <v>214.61538461538461</v>
      </c>
      <c r="AE107">
        <f t="shared" si="7"/>
        <v>0.54461538461538472</v>
      </c>
      <c r="AF107">
        <f t="shared" si="7"/>
        <v>0.14461538461538462</v>
      </c>
      <c r="AG107">
        <f t="shared" si="7"/>
        <v>1</v>
      </c>
      <c r="AH107">
        <f t="shared" si="7"/>
        <v>4.4230769230769234</v>
      </c>
      <c r="AI107">
        <f t="shared" ref="AI107:BN107" si="8">AVERAGE(AI94:AI106)</f>
        <v>0.83615384615384614</v>
      </c>
      <c r="AJ107">
        <f t="shared" si="8"/>
        <v>58.615384615384613</v>
      </c>
      <c r="AK107">
        <f t="shared" si="8"/>
        <v>1.1638461538461538</v>
      </c>
      <c r="AL107">
        <f t="shared" si="8"/>
        <v>47.46153846153846</v>
      </c>
      <c r="AM107">
        <f t="shared" si="8"/>
        <v>0</v>
      </c>
      <c r="AN107">
        <f t="shared" si="8"/>
        <v>18.923076923076923</v>
      </c>
      <c r="AO107">
        <f t="shared" si="8"/>
        <v>0</v>
      </c>
      <c r="AP107">
        <f t="shared" si="8"/>
        <v>113.53846153846153</v>
      </c>
      <c r="AQ107">
        <f t="shared" si="8"/>
        <v>5.8407692307692303</v>
      </c>
      <c r="AR107">
        <f t="shared" si="8"/>
        <v>0</v>
      </c>
      <c r="AS107">
        <f t="shared" si="8"/>
        <v>23.455384615384613</v>
      </c>
      <c r="AT107">
        <f t="shared" si="8"/>
        <v>5.923153846153844</v>
      </c>
      <c r="AU107">
        <f t="shared" si="8"/>
        <v>2.3846153846153848E-3</v>
      </c>
      <c r="AV107">
        <f t="shared" si="8"/>
        <v>4.3846153846153844E-3</v>
      </c>
      <c r="AW107">
        <f t="shared" si="8"/>
        <v>0.19630769230769235</v>
      </c>
      <c r="AX107">
        <f t="shared" si="8"/>
        <v>4.0492307692307694</v>
      </c>
      <c r="AY107">
        <f t="shared" si="8"/>
        <v>1.2414615384615384</v>
      </c>
      <c r="AZ107">
        <f t="shared" si="8"/>
        <v>0.23607692307692307</v>
      </c>
      <c r="BA107">
        <f t="shared" si="8"/>
        <v>0.14300000000000002</v>
      </c>
      <c r="BB107">
        <f t="shared" si="8"/>
        <v>25.110999999999997</v>
      </c>
      <c r="BC107">
        <f t="shared" si="8"/>
        <v>4.6153846153846153E-4</v>
      </c>
      <c r="BD107">
        <f t="shared" si="8"/>
        <v>0.11953846153846152</v>
      </c>
      <c r="BE107">
        <f t="shared" si="8"/>
        <v>24.766461538461538</v>
      </c>
      <c r="BF107">
        <f t="shared" si="8"/>
        <v>0.22223076923076926</v>
      </c>
      <c r="BG107">
        <f t="shared" si="8"/>
        <v>4.6153846153846153E-4</v>
      </c>
      <c r="BH107">
        <f t="shared" si="8"/>
        <v>16.836923076923078</v>
      </c>
      <c r="BI107">
        <f t="shared" si="8"/>
        <v>15.615846153846153</v>
      </c>
      <c r="BJ107">
        <f t="shared" si="8"/>
        <v>1.1773846153846155</v>
      </c>
      <c r="BK107">
        <f t="shared" si="8"/>
        <v>4.6153846153846153E-4</v>
      </c>
      <c r="BL107">
        <f t="shared" si="8"/>
        <v>0</v>
      </c>
      <c r="BM107">
        <f t="shared" si="8"/>
        <v>0</v>
      </c>
      <c r="BN107">
        <f t="shared" si="8"/>
        <v>4.3076923076923082E-2</v>
      </c>
      <c r="BO107">
        <f t="shared" ref="BO107:CL107" si="9">AVERAGE(BO94:BO106)</f>
        <v>190.15384615384616</v>
      </c>
      <c r="BP107">
        <f t="shared" si="9"/>
        <v>618</v>
      </c>
      <c r="BQ107">
        <f t="shared" si="9"/>
        <v>746.38461538461536</v>
      </c>
      <c r="BR107">
        <f t="shared" si="9"/>
        <v>1334.5384615384614</v>
      </c>
      <c r="BS107">
        <f t="shared" si="9"/>
        <v>645.07692307692309</v>
      </c>
      <c r="BT107">
        <f t="shared" si="9"/>
        <v>283</v>
      </c>
      <c r="BU107">
        <f t="shared" si="9"/>
        <v>334.53846153846155</v>
      </c>
      <c r="BV107">
        <f t="shared" si="9"/>
        <v>932.46153846153845</v>
      </c>
      <c r="BW107">
        <f t="shared" si="9"/>
        <v>698.46153846153845</v>
      </c>
      <c r="BX107">
        <f t="shared" si="9"/>
        <v>954.46153846153845</v>
      </c>
      <c r="BY107">
        <f t="shared" si="9"/>
        <v>2543.1538461538462</v>
      </c>
      <c r="BZ107">
        <f t="shared" si="9"/>
        <v>457.84615384615387</v>
      </c>
      <c r="CA107">
        <f t="shared" si="9"/>
        <v>840.23076923076928</v>
      </c>
      <c r="CB107">
        <f t="shared" si="9"/>
        <v>2065.9230769230771</v>
      </c>
      <c r="CC107">
        <f t="shared" si="9"/>
        <v>4067</v>
      </c>
      <c r="CD107">
        <f t="shared" si="9"/>
        <v>1036.7692307692307</v>
      </c>
      <c r="CE107">
        <f t="shared" si="9"/>
        <v>859.92307692307691</v>
      </c>
      <c r="CF107">
        <f t="shared" si="9"/>
        <v>946.46153846153845</v>
      </c>
      <c r="CG107">
        <f t="shared" si="9"/>
        <v>0.1423076923076923</v>
      </c>
      <c r="CH107">
        <f t="shared" si="9"/>
        <v>0.11923076923076924</v>
      </c>
      <c r="CI107">
        <f t="shared" si="9"/>
        <v>0</v>
      </c>
      <c r="CJ107">
        <f t="shared" si="9"/>
        <v>4.2538461538461538</v>
      </c>
      <c r="CK107">
        <f t="shared" si="9"/>
        <v>3.0769230769230771E-2</v>
      </c>
      <c r="CL107">
        <f t="shared" si="9"/>
        <v>0</v>
      </c>
    </row>
    <row r="110" spans="1:90" x14ac:dyDescent="0.35">
      <c r="A110" s="53" t="s">
        <v>468</v>
      </c>
      <c r="B110" s="35" t="s">
        <v>465</v>
      </c>
      <c r="C110" s="54">
        <v>324</v>
      </c>
      <c r="D110" s="54">
        <v>1338</v>
      </c>
      <c r="E110" s="54">
        <v>15.8</v>
      </c>
      <c r="F110" s="54">
        <v>0</v>
      </c>
      <c r="G110" s="54">
        <v>15.8</v>
      </c>
      <c r="H110" s="54">
        <v>14.9</v>
      </c>
      <c r="I110" s="54">
        <v>0</v>
      </c>
      <c r="J110" s="54">
        <v>14.9</v>
      </c>
      <c r="K110" s="54">
        <v>0</v>
      </c>
      <c r="L110" s="54">
        <v>12.5</v>
      </c>
      <c r="M110" s="54">
        <v>0</v>
      </c>
      <c r="N110" s="54">
        <v>12.5</v>
      </c>
      <c r="O110" s="54">
        <v>39.799999999999997</v>
      </c>
      <c r="P110" s="54">
        <v>0</v>
      </c>
      <c r="Q110" s="54">
        <v>8.8000000000000007</v>
      </c>
      <c r="R110" s="54">
        <v>12.3</v>
      </c>
      <c r="S110" s="54">
        <v>1200</v>
      </c>
      <c r="T110" s="54">
        <v>88</v>
      </c>
      <c r="U110" s="54">
        <v>1660</v>
      </c>
      <c r="V110" s="54">
        <v>510</v>
      </c>
      <c r="W110" s="54">
        <v>3.7</v>
      </c>
      <c r="X110" s="81">
        <v>0</v>
      </c>
      <c r="Y110" s="81">
        <v>0</v>
      </c>
      <c r="Z110" s="81">
        <v>0</v>
      </c>
      <c r="AA110" s="81">
        <v>0</v>
      </c>
      <c r="AB110" s="81">
        <v>0</v>
      </c>
      <c r="AC110" s="81">
        <v>0</v>
      </c>
      <c r="AD110" s="54">
        <v>0</v>
      </c>
      <c r="AE110" s="54">
        <v>0.41</v>
      </c>
      <c r="AF110" s="54">
        <v>0.35</v>
      </c>
      <c r="AG110" s="54">
        <v>0</v>
      </c>
      <c r="AH110" s="54">
        <v>10.3</v>
      </c>
      <c r="AI110" s="54">
        <v>0.44</v>
      </c>
      <c r="AJ110" s="54">
        <v>0</v>
      </c>
      <c r="AK110" s="81">
        <v>0</v>
      </c>
      <c r="AL110" s="81">
        <v>0</v>
      </c>
      <c r="AM110" s="81">
        <v>0</v>
      </c>
      <c r="AN110" s="54">
        <v>14</v>
      </c>
      <c r="AO110" s="54">
        <v>0</v>
      </c>
      <c r="AP110" s="54">
        <v>81</v>
      </c>
      <c r="AQ110" s="54">
        <v>2.72</v>
      </c>
      <c r="AR110" s="54">
        <v>0</v>
      </c>
      <c r="AS110" s="81">
        <v>0</v>
      </c>
      <c r="AT110" s="54">
        <v>0.48</v>
      </c>
      <c r="AU110" s="81">
        <v>0</v>
      </c>
      <c r="AV110" s="81">
        <v>0</v>
      </c>
      <c r="AW110" s="81">
        <v>0</v>
      </c>
      <c r="AX110" s="81">
        <v>0</v>
      </c>
      <c r="AY110" s="81">
        <v>0</v>
      </c>
      <c r="AZ110" s="81">
        <v>0</v>
      </c>
      <c r="BA110" s="81">
        <v>0</v>
      </c>
      <c r="BB110" s="54">
        <v>9.91</v>
      </c>
      <c r="BC110" s="82">
        <v>0</v>
      </c>
      <c r="BD110" s="82">
        <v>0</v>
      </c>
      <c r="BE110" s="54">
        <v>9.91</v>
      </c>
      <c r="BF110" s="82">
        <v>0</v>
      </c>
      <c r="BG110" s="82">
        <v>0</v>
      </c>
      <c r="BH110" s="54">
        <v>1.69</v>
      </c>
      <c r="BI110" s="54">
        <v>1.69</v>
      </c>
      <c r="BJ110" s="54">
        <v>0</v>
      </c>
      <c r="BK110" s="82">
        <v>0</v>
      </c>
      <c r="BL110" s="82">
        <v>0</v>
      </c>
      <c r="BM110" s="82">
        <v>0</v>
      </c>
      <c r="BN110" s="54">
        <v>0</v>
      </c>
      <c r="BO110" s="56">
        <v>253</v>
      </c>
      <c r="BP110" s="56">
        <v>602</v>
      </c>
      <c r="BQ110" s="56">
        <v>695</v>
      </c>
      <c r="BR110" s="56">
        <v>996</v>
      </c>
      <c r="BS110" s="56">
        <v>758</v>
      </c>
      <c r="BT110" s="56">
        <v>301</v>
      </c>
      <c r="BU110" s="56">
        <v>222</v>
      </c>
      <c r="BV110" s="56">
        <v>647</v>
      </c>
      <c r="BW110" s="56">
        <v>410</v>
      </c>
      <c r="BX110" s="56">
        <v>915</v>
      </c>
      <c r="BY110" s="56">
        <v>680</v>
      </c>
      <c r="BZ110" s="56">
        <v>331</v>
      </c>
      <c r="CA110" s="56">
        <v>789</v>
      </c>
      <c r="CB110" s="56">
        <v>1833</v>
      </c>
      <c r="CC110" s="56">
        <v>2956</v>
      </c>
      <c r="CD110" s="56">
        <v>1107</v>
      </c>
      <c r="CE110" s="56">
        <v>900</v>
      </c>
      <c r="CF110" s="56">
        <v>900</v>
      </c>
      <c r="CG110" s="81">
        <v>0</v>
      </c>
      <c r="CH110" s="81">
        <v>0</v>
      </c>
      <c r="CI110" s="83">
        <v>0</v>
      </c>
      <c r="CJ110" s="81">
        <v>0</v>
      </c>
      <c r="CK110" s="81">
        <v>0</v>
      </c>
      <c r="CL110" s="83">
        <v>0</v>
      </c>
    </row>
    <row r="111" spans="1:90" x14ac:dyDescent="0.35">
      <c r="B111" s="35" t="s">
        <v>466</v>
      </c>
      <c r="C111" s="54">
        <v>419</v>
      </c>
      <c r="D111" s="54">
        <v>1751</v>
      </c>
      <c r="E111" s="54">
        <v>17.8</v>
      </c>
      <c r="F111" s="54">
        <v>0</v>
      </c>
      <c r="G111" s="54">
        <v>17.8</v>
      </c>
      <c r="H111" s="54">
        <v>22.3</v>
      </c>
      <c r="I111" s="54">
        <v>0</v>
      </c>
      <c r="J111" s="54">
        <v>22.3</v>
      </c>
      <c r="K111" s="54">
        <v>0</v>
      </c>
      <c r="L111" s="54">
        <v>33.700000000000003</v>
      </c>
      <c r="M111" s="54">
        <v>0</v>
      </c>
      <c r="N111" s="54">
        <v>33.700000000000003</v>
      </c>
      <c r="O111" s="54">
        <v>10.5</v>
      </c>
      <c r="P111" s="54">
        <v>0</v>
      </c>
      <c r="Q111" s="54">
        <v>8.1</v>
      </c>
      <c r="R111" s="54">
        <v>66.400000000000006</v>
      </c>
      <c r="S111" s="54">
        <v>931</v>
      </c>
      <c r="T111" s="54">
        <v>168</v>
      </c>
      <c r="U111" s="54">
        <v>1788</v>
      </c>
      <c r="V111" s="54">
        <v>499</v>
      </c>
      <c r="W111" s="54">
        <v>4.8</v>
      </c>
      <c r="X111" s="81">
        <v>0</v>
      </c>
      <c r="Y111" s="81">
        <v>0</v>
      </c>
      <c r="Z111" s="81">
        <v>0</v>
      </c>
      <c r="AA111" s="81">
        <v>0</v>
      </c>
      <c r="AB111" s="81">
        <v>0</v>
      </c>
      <c r="AC111" s="81">
        <v>0</v>
      </c>
      <c r="AD111" s="54">
        <v>0</v>
      </c>
      <c r="AE111" s="54">
        <v>0.63</v>
      </c>
      <c r="AF111" s="54">
        <v>0.33</v>
      </c>
      <c r="AG111" s="54">
        <v>7.71</v>
      </c>
      <c r="AH111" s="54">
        <v>4.5789999999999997</v>
      </c>
      <c r="AI111" s="54">
        <v>0.44</v>
      </c>
      <c r="AJ111" s="54">
        <v>0</v>
      </c>
      <c r="AK111" s="81">
        <v>0</v>
      </c>
      <c r="AL111" s="81">
        <v>0</v>
      </c>
      <c r="AM111" s="81">
        <v>0</v>
      </c>
      <c r="AN111" s="54">
        <v>127</v>
      </c>
      <c r="AO111" s="54">
        <v>0</v>
      </c>
      <c r="AP111" s="54">
        <v>762</v>
      </c>
      <c r="AQ111" s="54">
        <v>2.72</v>
      </c>
      <c r="AR111" s="54">
        <v>0</v>
      </c>
      <c r="AS111" s="81">
        <v>0</v>
      </c>
      <c r="AT111" s="54">
        <v>0.72</v>
      </c>
      <c r="AU111" s="81">
        <v>0</v>
      </c>
      <c r="AV111" s="81">
        <v>0</v>
      </c>
      <c r="AW111" s="81">
        <v>0</v>
      </c>
      <c r="AX111" s="81">
        <v>0</v>
      </c>
      <c r="AY111" s="81">
        <v>0</v>
      </c>
      <c r="AZ111" s="81">
        <v>0</v>
      </c>
      <c r="BA111" s="81">
        <v>0</v>
      </c>
      <c r="BB111" s="54">
        <v>14.86</v>
      </c>
      <c r="BC111" s="82">
        <v>0</v>
      </c>
      <c r="BD111" s="82">
        <v>0</v>
      </c>
      <c r="BE111" s="54">
        <v>14.86</v>
      </c>
      <c r="BF111" s="82">
        <v>0</v>
      </c>
      <c r="BG111" s="82">
        <v>0</v>
      </c>
      <c r="BH111" s="54">
        <v>2.5299999999999998</v>
      </c>
      <c r="BI111" s="54">
        <v>2.5299999999999998</v>
      </c>
      <c r="BJ111" s="54">
        <v>0</v>
      </c>
      <c r="BK111" s="82">
        <v>0</v>
      </c>
      <c r="BL111" s="82">
        <v>0</v>
      </c>
      <c r="BM111" s="82">
        <v>0</v>
      </c>
      <c r="BN111" s="54">
        <v>0</v>
      </c>
      <c r="BO111" s="56">
        <v>285</v>
      </c>
      <c r="BP111" s="56">
        <v>678</v>
      </c>
      <c r="BQ111" s="56">
        <v>783</v>
      </c>
      <c r="BR111" s="56">
        <v>1122</v>
      </c>
      <c r="BS111" s="56">
        <v>854</v>
      </c>
      <c r="BT111" s="56">
        <v>339</v>
      </c>
      <c r="BU111" s="56">
        <v>250</v>
      </c>
      <c r="BV111" s="56">
        <v>729</v>
      </c>
      <c r="BW111" s="56">
        <v>462</v>
      </c>
      <c r="BX111" s="56">
        <v>1031</v>
      </c>
      <c r="BY111" s="56">
        <v>766</v>
      </c>
      <c r="BZ111" s="56">
        <v>373</v>
      </c>
      <c r="CA111" s="56">
        <v>889</v>
      </c>
      <c r="CB111" s="56">
        <v>2065</v>
      </c>
      <c r="CC111" s="56">
        <v>3330</v>
      </c>
      <c r="CD111" s="56">
        <v>1247</v>
      </c>
      <c r="CE111" s="56">
        <v>1014</v>
      </c>
      <c r="CF111" s="56">
        <v>1014</v>
      </c>
      <c r="CG111" s="81">
        <v>0</v>
      </c>
      <c r="CH111" s="81">
        <v>0</v>
      </c>
      <c r="CI111" s="83">
        <v>0</v>
      </c>
      <c r="CJ111" s="81">
        <v>0</v>
      </c>
      <c r="CK111" s="81">
        <v>0</v>
      </c>
      <c r="CL111" s="83">
        <v>0</v>
      </c>
    </row>
    <row r="112" spans="1:90" x14ac:dyDescent="0.35">
      <c r="B112" s="35" t="s">
        <v>467</v>
      </c>
      <c r="C112" s="54">
        <v>447</v>
      </c>
      <c r="D112" s="54">
        <v>1842</v>
      </c>
      <c r="E112" s="54">
        <v>24.5</v>
      </c>
      <c r="F112" s="54">
        <v>0</v>
      </c>
      <c r="G112" s="54">
        <v>24.5</v>
      </c>
      <c r="H112" s="54">
        <v>31</v>
      </c>
      <c r="I112" s="54">
        <v>0</v>
      </c>
      <c r="J112" s="54">
        <v>31</v>
      </c>
      <c r="K112" s="54">
        <v>0</v>
      </c>
      <c r="L112" s="54">
        <v>0</v>
      </c>
      <c r="M112" s="54">
        <v>0</v>
      </c>
      <c r="N112" s="54">
        <v>0</v>
      </c>
      <c r="O112" s="54">
        <v>34.799999999999997</v>
      </c>
      <c r="P112" s="54">
        <v>0</v>
      </c>
      <c r="Q112" s="54">
        <v>6.1</v>
      </c>
      <c r="R112" s="54">
        <v>8.1999999999999993</v>
      </c>
      <c r="S112" s="54">
        <v>198</v>
      </c>
      <c r="T112" s="54">
        <v>60</v>
      </c>
      <c r="U112" s="54">
        <v>725</v>
      </c>
      <c r="V112" s="54">
        <v>660</v>
      </c>
      <c r="W112" s="54">
        <v>7.8</v>
      </c>
      <c r="X112" s="54">
        <v>181</v>
      </c>
      <c r="Y112" s="54">
        <v>1.2</v>
      </c>
      <c r="Z112" s="54">
        <v>2</v>
      </c>
      <c r="AA112" s="54">
        <v>10</v>
      </c>
      <c r="AB112" s="81">
        <v>0</v>
      </c>
      <c r="AC112" s="54">
        <v>2.6</v>
      </c>
      <c r="AD112" s="81">
        <v>0</v>
      </c>
      <c r="AE112" s="54">
        <v>0.17</v>
      </c>
      <c r="AF112" s="54">
        <v>0.16</v>
      </c>
      <c r="AG112" s="54">
        <v>0</v>
      </c>
      <c r="AH112" s="54">
        <v>1.4</v>
      </c>
      <c r="AI112" s="54">
        <v>0</v>
      </c>
      <c r="AJ112" s="54">
        <v>60</v>
      </c>
      <c r="AK112" s="54">
        <v>2.14</v>
      </c>
      <c r="AL112" s="54">
        <v>11</v>
      </c>
      <c r="AM112" s="54">
        <v>0</v>
      </c>
      <c r="AN112" s="54">
        <v>0</v>
      </c>
      <c r="AO112" s="54">
        <v>0</v>
      </c>
      <c r="AP112" s="54">
        <v>0</v>
      </c>
      <c r="AQ112" s="54">
        <v>0.7</v>
      </c>
      <c r="AR112" s="54">
        <v>0</v>
      </c>
      <c r="AS112" s="54">
        <v>5</v>
      </c>
      <c r="AT112" s="54">
        <v>3</v>
      </c>
      <c r="AU112" s="81">
        <v>0</v>
      </c>
      <c r="AV112" s="81">
        <v>0</v>
      </c>
      <c r="AW112" s="81">
        <v>0</v>
      </c>
      <c r="AX112" s="54">
        <v>1.9</v>
      </c>
      <c r="AY112" s="54">
        <v>1</v>
      </c>
      <c r="AZ112" s="81">
        <v>0</v>
      </c>
      <c r="BA112" s="81">
        <v>0</v>
      </c>
      <c r="BB112" s="54">
        <v>5.3</v>
      </c>
      <c r="BC112" s="81">
        <v>0</v>
      </c>
      <c r="BD112" s="81">
        <v>0</v>
      </c>
      <c r="BE112" s="81">
        <v>0</v>
      </c>
      <c r="BF112" s="81">
        <v>0</v>
      </c>
      <c r="BG112" s="81">
        <v>0</v>
      </c>
      <c r="BH112" s="54">
        <v>21.2</v>
      </c>
      <c r="BI112" s="54">
        <v>4.0999999999999996</v>
      </c>
      <c r="BJ112" s="54">
        <v>17.100000000000001</v>
      </c>
      <c r="BK112" s="82">
        <v>0</v>
      </c>
      <c r="BL112" s="82">
        <v>0</v>
      </c>
      <c r="BM112" s="82">
        <v>0</v>
      </c>
      <c r="BN112" s="54">
        <v>0</v>
      </c>
      <c r="BO112" s="88">
        <v>0</v>
      </c>
      <c r="BP112" s="56">
        <v>1107</v>
      </c>
      <c r="BQ112" s="56">
        <v>1254</v>
      </c>
      <c r="BR112" s="56">
        <v>1768</v>
      </c>
      <c r="BS112" s="56">
        <v>1097</v>
      </c>
      <c r="BT112" s="56">
        <v>565</v>
      </c>
      <c r="BU112" s="56">
        <v>555</v>
      </c>
      <c r="BV112" s="56">
        <v>1384</v>
      </c>
      <c r="BW112" s="56">
        <v>787</v>
      </c>
      <c r="BX112" s="56">
        <v>1569</v>
      </c>
      <c r="BY112" s="56">
        <v>2767</v>
      </c>
      <c r="BZ112" s="56">
        <v>602</v>
      </c>
      <c r="CA112" s="56">
        <v>1425</v>
      </c>
      <c r="CB112" s="56">
        <v>2619</v>
      </c>
      <c r="CC112" s="56">
        <v>5586</v>
      </c>
      <c r="CD112" s="56">
        <v>1693</v>
      </c>
      <c r="CE112" s="56">
        <v>1107</v>
      </c>
      <c r="CF112" s="56">
        <v>1435</v>
      </c>
      <c r="CG112" s="54">
        <v>0</v>
      </c>
      <c r="CH112" s="54">
        <v>0</v>
      </c>
      <c r="CI112" s="54">
        <v>0</v>
      </c>
      <c r="CJ112" s="54">
        <v>0</v>
      </c>
      <c r="CK112" s="54">
        <v>0</v>
      </c>
      <c r="CL112" s="54">
        <v>0</v>
      </c>
    </row>
    <row r="113" spans="2:90" x14ac:dyDescent="0.35">
      <c r="B113" s="40" t="s">
        <v>402</v>
      </c>
      <c r="C113" s="48">
        <v>559</v>
      </c>
      <c r="D113" s="48">
        <v>2340</v>
      </c>
      <c r="E113" s="48">
        <v>30.2</v>
      </c>
      <c r="F113" s="49">
        <v>0</v>
      </c>
      <c r="G113" s="49">
        <v>30.2</v>
      </c>
      <c r="H113" s="48">
        <v>49</v>
      </c>
      <c r="I113" s="49">
        <v>0</v>
      </c>
      <c r="J113" s="49">
        <v>49</v>
      </c>
      <c r="K113" s="48">
        <v>0</v>
      </c>
      <c r="L113" s="48">
        <v>10.7</v>
      </c>
      <c r="M113" s="48">
        <v>1.47</v>
      </c>
      <c r="N113" s="48">
        <v>1.4</v>
      </c>
      <c r="O113" s="48">
        <v>6</v>
      </c>
      <c r="P113" s="48">
        <v>0</v>
      </c>
      <c r="Q113" s="48">
        <v>5.23</v>
      </c>
      <c r="R113" s="48">
        <v>8.82</v>
      </c>
      <c r="S113" s="48">
        <v>46</v>
      </c>
      <c r="T113" s="48">
        <v>7</v>
      </c>
      <c r="U113" s="48">
        <v>809</v>
      </c>
      <c r="V113" s="48">
        <v>1230</v>
      </c>
      <c r="W113" s="48">
        <v>7.81</v>
      </c>
      <c r="X113" s="48">
        <v>592</v>
      </c>
      <c r="Y113" s="48">
        <v>1.34</v>
      </c>
      <c r="Z113" s="48">
        <v>9.4</v>
      </c>
      <c r="AA113" s="46">
        <v>0.5</v>
      </c>
      <c r="AB113" s="42">
        <v>1.3</v>
      </c>
      <c r="AC113" s="48">
        <v>4.54</v>
      </c>
      <c r="AD113" s="46">
        <v>0.5</v>
      </c>
      <c r="AE113" s="48">
        <v>0.27300000000000002</v>
      </c>
      <c r="AF113" s="48">
        <v>0.153</v>
      </c>
      <c r="AG113" s="48">
        <v>1.9</v>
      </c>
      <c r="AH113" s="48">
        <v>4.99</v>
      </c>
      <c r="AI113" s="48">
        <v>0.14299999999999999</v>
      </c>
      <c r="AJ113" s="48">
        <v>58</v>
      </c>
      <c r="AK113" s="48">
        <v>0.75</v>
      </c>
      <c r="AL113" s="46">
        <v>0.05</v>
      </c>
      <c r="AM113" s="48">
        <v>0</v>
      </c>
      <c r="AN113" s="48">
        <v>1.6666666666666667</v>
      </c>
      <c r="AO113" s="48">
        <v>0</v>
      </c>
      <c r="AP113" s="48">
        <v>10</v>
      </c>
      <c r="AQ113" s="48">
        <v>5.7070000000000007</v>
      </c>
      <c r="AR113" s="48">
        <v>0</v>
      </c>
      <c r="AS113" s="48">
        <v>7.3</v>
      </c>
      <c r="AT113" s="48">
        <v>8.66</v>
      </c>
      <c r="AU113" s="44">
        <v>4.0000000000000001E-3</v>
      </c>
      <c r="AV113" s="48">
        <v>6.0000000000000001E-3</v>
      </c>
      <c r="AW113" s="48">
        <v>5.8999999999999997E-2</v>
      </c>
      <c r="AX113" s="48">
        <v>5.36</v>
      </c>
      <c r="AY113" s="48">
        <v>2.87</v>
      </c>
      <c r="AZ113" s="48">
        <v>0.21199999999999999</v>
      </c>
      <c r="BA113" s="48">
        <v>5.7000000000000002E-2</v>
      </c>
      <c r="BB113" s="48">
        <v>16.2</v>
      </c>
      <c r="BC113" s="48">
        <v>0</v>
      </c>
      <c r="BD113" s="48">
        <v>4.8000000000000001E-2</v>
      </c>
      <c r="BE113" s="48">
        <v>16.100000000000001</v>
      </c>
      <c r="BF113" s="48">
        <v>5.6000000000000001E-2</v>
      </c>
      <c r="BG113" s="48">
        <v>1E-3</v>
      </c>
      <c r="BH113" s="48">
        <v>21</v>
      </c>
      <c r="BI113" s="48">
        <v>20.7</v>
      </c>
      <c r="BJ113" s="48">
        <v>0.12</v>
      </c>
      <c r="BK113" s="48">
        <v>0.13100000000000001</v>
      </c>
      <c r="BL113" s="48">
        <v>0</v>
      </c>
      <c r="BM113" s="48">
        <v>0</v>
      </c>
      <c r="BN113" s="44">
        <v>20.834000000000003</v>
      </c>
      <c r="BO113" s="48">
        <v>0.57599999999999996</v>
      </c>
      <c r="BP113" s="48">
        <v>0.998</v>
      </c>
      <c r="BQ113" s="48">
        <v>1.28</v>
      </c>
      <c r="BR113" s="48">
        <v>2.42</v>
      </c>
      <c r="BS113" s="48">
        <v>1.24</v>
      </c>
      <c r="BT113" s="48">
        <v>0.60299999999999998</v>
      </c>
      <c r="BU113" s="48">
        <v>0.33200000000000002</v>
      </c>
      <c r="BV113" s="48">
        <v>1.73</v>
      </c>
      <c r="BW113" s="48">
        <v>1.0900000000000001</v>
      </c>
      <c r="BX113" s="48">
        <v>1.58</v>
      </c>
      <c r="BY113" s="48">
        <v>5.35</v>
      </c>
      <c r="BZ113" s="48">
        <v>0.78</v>
      </c>
      <c r="CA113" s="48">
        <v>1.48</v>
      </c>
      <c r="CB113" s="48">
        <v>2.96</v>
      </c>
      <c r="CC113" s="48">
        <v>6.19</v>
      </c>
      <c r="CD113" s="48">
        <v>1.84</v>
      </c>
      <c r="CE113" s="48">
        <v>1.32</v>
      </c>
      <c r="CF113" s="48">
        <v>1.67</v>
      </c>
      <c r="CG113" s="48">
        <v>0.13</v>
      </c>
      <c r="CH113" s="48">
        <v>0.15</v>
      </c>
      <c r="CI113" s="48">
        <v>0</v>
      </c>
      <c r="CJ113" s="48">
        <v>1.1299999999999999</v>
      </c>
      <c r="CK113" s="48">
        <v>0</v>
      </c>
      <c r="CL113" s="48">
        <v>0</v>
      </c>
    </row>
    <row r="114" spans="2:90" x14ac:dyDescent="0.35">
      <c r="B114" s="40" t="s">
        <v>403</v>
      </c>
      <c r="C114" s="48">
        <v>584</v>
      </c>
      <c r="D114" s="48">
        <v>2440</v>
      </c>
      <c r="E114" s="48">
        <v>20.8</v>
      </c>
      <c r="F114" s="49">
        <v>0</v>
      </c>
      <c r="G114" s="49">
        <v>20.8</v>
      </c>
      <c r="H114" s="48">
        <v>51.5</v>
      </c>
      <c r="I114" s="49">
        <v>0</v>
      </c>
      <c r="J114" s="49">
        <v>51.5</v>
      </c>
      <c r="K114" s="48">
        <v>0</v>
      </c>
      <c r="L114" s="48">
        <v>20</v>
      </c>
      <c r="M114" s="42">
        <v>0</v>
      </c>
      <c r="N114" s="48">
        <v>2.62</v>
      </c>
      <c r="O114" s="48">
        <v>8.6</v>
      </c>
      <c r="P114" s="48">
        <v>0</v>
      </c>
      <c r="Q114" s="48">
        <v>4.7300000000000004</v>
      </c>
      <c r="R114" s="48">
        <v>5.25</v>
      </c>
      <c r="S114" s="48">
        <v>78</v>
      </c>
      <c r="T114" s="48">
        <v>9</v>
      </c>
      <c r="U114" s="48">
        <v>645</v>
      </c>
      <c r="V114" s="48">
        <v>660</v>
      </c>
      <c r="W114" s="48">
        <v>5</v>
      </c>
      <c r="X114" s="48">
        <v>325</v>
      </c>
      <c r="Y114" s="48">
        <v>1.8</v>
      </c>
      <c r="Z114" s="48">
        <v>53</v>
      </c>
      <c r="AA114" s="46">
        <v>0.5</v>
      </c>
      <c r="AB114" s="42">
        <v>0</v>
      </c>
      <c r="AC114" s="48">
        <v>1.95</v>
      </c>
      <c r="AD114" s="46">
        <v>0.5</v>
      </c>
      <c r="AE114" s="48">
        <v>1.48</v>
      </c>
      <c r="AF114" s="48">
        <v>0.35499999999999998</v>
      </c>
      <c r="AG114" s="48">
        <v>1.4</v>
      </c>
      <c r="AH114" s="48">
        <v>8.34</v>
      </c>
      <c r="AI114" s="48">
        <v>1.34</v>
      </c>
      <c r="AJ114" s="48">
        <v>227</v>
      </c>
      <c r="AK114" s="48">
        <v>1.1299999999999999</v>
      </c>
      <c r="AL114" s="46">
        <v>0.05</v>
      </c>
      <c r="AM114" s="48">
        <v>0</v>
      </c>
      <c r="AN114" s="48">
        <v>5</v>
      </c>
      <c r="AO114" s="48">
        <v>0</v>
      </c>
      <c r="AP114" s="48">
        <v>30</v>
      </c>
      <c r="AQ114" s="48">
        <v>35.709200000000003</v>
      </c>
      <c r="AR114" s="48">
        <v>0</v>
      </c>
      <c r="AS114" s="48">
        <v>0</v>
      </c>
      <c r="AT114" s="48">
        <v>4.46</v>
      </c>
      <c r="AU114" s="44">
        <v>0</v>
      </c>
      <c r="AV114" s="48">
        <v>0</v>
      </c>
      <c r="AW114" s="48">
        <v>2.5000000000000001E-2</v>
      </c>
      <c r="AX114" s="48">
        <v>2.21</v>
      </c>
      <c r="AY114" s="48">
        <v>1.69</v>
      </c>
      <c r="AZ114" s="48">
        <v>0.115</v>
      </c>
      <c r="BA114" s="48">
        <v>0.32</v>
      </c>
      <c r="BB114" s="48">
        <v>18.5</v>
      </c>
      <c r="BC114" s="48">
        <v>0</v>
      </c>
      <c r="BD114" s="48">
        <v>0.02</v>
      </c>
      <c r="BE114" s="48">
        <v>18.399999999999999</v>
      </c>
      <c r="BF114" s="48">
        <v>8.5000000000000006E-2</v>
      </c>
      <c r="BG114" s="48">
        <v>2.9000000000000001E-2</v>
      </c>
      <c r="BH114" s="48">
        <v>23.1</v>
      </c>
      <c r="BI114" s="43">
        <v>0</v>
      </c>
      <c r="BJ114" s="43">
        <v>0</v>
      </c>
      <c r="BK114" s="48">
        <v>0</v>
      </c>
      <c r="BL114" s="48">
        <v>1.4E-2</v>
      </c>
      <c r="BM114" s="48">
        <v>0</v>
      </c>
      <c r="BN114" s="44">
        <v>23.073999999999998</v>
      </c>
      <c r="BO114" s="48">
        <v>0.34799999999999998</v>
      </c>
      <c r="BP114" s="48">
        <v>0.92800000000000005</v>
      </c>
      <c r="BQ114" s="48">
        <v>1.1399999999999999</v>
      </c>
      <c r="BR114" s="48">
        <v>1.66</v>
      </c>
      <c r="BS114" s="48">
        <v>0.93700000000000006</v>
      </c>
      <c r="BT114" s="48">
        <v>0.49399999999999999</v>
      </c>
      <c r="BU114" s="48">
        <v>0.45100000000000001</v>
      </c>
      <c r="BV114" s="48">
        <v>1.17</v>
      </c>
      <c r="BW114" s="48">
        <v>0.66600000000000004</v>
      </c>
      <c r="BX114" s="48">
        <v>1.32</v>
      </c>
      <c r="BY114" s="48">
        <v>2.4</v>
      </c>
      <c r="BZ114" s="48">
        <v>0.63200000000000001</v>
      </c>
      <c r="CA114" s="48">
        <v>1.1200000000000001</v>
      </c>
      <c r="CB114" s="48">
        <v>2.4500000000000002</v>
      </c>
      <c r="CC114" s="48">
        <v>5.58</v>
      </c>
      <c r="CD114" s="48">
        <v>1.46</v>
      </c>
      <c r="CE114" s="48">
        <v>1.18</v>
      </c>
      <c r="CF114" s="48">
        <v>1.08</v>
      </c>
      <c r="CG114" s="42">
        <v>0</v>
      </c>
      <c r="CH114" s="42">
        <v>0.13</v>
      </c>
      <c r="CI114" s="47">
        <v>0</v>
      </c>
      <c r="CJ114" s="48">
        <v>2.5</v>
      </c>
      <c r="CK114" s="42">
        <v>0</v>
      </c>
      <c r="CL114" s="47">
        <v>0</v>
      </c>
    </row>
    <row r="115" spans="2:90" x14ac:dyDescent="0.35">
      <c r="B115" s="40" t="s">
        <v>404</v>
      </c>
      <c r="C115" s="48">
        <v>486</v>
      </c>
      <c r="D115" s="48">
        <v>2030</v>
      </c>
      <c r="E115" s="48">
        <v>16.5</v>
      </c>
      <c r="F115" s="49">
        <v>0</v>
      </c>
      <c r="G115" s="49">
        <v>16.5</v>
      </c>
      <c r="H115" s="48">
        <v>30.7</v>
      </c>
      <c r="I115" s="49">
        <v>0</v>
      </c>
      <c r="J115" s="49">
        <v>30.7</v>
      </c>
      <c r="K115" s="48">
        <v>0</v>
      </c>
      <c r="L115" s="42">
        <v>36.6</v>
      </c>
      <c r="M115" s="42">
        <v>0.1</v>
      </c>
      <c r="N115" s="42">
        <v>0.1</v>
      </c>
      <c r="O115" s="42">
        <v>32.9</v>
      </c>
      <c r="P115" s="45">
        <v>0</v>
      </c>
      <c r="Q115" s="48">
        <v>5.8</v>
      </c>
      <c r="R115" s="48">
        <v>7.72</v>
      </c>
      <c r="S115" s="48">
        <v>631</v>
      </c>
      <c r="T115" s="48">
        <v>16</v>
      </c>
      <c r="U115" s="48">
        <v>407</v>
      </c>
      <c r="V115" s="48">
        <v>860</v>
      </c>
      <c r="W115" s="48">
        <v>4.58</v>
      </c>
      <c r="X115" s="48">
        <v>335</v>
      </c>
      <c r="Y115" s="48">
        <v>0.92400000000000004</v>
      </c>
      <c r="Z115" s="48">
        <v>55.2</v>
      </c>
      <c r="AA115" s="46">
        <v>0.5</v>
      </c>
      <c r="AB115" s="42">
        <v>0</v>
      </c>
      <c r="AC115" s="48">
        <v>2.72</v>
      </c>
      <c r="AD115" s="46">
        <v>0.5</v>
      </c>
      <c r="AE115" s="48">
        <v>0.62</v>
      </c>
      <c r="AF115" s="48">
        <v>0.17</v>
      </c>
      <c r="AG115" s="48">
        <v>1.6</v>
      </c>
      <c r="AH115" s="48">
        <v>8.83</v>
      </c>
      <c r="AI115" s="42">
        <v>0.32</v>
      </c>
      <c r="AJ115" s="48">
        <v>49</v>
      </c>
      <c r="AK115" s="43">
        <v>0.85766666666666669</v>
      </c>
      <c r="AL115" s="46">
        <v>0.05</v>
      </c>
      <c r="AM115" s="48">
        <v>0</v>
      </c>
      <c r="AN115" s="42">
        <v>0</v>
      </c>
      <c r="AO115" s="47">
        <v>0</v>
      </c>
      <c r="AP115" s="42">
        <v>0</v>
      </c>
      <c r="AQ115" s="48">
        <v>0.5</v>
      </c>
      <c r="AR115" s="47">
        <v>0</v>
      </c>
      <c r="AS115" s="46">
        <v>5.0000000000000001E-3</v>
      </c>
      <c r="AT115" s="48">
        <v>3.33</v>
      </c>
      <c r="AU115" s="43">
        <v>0.09</v>
      </c>
      <c r="AV115" s="42">
        <v>3.0000000000000001E-3</v>
      </c>
      <c r="AW115" s="48">
        <v>0.03</v>
      </c>
      <c r="AX115" s="48">
        <v>2.17</v>
      </c>
      <c r="AY115" s="48">
        <v>0.91200000000000003</v>
      </c>
      <c r="AZ115" s="48">
        <v>9.2999999999999999E-2</v>
      </c>
      <c r="BA115" s="48">
        <v>3.2000000000000001E-2</v>
      </c>
      <c r="BB115" s="48">
        <v>2.31</v>
      </c>
      <c r="BC115" s="48">
        <v>0.03</v>
      </c>
      <c r="BD115" s="48">
        <v>2.9000000000000001E-2</v>
      </c>
      <c r="BE115" s="48">
        <v>2.2000000000000002</v>
      </c>
      <c r="BF115" s="48">
        <v>4.5999999999999999E-2</v>
      </c>
      <c r="BG115" s="42">
        <v>4.0000000000000001E-3</v>
      </c>
      <c r="BH115" s="48">
        <v>23.7</v>
      </c>
      <c r="BI115" s="48">
        <v>5.84</v>
      </c>
      <c r="BJ115" s="48">
        <v>17.8</v>
      </c>
      <c r="BK115" s="43">
        <v>0</v>
      </c>
      <c r="BL115" s="43">
        <v>0</v>
      </c>
      <c r="BM115" s="43">
        <v>0</v>
      </c>
      <c r="BN115" s="44">
        <v>23.64</v>
      </c>
      <c r="BO115" s="48">
        <v>0.436</v>
      </c>
      <c r="BP115" s="48">
        <v>0.70899999999999996</v>
      </c>
      <c r="BQ115" s="48">
        <v>0.80100000000000005</v>
      </c>
      <c r="BR115" s="48">
        <v>1.37</v>
      </c>
      <c r="BS115" s="48">
        <v>0.97</v>
      </c>
      <c r="BT115" s="48">
        <v>0.58799999999999997</v>
      </c>
      <c r="BU115" s="48">
        <v>0.40699999999999997</v>
      </c>
      <c r="BV115" s="48">
        <v>1.02</v>
      </c>
      <c r="BW115" s="48">
        <v>0.56299999999999994</v>
      </c>
      <c r="BX115" s="48">
        <v>0.95</v>
      </c>
      <c r="BY115" s="48">
        <v>2.14</v>
      </c>
      <c r="BZ115" s="48">
        <v>0.53100000000000003</v>
      </c>
      <c r="CA115" s="48">
        <v>1.04</v>
      </c>
      <c r="CB115" s="48">
        <v>1.69</v>
      </c>
      <c r="CC115" s="48">
        <v>3.5</v>
      </c>
      <c r="CD115" s="48">
        <v>0.94299999999999995</v>
      </c>
      <c r="CE115" s="48">
        <v>0.77600000000000002</v>
      </c>
      <c r="CF115" s="48">
        <v>1.05</v>
      </c>
      <c r="CG115" s="42">
        <v>0</v>
      </c>
      <c r="CH115" s="42">
        <v>0.1</v>
      </c>
      <c r="CI115" s="47">
        <v>0</v>
      </c>
      <c r="CJ115" s="42">
        <v>0</v>
      </c>
      <c r="CK115" s="42">
        <v>0</v>
      </c>
      <c r="CL115" s="47">
        <v>0</v>
      </c>
    </row>
    <row r="116" spans="2:90" x14ac:dyDescent="0.35">
      <c r="B116" s="9" t="s">
        <v>495</v>
      </c>
      <c r="C116" s="54">
        <v>395</v>
      </c>
      <c r="D116" s="54">
        <v>1642</v>
      </c>
      <c r="E116" s="54">
        <v>14.1</v>
      </c>
      <c r="F116" s="54">
        <v>0</v>
      </c>
      <c r="G116" s="54">
        <v>14.1</v>
      </c>
      <c r="H116" s="54">
        <v>22.1</v>
      </c>
      <c r="I116" s="54">
        <v>0</v>
      </c>
      <c r="J116" s="54">
        <v>22.1</v>
      </c>
      <c r="K116" s="54">
        <v>0</v>
      </c>
      <c r="L116" s="54">
        <v>24.2</v>
      </c>
      <c r="M116" s="54">
        <v>0</v>
      </c>
      <c r="N116" s="54">
        <v>24.2</v>
      </c>
      <c r="O116" s="54">
        <v>24.7</v>
      </c>
      <c r="P116" s="54">
        <v>0</v>
      </c>
      <c r="Q116" s="54">
        <v>9</v>
      </c>
      <c r="R116" s="54">
        <v>29.3</v>
      </c>
      <c r="S116" s="54">
        <v>744</v>
      </c>
      <c r="T116" s="54">
        <v>91</v>
      </c>
      <c r="U116" s="54">
        <v>1265</v>
      </c>
      <c r="V116" s="54">
        <v>406</v>
      </c>
      <c r="W116" s="54">
        <v>3.6</v>
      </c>
      <c r="X116" s="81">
        <v>0</v>
      </c>
      <c r="Y116" s="81">
        <v>0</v>
      </c>
      <c r="Z116" s="81">
        <v>0</v>
      </c>
      <c r="AA116" s="81">
        <v>0</v>
      </c>
      <c r="AB116" s="81">
        <v>0</v>
      </c>
      <c r="AC116" s="81">
        <v>0</v>
      </c>
      <c r="AD116" s="81">
        <v>0</v>
      </c>
      <c r="AE116" s="54">
        <v>0.38</v>
      </c>
      <c r="AF116" s="54">
        <v>0.26</v>
      </c>
      <c r="AG116" s="54">
        <v>3</v>
      </c>
      <c r="AH116" s="54">
        <v>5.13</v>
      </c>
      <c r="AI116" s="54">
        <v>0.44</v>
      </c>
      <c r="AJ116" s="54">
        <v>0</v>
      </c>
      <c r="AK116" s="81">
        <v>0</v>
      </c>
      <c r="AL116" s="81">
        <v>0</v>
      </c>
      <c r="AM116" s="81">
        <v>0</v>
      </c>
      <c r="AN116" s="54">
        <v>50</v>
      </c>
      <c r="AO116" s="54">
        <v>0</v>
      </c>
      <c r="AP116" s="54">
        <v>297</v>
      </c>
      <c r="AQ116" s="54">
        <v>2.72</v>
      </c>
      <c r="AR116" s="54">
        <v>0</v>
      </c>
      <c r="AS116" s="81">
        <v>0</v>
      </c>
      <c r="AT116" s="54">
        <v>7.32</v>
      </c>
      <c r="AU116" s="81">
        <v>0</v>
      </c>
      <c r="AV116" s="81">
        <v>0</v>
      </c>
      <c r="AW116" s="81">
        <v>0</v>
      </c>
      <c r="AX116" s="81">
        <v>0</v>
      </c>
      <c r="AY116" s="81">
        <v>0</v>
      </c>
      <c r="AZ116" s="81">
        <v>0</v>
      </c>
      <c r="BA116" s="81">
        <v>0</v>
      </c>
      <c r="BB116" s="54">
        <v>9.11</v>
      </c>
      <c r="BC116" s="81">
        <v>0</v>
      </c>
      <c r="BD116" s="81">
        <v>0</v>
      </c>
      <c r="BE116" s="54">
        <v>8.67</v>
      </c>
      <c r="BF116" s="81">
        <v>0</v>
      </c>
      <c r="BG116" s="81">
        <v>0</v>
      </c>
      <c r="BH116" s="54">
        <v>1.5</v>
      </c>
      <c r="BI116" s="54">
        <v>1.5</v>
      </c>
      <c r="BJ116" s="54">
        <v>0</v>
      </c>
      <c r="BK116" s="82">
        <v>0</v>
      </c>
      <c r="BL116" s="82">
        <v>0</v>
      </c>
      <c r="BM116" s="82">
        <v>0</v>
      </c>
      <c r="BN116" s="54">
        <v>0</v>
      </c>
      <c r="BO116" s="56">
        <v>226</v>
      </c>
      <c r="BP116" s="56">
        <v>537</v>
      </c>
      <c r="BQ116" s="56">
        <v>620</v>
      </c>
      <c r="BR116" s="56">
        <v>889</v>
      </c>
      <c r="BS116" s="56">
        <v>676</v>
      </c>
      <c r="BT116" s="56">
        <v>269</v>
      </c>
      <c r="BU116" s="56">
        <v>198</v>
      </c>
      <c r="BV116" s="56">
        <v>577</v>
      </c>
      <c r="BW116" s="56">
        <v>366</v>
      </c>
      <c r="BX116" s="56">
        <v>817</v>
      </c>
      <c r="BY116" s="56">
        <v>607</v>
      </c>
      <c r="BZ116" s="56">
        <v>295</v>
      </c>
      <c r="CA116" s="56">
        <v>704</v>
      </c>
      <c r="CB116" s="56">
        <v>1636</v>
      </c>
      <c r="CC116" s="56">
        <v>2638</v>
      </c>
      <c r="CD116" s="56">
        <v>1988</v>
      </c>
      <c r="CE116" s="56">
        <v>803</v>
      </c>
      <c r="CF116" s="56">
        <v>803</v>
      </c>
      <c r="CG116" s="81">
        <v>0</v>
      </c>
      <c r="CH116" s="81">
        <v>0</v>
      </c>
      <c r="CI116" s="83">
        <v>0</v>
      </c>
      <c r="CJ116" s="81">
        <v>0</v>
      </c>
      <c r="CK116" s="81">
        <v>0</v>
      </c>
      <c r="CL116" s="83">
        <v>0</v>
      </c>
    </row>
    <row r="117" spans="2:90" x14ac:dyDescent="0.35">
      <c r="C117">
        <f t="shared" ref="C117:AH117" si="10">AVERAGE(C110:C116)</f>
        <v>459.14285714285717</v>
      </c>
      <c r="D117">
        <f t="shared" si="10"/>
        <v>1911.8571428571429</v>
      </c>
      <c r="E117">
        <f t="shared" si="10"/>
        <v>19.957142857142856</v>
      </c>
      <c r="F117">
        <f t="shared" si="10"/>
        <v>0</v>
      </c>
      <c r="G117">
        <f t="shared" si="10"/>
        <v>19.957142857142856</v>
      </c>
      <c r="H117">
        <f t="shared" si="10"/>
        <v>31.642857142857139</v>
      </c>
      <c r="I117">
        <f t="shared" si="10"/>
        <v>0</v>
      </c>
      <c r="J117">
        <f t="shared" si="10"/>
        <v>31.642857142857139</v>
      </c>
      <c r="K117">
        <f t="shared" si="10"/>
        <v>0</v>
      </c>
      <c r="L117">
        <f t="shared" si="10"/>
        <v>19.671428571428571</v>
      </c>
      <c r="M117">
        <f t="shared" si="10"/>
        <v>0.22428571428571428</v>
      </c>
      <c r="N117">
        <f t="shared" si="10"/>
        <v>10.645714285714286</v>
      </c>
      <c r="O117">
        <f t="shared" si="10"/>
        <v>22.471428571428568</v>
      </c>
      <c r="P117">
        <f t="shared" si="10"/>
        <v>0</v>
      </c>
      <c r="Q117">
        <f t="shared" si="10"/>
        <v>6.822857142857143</v>
      </c>
      <c r="R117">
        <f t="shared" si="10"/>
        <v>19.712857142857143</v>
      </c>
      <c r="S117">
        <f t="shared" si="10"/>
        <v>546.85714285714289</v>
      </c>
      <c r="T117">
        <f t="shared" si="10"/>
        <v>62.714285714285715</v>
      </c>
      <c r="U117">
        <f t="shared" si="10"/>
        <v>1042.7142857142858</v>
      </c>
      <c r="V117">
        <f t="shared" si="10"/>
        <v>689.28571428571433</v>
      </c>
      <c r="W117">
        <f t="shared" si="10"/>
        <v>5.3271428571428574</v>
      </c>
      <c r="X117">
        <f t="shared" si="10"/>
        <v>204.71428571428572</v>
      </c>
      <c r="Y117">
        <f t="shared" si="10"/>
        <v>0.752</v>
      </c>
      <c r="Z117">
        <f t="shared" si="10"/>
        <v>17.085714285714285</v>
      </c>
      <c r="AA117">
        <f t="shared" si="10"/>
        <v>1.6428571428571428</v>
      </c>
      <c r="AB117">
        <f t="shared" si="10"/>
        <v>0.18571428571428572</v>
      </c>
      <c r="AC117">
        <f t="shared" si="10"/>
        <v>1.6871428571428573</v>
      </c>
      <c r="AD117">
        <f t="shared" si="10"/>
        <v>0.21428571428571427</v>
      </c>
      <c r="AE117">
        <f t="shared" si="10"/>
        <v>0.56614285714285717</v>
      </c>
      <c r="AF117">
        <f t="shared" si="10"/>
        <v>0.25399999999999995</v>
      </c>
      <c r="AG117">
        <f t="shared" si="10"/>
        <v>2.23</v>
      </c>
      <c r="AH117">
        <f t="shared" si="10"/>
        <v>6.2241428571428576</v>
      </c>
      <c r="AI117">
        <f t="shared" ref="AI117:BN117" si="11">AVERAGE(AI110:AI116)</f>
        <v>0.44614285714285712</v>
      </c>
      <c r="AJ117">
        <f t="shared" si="11"/>
        <v>56.285714285714285</v>
      </c>
      <c r="AK117">
        <f t="shared" si="11"/>
        <v>0.69680952380952377</v>
      </c>
      <c r="AL117">
        <f t="shared" si="11"/>
        <v>1.5928571428571432</v>
      </c>
      <c r="AM117">
        <f t="shared" si="11"/>
        <v>0</v>
      </c>
      <c r="AN117">
        <f t="shared" si="11"/>
        <v>28.238095238095237</v>
      </c>
      <c r="AO117">
        <f t="shared" si="11"/>
        <v>0</v>
      </c>
      <c r="AP117">
        <f t="shared" si="11"/>
        <v>168.57142857142858</v>
      </c>
      <c r="AQ117">
        <f t="shared" si="11"/>
        <v>7.2537428571428579</v>
      </c>
      <c r="AR117">
        <f t="shared" si="11"/>
        <v>0</v>
      </c>
      <c r="AS117">
        <f t="shared" si="11"/>
        <v>1.757857142857143</v>
      </c>
      <c r="AT117">
        <f t="shared" si="11"/>
        <v>3.9957142857142856</v>
      </c>
      <c r="AU117">
        <f t="shared" si="11"/>
        <v>1.3428571428571429E-2</v>
      </c>
      <c r="AV117">
        <f t="shared" si="11"/>
        <v>1.2857142857142859E-3</v>
      </c>
      <c r="AW117">
        <f t="shared" si="11"/>
        <v>1.6285714285714285E-2</v>
      </c>
      <c r="AX117">
        <f t="shared" si="11"/>
        <v>1.6628571428571426</v>
      </c>
      <c r="AY117">
        <f t="shared" si="11"/>
        <v>0.9245714285714286</v>
      </c>
      <c r="AZ117">
        <f t="shared" si="11"/>
        <v>6.0000000000000005E-2</v>
      </c>
      <c r="BA117">
        <f t="shared" si="11"/>
        <v>5.8428571428571434E-2</v>
      </c>
      <c r="BB117">
        <f t="shared" si="11"/>
        <v>10.884285714285713</v>
      </c>
      <c r="BC117">
        <f t="shared" si="11"/>
        <v>4.2857142857142859E-3</v>
      </c>
      <c r="BD117">
        <f t="shared" si="11"/>
        <v>1.3857142857142858E-2</v>
      </c>
      <c r="BE117">
        <f t="shared" si="11"/>
        <v>10.02</v>
      </c>
      <c r="BF117">
        <f t="shared" si="11"/>
        <v>2.6714285714285715E-2</v>
      </c>
      <c r="BG117">
        <f t="shared" si="11"/>
        <v>4.8571428571428576E-3</v>
      </c>
      <c r="BH117">
        <f t="shared" si="11"/>
        <v>13.531428571428574</v>
      </c>
      <c r="BI117">
        <f t="shared" si="11"/>
        <v>5.194285714285714</v>
      </c>
      <c r="BJ117">
        <f t="shared" si="11"/>
        <v>5.0028571428571436</v>
      </c>
      <c r="BK117">
        <f t="shared" si="11"/>
        <v>1.8714285714285715E-2</v>
      </c>
      <c r="BL117">
        <f t="shared" si="11"/>
        <v>2E-3</v>
      </c>
      <c r="BM117">
        <f t="shared" si="11"/>
        <v>0</v>
      </c>
      <c r="BN117">
        <f t="shared" si="11"/>
        <v>9.6497142857142855</v>
      </c>
      <c r="BO117">
        <f t="shared" ref="BO117" si="12">AVERAGE(BO110:BO116)</f>
        <v>109.33714285714287</v>
      </c>
      <c r="BP117">
        <f t="shared" ref="BP117:CL117" si="13">AVERAGE(BP110:BP116)</f>
        <v>418.09071428571423</v>
      </c>
      <c r="BQ117">
        <f t="shared" si="13"/>
        <v>479.31728571428573</v>
      </c>
      <c r="BR117">
        <f t="shared" si="13"/>
        <v>682.92142857142858</v>
      </c>
      <c r="BS117">
        <f t="shared" si="13"/>
        <v>484.0209999999999</v>
      </c>
      <c r="BT117">
        <f t="shared" si="13"/>
        <v>210.81214285714285</v>
      </c>
      <c r="BU117">
        <f t="shared" si="13"/>
        <v>175.17000000000002</v>
      </c>
      <c r="BV117">
        <f t="shared" si="13"/>
        <v>477.27428571428572</v>
      </c>
      <c r="BW117">
        <f t="shared" si="13"/>
        <v>289.61700000000002</v>
      </c>
      <c r="BX117">
        <f t="shared" si="13"/>
        <v>619.40714285714296</v>
      </c>
      <c r="BY117">
        <f t="shared" si="13"/>
        <v>689.98428571428576</v>
      </c>
      <c r="BZ117">
        <f t="shared" si="13"/>
        <v>228.99185714285713</v>
      </c>
      <c r="CA117">
        <f t="shared" si="13"/>
        <v>544.37714285714287</v>
      </c>
      <c r="CB117">
        <f t="shared" si="13"/>
        <v>1165.7285714285713</v>
      </c>
      <c r="CC117">
        <f t="shared" si="13"/>
        <v>2075.0385714285717</v>
      </c>
      <c r="CD117">
        <f t="shared" si="13"/>
        <v>862.74900000000002</v>
      </c>
      <c r="CE117">
        <f t="shared" si="13"/>
        <v>546.7537142857143</v>
      </c>
      <c r="CF117">
        <f t="shared" si="13"/>
        <v>593.68571428571431</v>
      </c>
      <c r="CG117">
        <f t="shared" si="13"/>
        <v>1.8571428571428572E-2</v>
      </c>
      <c r="CH117">
        <f t="shared" si="13"/>
        <v>5.4285714285714284E-2</v>
      </c>
      <c r="CI117">
        <f t="shared" si="13"/>
        <v>0</v>
      </c>
      <c r="CJ117">
        <f t="shared" si="13"/>
        <v>0.51857142857142857</v>
      </c>
      <c r="CK117">
        <f t="shared" si="13"/>
        <v>0</v>
      </c>
      <c r="CL117">
        <f t="shared" si="13"/>
        <v>0</v>
      </c>
    </row>
  </sheetData>
  <sortState ref="A94:CL107">
    <sortCondition ref="B94"/>
  </sortState>
  <conditionalFormatting sqref="G113:G115">
    <cfRule type="containsBlanks" dxfId="31" priority="3">
      <formula>LEN(TRIM(G113))=0</formula>
    </cfRule>
  </conditionalFormatting>
  <conditionalFormatting sqref="I113:I115">
    <cfRule type="containsBlanks" dxfId="30" priority="2">
      <formula>LEN(TRIM(I113))=0</formula>
    </cfRule>
  </conditionalFormatting>
  <conditionalFormatting sqref="J113:J115">
    <cfRule type="containsBlanks" dxfId="29" priority="1">
      <formula>LEN(TRIM(J113))=0</formula>
    </cfRule>
  </conditionalFormatting>
  <conditionalFormatting sqref="H113:H115 K113:Z113 K114:L114 N114:Z114 Q115:Z115 AC113:AC115 AE115:AH115 AJ115 AE113:AK114 AM113:CL113 AM115 AQ115 AT115 AW115:BF115 BH115:BJ115 AM114:BH114 BK114:CF114 BN115:CF115 CJ114 C113:F115 K115">
    <cfRule type="containsBlanks" dxfId="28" priority="4">
      <formula>LEN(TRIM(C113))=0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59999389629810485"/>
  </sheetPr>
  <dimension ref="A1:CK18"/>
  <sheetViews>
    <sheetView zoomScale="85" zoomScaleNormal="85" workbookViewId="0">
      <pane xSplit="1" topLeftCell="B1" activePane="topRight" state="frozen"/>
      <selection pane="topRight" activeCell="L8" sqref="L8"/>
    </sheetView>
  </sheetViews>
  <sheetFormatPr defaultRowHeight="14.5" x14ac:dyDescent="0.35"/>
  <cols>
    <col min="1" max="1" width="21.7265625" customWidth="1"/>
    <col min="2" max="2" width="27.81640625" bestFit="1" customWidth="1"/>
    <col min="3" max="3" width="6" bestFit="1" customWidth="1"/>
    <col min="8" max="8" width="8.453125" customWidth="1"/>
    <col min="9" max="9" width="7.54296875" customWidth="1"/>
    <col min="10" max="10" width="9.26953125" customWidth="1"/>
    <col min="11" max="11" width="14.26953125" customWidth="1"/>
    <col min="12" max="12" width="13.1796875" bestFit="1" customWidth="1"/>
    <col min="13" max="13" width="7.54296875" customWidth="1"/>
    <col min="29" max="29" width="6.6328125" bestFit="1" customWidth="1"/>
    <col min="30" max="30" width="7.1796875" customWidth="1"/>
    <col min="31" max="31" width="8.26953125" customWidth="1"/>
    <col min="32" max="32" width="7.90625" customWidth="1"/>
    <col min="33" max="33" width="5.26953125" customWidth="1"/>
    <col min="34" max="34" width="8.7265625" customWidth="1"/>
    <col min="35" max="35" width="9.08984375" customWidth="1"/>
    <col min="36" max="36" width="12.36328125" customWidth="1"/>
    <col min="37" max="37" width="7.453125" customWidth="1"/>
    <col min="38" max="38" width="7.90625" customWidth="1"/>
    <col min="39" max="39" width="12" customWidth="1"/>
    <col min="40" max="40" width="9.81640625" bestFit="1" customWidth="1"/>
    <col min="41" max="41" width="12.1796875" customWidth="1"/>
    <col min="42" max="42" width="16.54296875" bestFit="1" customWidth="1"/>
    <col min="43" max="43" width="11.08984375" bestFit="1" customWidth="1"/>
    <col min="44" max="44" width="16.453125" bestFit="1" customWidth="1"/>
    <col min="45" max="45" width="18.26953125" customWidth="1"/>
    <col min="46" max="46" width="16.90625" customWidth="1"/>
    <col min="47" max="47" width="13.453125" customWidth="1"/>
    <col min="48" max="48" width="15" customWidth="1"/>
    <col min="49" max="49" width="12.1796875" customWidth="1"/>
    <col min="50" max="50" width="14.90625" customWidth="1"/>
    <col min="51" max="51" width="14.08984375" customWidth="1"/>
    <col min="52" max="52" width="16.90625" customWidth="1"/>
    <col min="53" max="53" width="29.90625" bestFit="1" customWidth="1"/>
    <col min="54" max="54" width="8.7265625" customWidth="1"/>
    <col min="55" max="55" width="9.1796875" customWidth="1"/>
    <col min="56" max="56" width="12.6328125" customWidth="1"/>
    <col min="57" max="57" width="9.36328125" customWidth="1"/>
    <col min="58" max="58" width="9.08984375" customWidth="1"/>
    <col min="59" max="59" width="25.7265625" customWidth="1"/>
    <col min="60" max="60" width="8.6328125" customWidth="1"/>
    <col min="61" max="62" width="8.54296875" customWidth="1"/>
    <col min="63" max="63" width="15.7265625" customWidth="1"/>
    <col min="64" max="64" width="11.26953125" customWidth="1"/>
    <col min="65" max="65" width="6.81640625" customWidth="1"/>
    <col min="66" max="66" width="6.7265625" bestFit="1" customWidth="1"/>
    <col min="67" max="67" width="10.26953125" bestFit="1" customWidth="1"/>
    <col min="68" max="68" width="10.54296875" bestFit="1" customWidth="1"/>
    <col min="69" max="69" width="8.08984375" bestFit="1" customWidth="1"/>
    <col min="70" max="70" width="6.81640625" bestFit="1" customWidth="1"/>
    <col min="71" max="71" width="11.26953125" bestFit="1" customWidth="1"/>
    <col min="72" max="72" width="7.7265625" customWidth="1"/>
    <col min="73" max="73" width="13.54296875" bestFit="1" customWidth="1"/>
    <col min="74" max="74" width="8.81640625" bestFit="1" customWidth="1"/>
    <col min="75" max="75" width="8" customWidth="1"/>
    <col min="76" max="76" width="8.81640625" bestFit="1" customWidth="1"/>
    <col min="77" max="77" width="9.08984375" bestFit="1" customWidth="1"/>
    <col min="80" max="80" width="12" customWidth="1"/>
    <col min="81" max="81" width="7.81640625" bestFit="1" customWidth="1"/>
    <col min="82" max="82" width="7.453125" bestFit="1" customWidth="1"/>
    <col min="83" max="83" width="6.90625" bestFit="1" customWidth="1"/>
    <col min="84" max="84" width="10.36328125" bestFit="1" customWidth="1"/>
    <col min="85" max="85" width="9.26953125" bestFit="1" customWidth="1"/>
    <col min="86" max="86" width="10.36328125" bestFit="1" customWidth="1"/>
    <col min="87" max="87" width="11.1796875" customWidth="1"/>
    <col min="88" max="89" width="9.08984375" bestFit="1" customWidth="1"/>
    <col min="90" max="90" width="8.81640625" bestFit="1" customWidth="1"/>
    <col min="91" max="91" width="16.6328125" bestFit="1" customWidth="1"/>
    <col min="92" max="92" width="16.7265625" bestFit="1" customWidth="1"/>
    <col min="93" max="93" width="9.1796875" bestFit="1" customWidth="1"/>
    <col min="94" max="94" width="9.08984375" bestFit="1" customWidth="1"/>
    <col min="95" max="96" width="8.26953125" bestFit="1" customWidth="1"/>
  </cols>
  <sheetData>
    <row r="1" spans="1:89" x14ac:dyDescent="0.35">
      <c r="B1" s="13" t="s">
        <v>29</v>
      </c>
      <c r="C1" s="14" t="s">
        <v>30</v>
      </c>
      <c r="D1" s="14" t="s">
        <v>31</v>
      </c>
      <c r="E1" s="14" t="s">
        <v>32</v>
      </c>
      <c r="F1" s="14" t="s">
        <v>33</v>
      </c>
      <c r="G1" s="14" t="s">
        <v>34</v>
      </c>
      <c r="H1" s="14" t="s">
        <v>35</v>
      </c>
      <c r="I1" s="14" t="s">
        <v>36</v>
      </c>
      <c r="J1" s="14" t="s">
        <v>37</v>
      </c>
      <c r="K1" s="14" t="s">
        <v>38</v>
      </c>
      <c r="L1" s="14" t="s">
        <v>39</v>
      </c>
      <c r="M1" s="14" t="s">
        <v>40</v>
      </c>
      <c r="N1" s="14" t="s">
        <v>41</v>
      </c>
      <c r="O1" s="14" t="s">
        <v>42</v>
      </c>
      <c r="P1" s="14" t="s">
        <v>43</v>
      </c>
      <c r="Q1" s="14" t="s">
        <v>44</v>
      </c>
      <c r="R1" s="14" t="s">
        <v>45</v>
      </c>
      <c r="S1" s="14" t="s">
        <v>46</v>
      </c>
      <c r="T1" s="14" t="s">
        <v>47</v>
      </c>
      <c r="U1" s="14" t="s">
        <v>48</v>
      </c>
      <c r="V1" s="14" t="s">
        <v>49</v>
      </c>
      <c r="W1" s="14" t="s">
        <v>50</v>
      </c>
      <c r="X1" s="14" t="s">
        <v>51</v>
      </c>
      <c r="Y1" s="14" t="s">
        <v>52</v>
      </c>
      <c r="Z1" s="14" t="s">
        <v>53</v>
      </c>
      <c r="AA1" s="14" t="s">
        <v>54</v>
      </c>
      <c r="AB1" s="14" t="s">
        <v>55</v>
      </c>
      <c r="AC1" s="14" t="s">
        <v>56</v>
      </c>
      <c r="AD1" s="14" t="s">
        <v>57</v>
      </c>
      <c r="AE1" s="14" t="s">
        <v>58</v>
      </c>
      <c r="AF1" s="14" t="s">
        <v>59</v>
      </c>
      <c r="AG1" s="14" t="s">
        <v>60</v>
      </c>
      <c r="AH1" s="14" t="s">
        <v>61</v>
      </c>
      <c r="AI1" s="14" t="s">
        <v>62</v>
      </c>
      <c r="AJ1" s="14" t="s">
        <v>63</v>
      </c>
      <c r="AK1" s="14" t="s">
        <v>64</v>
      </c>
      <c r="AL1" s="14" t="s">
        <v>65</v>
      </c>
      <c r="AM1" s="14" t="s">
        <v>66</v>
      </c>
      <c r="AN1" s="14" t="s">
        <v>67</v>
      </c>
      <c r="AO1" s="14" t="s">
        <v>68</v>
      </c>
      <c r="AP1" s="14" t="s">
        <v>69</v>
      </c>
      <c r="AQ1" s="14" t="s">
        <v>70</v>
      </c>
      <c r="AR1" s="14" t="s">
        <v>71</v>
      </c>
      <c r="AS1" s="14" t="s">
        <v>72</v>
      </c>
      <c r="AT1" s="14" t="s">
        <v>73</v>
      </c>
      <c r="AU1" s="14" t="s">
        <v>74</v>
      </c>
      <c r="AV1" s="14" t="s">
        <v>75</v>
      </c>
      <c r="AW1" s="14" t="s">
        <v>76</v>
      </c>
      <c r="AX1" s="14" t="s">
        <v>77</v>
      </c>
      <c r="AY1" s="14" t="s">
        <v>78</v>
      </c>
      <c r="AZ1" s="14" t="s">
        <v>79</v>
      </c>
      <c r="BA1" s="14" t="s">
        <v>80</v>
      </c>
      <c r="BB1" s="14" t="s">
        <v>81</v>
      </c>
      <c r="BC1" s="14" t="s">
        <v>82</v>
      </c>
      <c r="BD1" s="14" t="s">
        <v>83</v>
      </c>
      <c r="BE1" s="14" t="s">
        <v>84</v>
      </c>
      <c r="BF1" s="14" t="s">
        <v>85</v>
      </c>
      <c r="BG1" s="14" t="s">
        <v>86</v>
      </c>
      <c r="BH1" s="14" t="s">
        <v>87</v>
      </c>
      <c r="BI1" s="14" t="s">
        <v>88</v>
      </c>
      <c r="BJ1" s="14" t="s">
        <v>89</v>
      </c>
      <c r="BK1" s="14" t="s">
        <v>90</v>
      </c>
      <c r="BL1" s="14" t="s">
        <v>91</v>
      </c>
      <c r="BM1" s="14" t="s">
        <v>92</v>
      </c>
      <c r="BN1" s="14" t="s">
        <v>93</v>
      </c>
      <c r="BO1" s="14" t="s">
        <v>94</v>
      </c>
      <c r="BP1" s="14" t="s">
        <v>95</v>
      </c>
      <c r="BQ1" s="14" t="s">
        <v>96</v>
      </c>
      <c r="BR1" s="14" t="s">
        <v>97</v>
      </c>
      <c r="BS1" s="14" t="s">
        <v>98</v>
      </c>
      <c r="BT1" s="14" t="s">
        <v>99</v>
      </c>
      <c r="BU1" s="14" t="s">
        <v>100</v>
      </c>
      <c r="BV1" s="14" t="s">
        <v>101</v>
      </c>
      <c r="BW1" s="14" t="s">
        <v>102</v>
      </c>
      <c r="BX1" s="14" t="s">
        <v>103</v>
      </c>
      <c r="BY1" s="14" t="s">
        <v>104</v>
      </c>
      <c r="BZ1" s="14" t="s">
        <v>105</v>
      </c>
      <c r="CA1" s="14" t="s">
        <v>106</v>
      </c>
      <c r="CB1" s="14" t="s">
        <v>107</v>
      </c>
      <c r="CC1" s="14" t="s">
        <v>108</v>
      </c>
      <c r="CD1" s="14" t="s">
        <v>109</v>
      </c>
      <c r="CE1" s="14" t="s">
        <v>110</v>
      </c>
      <c r="CF1" s="14" t="s">
        <v>111</v>
      </c>
      <c r="CG1" s="14" t="s">
        <v>112</v>
      </c>
      <c r="CH1" s="14" t="s">
        <v>113</v>
      </c>
      <c r="CI1" s="14" t="s">
        <v>114</v>
      </c>
      <c r="CJ1" s="14" t="s">
        <v>115</v>
      </c>
      <c r="CK1" s="15" t="s">
        <v>116</v>
      </c>
    </row>
    <row r="2" spans="1:89" x14ac:dyDescent="0.35">
      <c r="B2" s="16" t="s">
        <v>117</v>
      </c>
      <c r="C2" s="3" t="s">
        <v>118</v>
      </c>
      <c r="D2" s="3" t="s">
        <v>119</v>
      </c>
      <c r="E2" s="3" t="s">
        <v>120</v>
      </c>
      <c r="F2" s="3" t="s">
        <v>121</v>
      </c>
      <c r="G2" s="3" t="s">
        <v>122</v>
      </c>
      <c r="H2" s="3" t="s">
        <v>123</v>
      </c>
      <c r="I2" s="3" t="s">
        <v>124</v>
      </c>
      <c r="J2" s="3" t="s">
        <v>125</v>
      </c>
      <c r="K2" s="3" t="s">
        <v>126</v>
      </c>
      <c r="L2" s="3" t="s">
        <v>127</v>
      </c>
      <c r="M2" s="3" t="s">
        <v>128</v>
      </c>
      <c r="N2" s="3" t="s">
        <v>129</v>
      </c>
      <c r="O2" s="3" t="s">
        <v>130</v>
      </c>
      <c r="P2" s="3" t="s">
        <v>131</v>
      </c>
      <c r="Q2" s="3" t="s">
        <v>132</v>
      </c>
      <c r="R2" s="3" t="s">
        <v>133</v>
      </c>
      <c r="S2" s="3" t="s">
        <v>134</v>
      </c>
      <c r="T2" s="3" t="s">
        <v>135</v>
      </c>
      <c r="U2" s="3" t="s">
        <v>136</v>
      </c>
      <c r="V2" s="3" t="s">
        <v>137</v>
      </c>
      <c r="W2" s="3" t="s">
        <v>138</v>
      </c>
      <c r="X2" s="3" t="s">
        <v>139</v>
      </c>
      <c r="Y2" s="3" t="s">
        <v>140</v>
      </c>
      <c r="Z2" s="3" t="s">
        <v>141</v>
      </c>
      <c r="AA2" s="3" t="s">
        <v>142</v>
      </c>
      <c r="AB2" s="3" t="s">
        <v>55</v>
      </c>
      <c r="AC2" s="3" t="s">
        <v>143</v>
      </c>
      <c r="AD2" s="3" t="s">
        <v>144</v>
      </c>
      <c r="AE2" s="3" t="s">
        <v>145</v>
      </c>
      <c r="AF2" s="3" t="s">
        <v>146</v>
      </c>
      <c r="AG2" s="3" t="s">
        <v>147</v>
      </c>
      <c r="AH2" s="3" t="s">
        <v>148</v>
      </c>
      <c r="AI2" s="3" t="s">
        <v>149</v>
      </c>
      <c r="AJ2" s="3" t="s">
        <v>150</v>
      </c>
      <c r="AK2" s="3" t="s">
        <v>151</v>
      </c>
      <c r="AL2" s="3" t="s">
        <v>152</v>
      </c>
      <c r="AM2" s="3" t="s">
        <v>153</v>
      </c>
      <c r="AN2" s="3" t="s">
        <v>154</v>
      </c>
      <c r="AO2" s="3" t="s">
        <v>155</v>
      </c>
      <c r="AP2" s="3" t="s">
        <v>156</v>
      </c>
      <c r="AQ2" s="3" t="s">
        <v>157</v>
      </c>
      <c r="AR2" s="3" t="s">
        <v>158</v>
      </c>
      <c r="AS2" s="3" t="s">
        <v>159</v>
      </c>
      <c r="AT2" s="3" t="s">
        <v>160</v>
      </c>
      <c r="AU2" s="3" t="s">
        <v>161</v>
      </c>
      <c r="AV2" s="3" t="s">
        <v>162</v>
      </c>
      <c r="AW2" s="3" t="s">
        <v>163</v>
      </c>
      <c r="AX2" s="3" t="s">
        <v>164</v>
      </c>
      <c r="AY2" s="3" t="s">
        <v>165</v>
      </c>
      <c r="AZ2" s="3" t="s">
        <v>166</v>
      </c>
      <c r="BA2" s="3" t="s">
        <v>167</v>
      </c>
      <c r="BB2" s="3" t="s">
        <v>168</v>
      </c>
      <c r="BC2" s="3" t="s">
        <v>169</v>
      </c>
      <c r="BD2" s="3" t="s">
        <v>170</v>
      </c>
      <c r="BE2" s="3" t="s">
        <v>171</v>
      </c>
      <c r="BF2" s="3" t="s">
        <v>172</v>
      </c>
      <c r="BG2" s="3" t="s">
        <v>173</v>
      </c>
      <c r="BH2" s="3" t="s">
        <v>174</v>
      </c>
      <c r="BI2" s="3" t="s">
        <v>175</v>
      </c>
      <c r="BJ2" s="3" t="s">
        <v>176</v>
      </c>
      <c r="BK2" s="3" t="s">
        <v>177</v>
      </c>
      <c r="BL2" s="3" t="s">
        <v>178</v>
      </c>
      <c r="BM2" s="3" t="s">
        <v>179</v>
      </c>
      <c r="BN2" s="3" t="s">
        <v>180</v>
      </c>
      <c r="BO2" s="3" t="s">
        <v>181</v>
      </c>
      <c r="BP2" s="3" t="s">
        <v>182</v>
      </c>
      <c r="BQ2" s="3" t="s">
        <v>183</v>
      </c>
      <c r="BR2" s="3" t="s">
        <v>184</v>
      </c>
      <c r="BS2" s="3" t="s">
        <v>185</v>
      </c>
      <c r="BT2" s="3" t="s">
        <v>186</v>
      </c>
      <c r="BU2" s="3" t="s">
        <v>187</v>
      </c>
      <c r="BV2" s="3" t="s">
        <v>188</v>
      </c>
      <c r="BW2" s="3" t="s">
        <v>189</v>
      </c>
      <c r="BX2" s="3" t="s">
        <v>190</v>
      </c>
      <c r="BY2" s="3" t="s">
        <v>191</v>
      </c>
      <c r="BZ2" s="3" t="s">
        <v>192</v>
      </c>
      <c r="CA2" s="3" t="s">
        <v>193</v>
      </c>
      <c r="CB2" s="3" t="s">
        <v>194</v>
      </c>
      <c r="CC2" s="3" t="s">
        <v>195</v>
      </c>
      <c r="CD2" s="3" t="s">
        <v>196</v>
      </c>
      <c r="CE2" s="3" t="s">
        <v>197</v>
      </c>
      <c r="CF2" s="3" t="s">
        <v>198</v>
      </c>
      <c r="CG2" s="3" t="s">
        <v>199</v>
      </c>
      <c r="CH2" s="3" t="s">
        <v>200</v>
      </c>
      <c r="CI2" s="3" t="s">
        <v>201</v>
      </c>
      <c r="CJ2" s="3" t="s">
        <v>202</v>
      </c>
      <c r="CK2" s="17" t="s">
        <v>203</v>
      </c>
    </row>
    <row r="3" spans="1:89" ht="15" thickBot="1" x14ac:dyDescent="0.4">
      <c r="B3" s="18" t="s">
        <v>204</v>
      </c>
      <c r="C3" s="19" t="s">
        <v>205</v>
      </c>
      <c r="D3" s="19" t="s">
        <v>206</v>
      </c>
      <c r="E3" s="19" t="s">
        <v>206</v>
      </c>
      <c r="F3" s="19" t="s">
        <v>206</v>
      </c>
      <c r="G3" s="19" t="s">
        <v>206</v>
      </c>
      <c r="H3" s="19" t="s">
        <v>206</v>
      </c>
      <c r="I3" s="19" t="s">
        <v>206</v>
      </c>
      <c r="J3" s="19" t="s">
        <v>207</v>
      </c>
      <c r="K3" s="19" t="s">
        <v>206</v>
      </c>
      <c r="L3" s="19" t="s">
        <v>206</v>
      </c>
      <c r="M3" s="19" t="s">
        <v>206</v>
      </c>
      <c r="N3" s="19" t="s">
        <v>206</v>
      </c>
      <c r="O3" s="19" t="s">
        <v>206</v>
      </c>
      <c r="P3" s="19" t="s">
        <v>206</v>
      </c>
      <c r="Q3" s="19" t="s">
        <v>207</v>
      </c>
      <c r="R3" s="19" t="s">
        <v>207</v>
      </c>
      <c r="S3" s="19" t="s">
        <v>207</v>
      </c>
      <c r="T3" s="19" t="s">
        <v>207</v>
      </c>
      <c r="U3" s="19" t="s">
        <v>207</v>
      </c>
      <c r="V3" s="19" t="s">
        <v>207</v>
      </c>
      <c r="W3" s="19" t="s">
        <v>207</v>
      </c>
      <c r="X3" s="19" t="s">
        <v>207</v>
      </c>
      <c r="Y3" s="19" t="s">
        <v>208</v>
      </c>
      <c r="Z3" s="19" t="s">
        <v>207</v>
      </c>
      <c r="AA3" s="19" t="s">
        <v>208</v>
      </c>
      <c r="AB3" s="19" t="s">
        <v>207</v>
      </c>
      <c r="AC3" s="19" t="s">
        <v>207</v>
      </c>
      <c r="AD3" s="19" t="s">
        <v>207</v>
      </c>
      <c r="AE3" s="19" t="s">
        <v>207</v>
      </c>
      <c r="AF3" s="19" t="s">
        <v>207</v>
      </c>
      <c r="AG3" s="19" t="s">
        <v>207</v>
      </c>
      <c r="AH3" s="19" t="s">
        <v>207</v>
      </c>
      <c r="AI3" s="19" t="s">
        <v>208</v>
      </c>
      <c r="AJ3" s="19" t="s">
        <v>207</v>
      </c>
      <c r="AK3" s="19" t="s">
        <v>208</v>
      </c>
      <c r="AL3" s="19" t="s">
        <v>208</v>
      </c>
      <c r="AM3" s="19" t="s">
        <v>208</v>
      </c>
      <c r="AN3" s="19" t="s">
        <v>208</v>
      </c>
      <c r="AO3" s="19" t="s">
        <v>208</v>
      </c>
      <c r="AP3" s="19" t="s">
        <v>207</v>
      </c>
      <c r="AQ3" s="19" t="s">
        <v>208</v>
      </c>
      <c r="AR3" s="19" t="s">
        <v>208</v>
      </c>
      <c r="AS3" s="19" t="s">
        <v>206</v>
      </c>
      <c r="AT3" s="19" t="s">
        <v>206</v>
      </c>
      <c r="AU3" s="19" t="s">
        <v>206</v>
      </c>
      <c r="AV3" s="19" t="s">
        <v>206</v>
      </c>
      <c r="AW3" s="19" t="s">
        <v>206</v>
      </c>
      <c r="AX3" s="19" t="s">
        <v>206</v>
      </c>
      <c r="AY3" s="19" t="s">
        <v>206</v>
      </c>
      <c r="AZ3" s="19" t="s">
        <v>206</v>
      </c>
      <c r="BA3" s="19" t="s">
        <v>206</v>
      </c>
      <c r="BB3" s="19" t="s">
        <v>206</v>
      </c>
      <c r="BC3" s="19" t="s">
        <v>206</v>
      </c>
      <c r="BD3" s="19" t="s">
        <v>206</v>
      </c>
      <c r="BE3" s="19" t="s">
        <v>206</v>
      </c>
      <c r="BF3" s="19" t="s">
        <v>206</v>
      </c>
      <c r="BG3" s="19" t="s">
        <v>206</v>
      </c>
      <c r="BH3" s="19" t="s">
        <v>206</v>
      </c>
      <c r="BI3" s="19" t="s">
        <v>206</v>
      </c>
      <c r="BJ3" s="19" t="s">
        <v>206</v>
      </c>
      <c r="BK3" s="19" t="s">
        <v>206</v>
      </c>
      <c r="BL3" s="19" t="s">
        <v>206</v>
      </c>
      <c r="BM3" s="19" t="s">
        <v>206</v>
      </c>
      <c r="BN3" s="19" t="s">
        <v>207</v>
      </c>
      <c r="BO3" s="19" t="s">
        <v>207</v>
      </c>
      <c r="BP3" s="19" t="s">
        <v>207</v>
      </c>
      <c r="BQ3" s="19" t="s">
        <v>207</v>
      </c>
      <c r="BR3" s="19" t="s">
        <v>207</v>
      </c>
      <c r="BS3" s="19" t="s">
        <v>207</v>
      </c>
      <c r="BT3" s="19" t="s">
        <v>207</v>
      </c>
      <c r="BU3" s="19" t="s">
        <v>207</v>
      </c>
      <c r="BV3" s="19" t="s">
        <v>207</v>
      </c>
      <c r="BW3" s="19" t="s">
        <v>207</v>
      </c>
      <c r="BX3" s="19" t="s">
        <v>207</v>
      </c>
      <c r="BY3" s="19" t="s">
        <v>207</v>
      </c>
      <c r="BZ3" s="19" t="s">
        <v>207</v>
      </c>
      <c r="CA3" s="19" t="s">
        <v>207</v>
      </c>
      <c r="CB3" s="19" t="s">
        <v>207</v>
      </c>
      <c r="CC3" s="19" t="s">
        <v>207</v>
      </c>
      <c r="CD3" s="19" t="s">
        <v>207</v>
      </c>
      <c r="CE3" s="19" t="s">
        <v>207</v>
      </c>
      <c r="CF3" s="19" t="s">
        <v>206</v>
      </c>
      <c r="CG3" s="19" t="s">
        <v>206</v>
      </c>
      <c r="CH3" s="19" t="s">
        <v>206</v>
      </c>
      <c r="CI3" s="19" t="s">
        <v>206</v>
      </c>
      <c r="CJ3" s="19" t="s">
        <v>206</v>
      </c>
      <c r="CK3" s="20" t="s">
        <v>206</v>
      </c>
    </row>
    <row r="4" spans="1:89" x14ac:dyDescent="0.35">
      <c r="B4" s="21" t="s">
        <v>420</v>
      </c>
      <c r="C4" s="21" t="s">
        <v>420</v>
      </c>
      <c r="D4" s="21" t="s">
        <v>421</v>
      </c>
      <c r="E4" s="22"/>
      <c r="F4" s="22"/>
      <c r="G4" s="21" t="s">
        <v>422</v>
      </c>
      <c r="H4" s="22"/>
      <c r="I4" s="22"/>
      <c r="J4" s="21" t="s">
        <v>125</v>
      </c>
      <c r="K4" s="21" t="s">
        <v>423</v>
      </c>
      <c r="L4" s="21" t="s">
        <v>369</v>
      </c>
      <c r="M4" s="21" t="s">
        <v>424</v>
      </c>
      <c r="N4" s="21" t="s">
        <v>425</v>
      </c>
      <c r="O4" s="21" t="s">
        <v>400</v>
      </c>
      <c r="P4" s="21" t="s">
        <v>131</v>
      </c>
      <c r="Q4" s="21" t="s">
        <v>426</v>
      </c>
      <c r="R4" s="21" t="s">
        <v>370</v>
      </c>
      <c r="S4" s="21" t="s">
        <v>427</v>
      </c>
      <c r="T4" s="21" t="s">
        <v>428</v>
      </c>
      <c r="U4" s="21" t="s">
        <v>429</v>
      </c>
      <c r="V4" s="21" t="s">
        <v>430</v>
      </c>
      <c r="W4" s="21" t="s">
        <v>431</v>
      </c>
      <c r="X4" s="21" t="s">
        <v>432</v>
      </c>
      <c r="Y4" s="21" t="s">
        <v>371</v>
      </c>
      <c r="Z4" s="22"/>
      <c r="AA4" s="22"/>
      <c r="AB4" s="21" t="s">
        <v>433</v>
      </c>
      <c r="AC4" s="22"/>
      <c r="AD4" s="21" t="s">
        <v>373</v>
      </c>
      <c r="AE4" s="21" t="s">
        <v>374</v>
      </c>
      <c r="AF4" s="21" t="s">
        <v>372</v>
      </c>
      <c r="AG4" s="21" t="s">
        <v>147</v>
      </c>
      <c r="AH4" s="21" t="s">
        <v>375</v>
      </c>
      <c r="AI4" s="21" t="s">
        <v>376</v>
      </c>
      <c r="AJ4" s="21" t="s">
        <v>150</v>
      </c>
      <c r="AK4" s="22"/>
      <c r="AL4" s="21" t="s">
        <v>377</v>
      </c>
      <c r="AM4" s="23" t="s">
        <v>153</v>
      </c>
      <c r="AN4" s="21" t="s">
        <v>154</v>
      </c>
      <c r="AO4" s="23" t="s">
        <v>155</v>
      </c>
      <c r="AP4" s="24" t="s">
        <v>434</v>
      </c>
      <c r="AQ4" s="25" t="s">
        <v>378</v>
      </c>
      <c r="AR4" s="26" t="s">
        <v>379</v>
      </c>
      <c r="AS4" s="21" t="s">
        <v>380</v>
      </c>
      <c r="AT4" s="27" t="s">
        <v>435</v>
      </c>
      <c r="AU4" s="21" t="s">
        <v>381</v>
      </c>
      <c r="AV4" s="21" t="s">
        <v>382</v>
      </c>
      <c r="AW4" s="21" t="s">
        <v>383</v>
      </c>
      <c r="AX4" s="21" t="s">
        <v>384</v>
      </c>
      <c r="AY4" s="21" t="s">
        <v>385</v>
      </c>
      <c r="AZ4" s="21" t="s">
        <v>386</v>
      </c>
      <c r="BA4" s="21" t="s">
        <v>387</v>
      </c>
      <c r="BB4" s="21" t="s">
        <v>388</v>
      </c>
      <c r="BC4" s="21" t="s">
        <v>389</v>
      </c>
      <c r="BD4" s="21" t="s">
        <v>390</v>
      </c>
      <c r="BE4" s="21" t="s">
        <v>391</v>
      </c>
      <c r="BF4" s="21" t="s">
        <v>392</v>
      </c>
      <c r="BG4" s="21" t="s">
        <v>393</v>
      </c>
      <c r="BH4" s="21" t="s">
        <v>394</v>
      </c>
      <c r="BI4" s="21" t="s">
        <v>395</v>
      </c>
      <c r="BJ4" s="21" t="s">
        <v>396</v>
      </c>
      <c r="BK4" s="21" t="s">
        <v>397</v>
      </c>
      <c r="BL4" s="21" t="s">
        <v>398</v>
      </c>
      <c r="BM4" s="28" t="s">
        <v>435</v>
      </c>
      <c r="BN4" s="21" t="s">
        <v>180</v>
      </c>
      <c r="BO4" s="21" t="s">
        <v>181</v>
      </c>
      <c r="BP4" s="21" t="s">
        <v>182</v>
      </c>
      <c r="BQ4" s="21" t="s">
        <v>183</v>
      </c>
      <c r="BR4" s="21" t="s">
        <v>184</v>
      </c>
      <c r="BS4" s="21" t="s">
        <v>185</v>
      </c>
      <c r="BT4" s="21" t="s">
        <v>186</v>
      </c>
      <c r="BU4" s="21" t="s">
        <v>399</v>
      </c>
      <c r="BV4" s="21" t="s">
        <v>188</v>
      </c>
      <c r="BW4" s="21" t="s">
        <v>189</v>
      </c>
      <c r="BX4" s="21" t="s">
        <v>190</v>
      </c>
      <c r="BY4" s="21" t="s">
        <v>191</v>
      </c>
      <c r="BZ4" s="21" t="s">
        <v>192</v>
      </c>
      <c r="CA4" s="21" t="s">
        <v>193</v>
      </c>
      <c r="CB4" s="21" t="s">
        <v>194</v>
      </c>
      <c r="CC4" s="21" t="s">
        <v>195</v>
      </c>
      <c r="CD4" s="21" t="s">
        <v>196</v>
      </c>
      <c r="CE4" s="21" t="s">
        <v>197</v>
      </c>
      <c r="CF4" s="21" t="s">
        <v>198</v>
      </c>
      <c r="CG4" s="21" t="s">
        <v>199</v>
      </c>
      <c r="CH4" s="21" t="s">
        <v>200</v>
      </c>
      <c r="CI4" s="21" t="s">
        <v>366</v>
      </c>
      <c r="CJ4" s="21" t="s">
        <v>367</v>
      </c>
      <c r="CK4" s="21" t="s">
        <v>368</v>
      </c>
    </row>
    <row r="5" spans="1:89" x14ac:dyDescent="0.35">
      <c r="B5" s="29" t="s">
        <v>204</v>
      </c>
      <c r="C5" s="29" t="s">
        <v>205</v>
      </c>
      <c r="D5" s="29" t="s">
        <v>206</v>
      </c>
      <c r="E5" s="22"/>
      <c r="F5" s="22"/>
      <c r="G5" s="29" t="s">
        <v>206</v>
      </c>
      <c r="H5" s="22"/>
      <c r="I5" s="22"/>
      <c r="J5" s="29" t="s">
        <v>207</v>
      </c>
      <c r="K5" s="29" t="s">
        <v>206</v>
      </c>
      <c r="L5" s="29"/>
      <c r="M5" s="29" t="s">
        <v>206</v>
      </c>
      <c r="N5" s="29" t="s">
        <v>206</v>
      </c>
      <c r="O5" s="29" t="s">
        <v>206</v>
      </c>
      <c r="P5" s="29" t="s">
        <v>206</v>
      </c>
      <c r="Q5" s="29" t="s">
        <v>207</v>
      </c>
      <c r="R5" s="29" t="s">
        <v>207</v>
      </c>
      <c r="S5" s="29" t="s">
        <v>207</v>
      </c>
      <c r="T5" s="29" t="s">
        <v>207</v>
      </c>
      <c r="U5" s="29" t="s">
        <v>207</v>
      </c>
      <c r="V5" s="29" t="s">
        <v>207</v>
      </c>
      <c r="W5" s="29" t="s">
        <v>207</v>
      </c>
      <c r="X5" s="29" t="s">
        <v>207</v>
      </c>
      <c r="Y5" s="29" t="s">
        <v>208</v>
      </c>
      <c r="Z5" s="22"/>
      <c r="AA5" s="22"/>
      <c r="AB5" s="29" t="s">
        <v>207</v>
      </c>
      <c r="AC5" s="22"/>
      <c r="AD5" s="29" t="s">
        <v>207</v>
      </c>
      <c r="AE5" s="29" t="s">
        <v>207</v>
      </c>
      <c r="AF5" s="29" t="s">
        <v>207</v>
      </c>
      <c r="AG5" s="29" t="s">
        <v>207</v>
      </c>
      <c r="AH5" s="29" t="s">
        <v>207</v>
      </c>
      <c r="AI5" s="29" t="s">
        <v>208</v>
      </c>
      <c r="AJ5" s="29" t="s">
        <v>207</v>
      </c>
      <c r="AK5" s="22"/>
      <c r="AL5" s="29" t="s">
        <v>208</v>
      </c>
      <c r="AM5" s="29" t="s">
        <v>208</v>
      </c>
      <c r="AN5" s="29" t="s">
        <v>208</v>
      </c>
      <c r="AO5" s="30" t="s">
        <v>208</v>
      </c>
      <c r="AP5" s="24" t="s">
        <v>207</v>
      </c>
      <c r="AQ5" s="31" t="s">
        <v>208</v>
      </c>
      <c r="AR5" s="32" t="s">
        <v>208</v>
      </c>
      <c r="AS5" s="29" t="s">
        <v>206</v>
      </c>
      <c r="AT5" s="27" t="s">
        <v>206</v>
      </c>
      <c r="AU5" s="29" t="s">
        <v>206</v>
      </c>
      <c r="AV5" s="29" t="s">
        <v>206</v>
      </c>
      <c r="AW5" s="29" t="s">
        <v>206</v>
      </c>
      <c r="AX5" s="29" t="s">
        <v>206</v>
      </c>
      <c r="AY5" s="29" t="s">
        <v>206</v>
      </c>
      <c r="AZ5" s="29" t="s">
        <v>206</v>
      </c>
      <c r="BA5" s="29" t="s">
        <v>206</v>
      </c>
      <c r="BB5" s="29" t="s">
        <v>206</v>
      </c>
      <c r="BC5" s="29" t="s">
        <v>206</v>
      </c>
      <c r="BD5" s="29" t="s">
        <v>206</v>
      </c>
      <c r="BE5" s="29" t="s">
        <v>206</v>
      </c>
      <c r="BF5" s="29" t="s">
        <v>206</v>
      </c>
      <c r="BG5" s="29" t="s">
        <v>206</v>
      </c>
      <c r="BH5" s="29"/>
      <c r="BI5" s="29" t="s">
        <v>206</v>
      </c>
      <c r="BJ5" s="29" t="s">
        <v>206</v>
      </c>
      <c r="BK5" s="29" t="s">
        <v>206</v>
      </c>
      <c r="BL5" s="29" t="s">
        <v>206</v>
      </c>
      <c r="BM5" s="28" t="s">
        <v>206</v>
      </c>
      <c r="BN5" s="29" t="s">
        <v>206</v>
      </c>
      <c r="BO5" s="29" t="s">
        <v>206</v>
      </c>
      <c r="BP5" s="29" t="s">
        <v>206</v>
      </c>
      <c r="BQ5" s="29" t="s">
        <v>206</v>
      </c>
      <c r="BR5" s="29" t="s">
        <v>206</v>
      </c>
      <c r="BS5" s="29" t="s">
        <v>206</v>
      </c>
      <c r="BT5" s="29" t="s">
        <v>206</v>
      </c>
      <c r="BU5" s="29" t="s">
        <v>206</v>
      </c>
      <c r="BV5" s="29" t="s">
        <v>206</v>
      </c>
      <c r="BW5" s="29" t="s">
        <v>206</v>
      </c>
      <c r="BX5" s="29" t="s">
        <v>206</v>
      </c>
      <c r="BY5" s="29" t="s">
        <v>206</v>
      </c>
      <c r="BZ5" s="29" t="s">
        <v>206</v>
      </c>
      <c r="CA5" s="29" t="s">
        <v>206</v>
      </c>
      <c r="CB5" s="29" t="s">
        <v>206</v>
      </c>
      <c r="CC5" s="29" t="s">
        <v>206</v>
      </c>
      <c r="CD5" s="29" t="s">
        <v>206</v>
      </c>
      <c r="CE5" s="29" t="s">
        <v>206</v>
      </c>
      <c r="CF5" s="29" t="s">
        <v>206</v>
      </c>
      <c r="CG5" s="29" t="s">
        <v>206</v>
      </c>
      <c r="CH5" s="29" t="s">
        <v>206</v>
      </c>
      <c r="CI5" s="29" t="s">
        <v>206</v>
      </c>
      <c r="CJ5" s="29" t="s">
        <v>206</v>
      </c>
      <c r="CK5" s="29" t="s">
        <v>206</v>
      </c>
    </row>
    <row r="6" spans="1:89" x14ac:dyDescent="0.35">
      <c r="A6" s="38" t="s">
        <v>436</v>
      </c>
      <c r="B6" s="48">
        <v>60</v>
      </c>
      <c r="C6" s="48">
        <v>253</v>
      </c>
      <c r="D6" s="48">
        <v>3.74</v>
      </c>
      <c r="E6" s="49">
        <v>0</v>
      </c>
      <c r="F6" s="49">
        <v>3.74</v>
      </c>
      <c r="G6" s="48">
        <v>3.34</v>
      </c>
      <c r="H6" s="49">
        <v>0</v>
      </c>
      <c r="I6" s="49">
        <v>3.34</v>
      </c>
      <c r="J6" s="48">
        <v>0</v>
      </c>
      <c r="K6" s="48">
        <f>5.83-N6</f>
        <v>1.83</v>
      </c>
      <c r="L6" s="48">
        <v>0.64</v>
      </c>
      <c r="M6" s="48">
        <v>0.92</v>
      </c>
      <c r="N6" s="48">
        <v>4</v>
      </c>
      <c r="O6" s="48">
        <v>0</v>
      </c>
      <c r="P6" s="48">
        <v>83.7</v>
      </c>
      <c r="Q6" s="48">
        <v>1.61</v>
      </c>
      <c r="R6" s="48">
        <v>63</v>
      </c>
      <c r="S6" s="48">
        <v>1100</v>
      </c>
      <c r="T6" s="48">
        <v>152</v>
      </c>
      <c r="U6" s="48">
        <v>108</v>
      </c>
      <c r="V6" s="48">
        <v>0.64</v>
      </c>
      <c r="W6" s="48">
        <v>48</v>
      </c>
      <c r="X6" s="48">
        <v>7.3999999999999996E-2</v>
      </c>
      <c r="Y6" s="48">
        <v>33.5</v>
      </c>
      <c r="Z6" s="42">
        <v>3550</v>
      </c>
      <c r="AA6" s="42">
        <v>1</v>
      </c>
      <c r="AB6" s="48">
        <v>0.42199999999999999</v>
      </c>
      <c r="AC6" s="43">
        <v>22.5</v>
      </c>
      <c r="AD6" s="48">
        <v>0.17699999999999999</v>
      </c>
      <c r="AE6" s="48">
        <v>7.0000000000000007E-2</v>
      </c>
      <c r="AF6" s="48">
        <v>0.3</v>
      </c>
      <c r="AG6" s="48">
        <v>0.56499999999999995</v>
      </c>
      <c r="AH6" s="48">
        <v>7.0000000000000007E-2</v>
      </c>
      <c r="AI6" s="48">
        <v>7</v>
      </c>
      <c r="AJ6" s="48">
        <v>0.254</v>
      </c>
      <c r="AK6" s="42">
        <v>0</v>
      </c>
      <c r="AL6" s="48">
        <v>0</v>
      </c>
      <c r="AM6" s="48">
        <v>10.833333333333334</v>
      </c>
      <c r="AN6" s="48">
        <v>0</v>
      </c>
      <c r="AO6" s="48">
        <v>65</v>
      </c>
      <c r="AP6" s="48">
        <v>0.58179999999999998</v>
      </c>
      <c r="AQ6" s="48">
        <v>0</v>
      </c>
      <c r="AR6" s="48">
        <v>1.4</v>
      </c>
      <c r="AS6" s="48">
        <v>0.214</v>
      </c>
      <c r="AT6" s="44">
        <v>5.0000000000000001E-3</v>
      </c>
      <c r="AU6" s="48">
        <v>2E-3</v>
      </c>
      <c r="AV6" s="48">
        <v>4.0000000000000001E-3</v>
      </c>
      <c r="AW6" s="48">
        <v>0.11700000000000001</v>
      </c>
      <c r="AX6" s="48">
        <v>3.7999999999999999E-2</v>
      </c>
      <c r="AY6" s="48">
        <v>0.02</v>
      </c>
      <c r="AZ6" s="48">
        <v>1.6E-2</v>
      </c>
      <c r="BA6" s="48">
        <v>2.1800000000000002</v>
      </c>
      <c r="BB6" s="48">
        <v>0</v>
      </c>
      <c r="BC6" s="48">
        <v>8.0000000000000002E-3</v>
      </c>
      <c r="BD6" s="48">
        <v>0.77800000000000002</v>
      </c>
      <c r="BE6" s="48">
        <v>0.28899999999999998</v>
      </c>
      <c r="BF6" s="48">
        <v>1.06</v>
      </c>
      <c r="BG6" s="48">
        <v>0.77400000000000002</v>
      </c>
      <c r="BH6" s="48">
        <v>0.35799999999999998</v>
      </c>
      <c r="BI6" s="48">
        <v>0.373</v>
      </c>
      <c r="BJ6" s="48">
        <v>0</v>
      </c>
      <c r="BK6" s="48">
        <v>0</v>
      </c>
      <c r="BL6" s="48">
        <v>0</v>
      </c>
      <c r="BM6" s="44">
        <v>0.78300000000000003</v>
      </c>
      <c r="BN6" s="48">
        <v>8.9999999999999993E-3</v>
      </c>
      <c r="BO6" s="48">
        <v>0.16700000000000001</v>
      </c>
      <c r="BP6" s="48">
        <v>0.14599999999999999</v>
      </c>
      <c r="BQ6" s="48">
        <v>0.29199999999999998</v>
      </c>
      <c r="BR6" s="48">
        <v>0.26400000000000001</v>
      </c>
      <c r="BS6" s="48">
        <v>7.5999999999999998E-2</v>
      </c>
      <c r="BT6" s="48">
        <v>7.1999999999999995E-2</v>
      </c>
      <c r="BU6" s="48">
        <v>0.161</v>
      </c>
      <c r="BV6" s="48">
        <v>0.13400000000000001</v>
      </c>
      <c r="BW6" s="48">
        <v>0.189</v>
      </c>
      <c r="BX6" s="48">
        <v>0.252</v>
      </c>
      <c r="BY6" s="48">
        <v>0.11899999999999999</v>
      </c>
      <c r="BZ6" s="48">
        <v>0.16400000000000001</v>
      </c>
      <c r="CA6" s="48">
        <v>0.39</v>
      </c>
      <c r="CB6" s="48">
        <v>0.72399999999999998</v>
      </c>
      <c r="CC6" s="48">
        <v>0.22800000000000001</v>
      </c>
      <c r="CD6" s="48">
        <v>0.35499999999999998</v>
      </c>
      <c r="CE6" s="48">
        <v>0.20399999999999999</v>
      </c>
      <c r="CF6" s="48">
        <v>0.47</v>
      </c>
      <c r="CG6" s="48">
        <v>0.23</v>
      </c>
      <c r="CH6" s="48">
        <v>0</v>
      </c>
      <c r="CI6" s="48">
        <v>0.21</v>
      </c>
      <c r="CJ6" s="48">
        <v>0</v>
      </c>
      <c r="CK6" s="48">
        <v>0</v>
      </c>
    </row>
    <row r="7" spans="1:89" x14ac:dyDescent="0.35">
      <c r="A7" s="41" t="s">
        <v>401</v>
      </c>
      <c r="B7" s="48">
        <v>325</v>
      </c>
      <c r="C7" s="48">
        <v>1360</v>
      </c>
      <c r="D7" s="48">
        <v>14.3</v>
      </c>
      <c r="E7" s="49">
        <v>0</v>
      </c>
      <c r="F7" s="49">
        <v>14.3</v>
      </c>
      <c r="G7" s="48">
        <v>14</v>
      </c>
      <c r="H7" s="49">
        <v>0</v>
      </c>
      <c r="I7" s="49">
        <v>14</v>
      </c>
      <c r="J7" s="48">
        <v>0</v>
      </c>
      <c r="K7" s="48">
        <f>55.8-N7</f>
        <v>2.5999999999999943</v>
      </c>
      <c r="L7" s="43">
        <v>0</v>
      </c>
      <c r="M7" s="48">
        <v>2.76</v>
      </c>
      <c r="N7" s="48">
        <v>53.2</v>
      </c>
      <c r="O7" s="48">
        <v>0</v>
      </c>
      <c r="P7" s="48">
        <v>8.8000000000000007</v>
      </c>
      <c r="Q7" s="48">
        <v>19.100000000000001</v>
      </c>
      <c r="R7" s="48">
        <v>525</v>
      </c>
      <c r="S7" s="48">
        <v>52</v>
      </c>
      <c r="T7" s="48">
        <v>1170</v>
      </c>
      <c r="U7" s="48">
        <v>367</v>
      </c>
      <c r="V7" s="48">
        <v>4.7</v>
      </c>
      <c r="W7" s="48">
        <v>255</v>
      </c>
      <c r="X7" s="48">
        <v>1.2</v>
      </c>
      <c r="Y7" s="48">
        <v>40.299999999999997</v>
      </c>
      <c r="Z7" s="42">
        <v>470</v>
      </c>
      <c r="AA7" s="42">
        <v>6.8</v>
      </c>
      <c r="AB7" s="48">
        <v>8.3000000000000007</v>
      </c>
      <c r="AC7" s="42">
        <v>86</v>
      </c>
      <c r="AD7" s="48">
        <v>0.17599999999999999</v>
      </c>
      <c r="AE7" s="48">
        <v>0.2</v>
      </c>
      <c r="AF7" s="48">
        <v>0.7</v>
      </c>
      <c r="AG7" s="48">
        <v>3.26</v>
      </c>
      <c r="AH7" s="48">
        <v>0.105</v>
      </c>
      <c r="AI7" s="48">
        <v>56</v>
      </c>
      <c r="AJ7" s="48">
        <v>1.07</v>
      </c>
      <c r="AK7" s="42">
        <v>0</v>
      </c>
      <c r="AL7" s="48">
        <v>0</v>
      </c>
      <c r="AM7" s="48">
        <v>1.8333333333333333</v>
      </c>
      <c r="AN7" s="48">
        <v>0</v>
      </c>
      <c r="AO7" s="48">
        <v>11</v>
      </c>
      <c r="AP7" s="48">
        <v>25.314999999999998</v>
      </c>
      <c r="AQ7" s="48">
        <v>0</v>
      </c>
      <c r="AR7" s="48">
        <v>99.8</v>
      </c>
      <c r="AS7" s="48">
        <v>1.65</v>
      </c>
      <c r="AT7" s="44">
        <v>7.5999999999999998E-2</v>
      </c>
      <c r="AU7" s="48">
        <v>0</v>
      </c>
      <c r="AV7" s="48">
        <v>0.63700000000000001</v>
      </c>
      <c r="AW7" s="48">
        <v>0.68100000000000005</v>
      </c>
      <c r="AX7" s="48">
        <v>0.17399999999999999</v>
      </c>
      <c r="AY7" s="48">
        <v>0</v>
      </c>
      <c r="AZ7" s="48">
        <v>0</v>
      </c>
      <c r="BA7" s="48">
        <v>8.7799999999999994</v>
      </c>
      <c r="BB7" s="48">
        <v>0</v>
      </c>
      <c r="BC7" s="48">
        <v>1.2999999999999999E-2</v>
      </c>
      <c r="BD7" s="48">
        <v>8.74</v>
      </c>
      <c r="BE7" s="48">
        <v>1.2999999999999999E-2</v>
      </c>
      <c r="BF7" s="48">
        <v>1.4E-2</v>
      </c>
      <c r="BG7" s="48">
        <v>3.06</v>
      </c>
      <c r="BH7" s="43">
        <v>0</v>
      </c>
      <c r="BI7" s="48">
        <v>0.255</v>
      </c>
      <c r="BJ7" s="48">
        <v>0</v>
      </c>
      <c r="BK7" s="48">
        <v>0</v>
      </c>
      <c r="BL7" s="48">
        <v>0</v>
      </c>
      <c r="BM7" s="44">
        <v>3.0709999999999997</v>
      </c>
      <c r="BN7" s="48">
        <v>0.11</v>
      </c>
      <c r="BO7" s="48">
        <v>0.35</v>
      </c>
      <c r="BP7" s="48">
        <v>0.63</v>
      </c>
      <c r="BQ7" s="48">
        <v>0.89</v>
      </c>
      <c r="BR7" s="48">
        <v>0.7</v>
      </c>
      <c r="BS7" s="48">
        <v>0.19</v>
      </c>
      <c r="BT7" s="48">
        <v>0.2</v>
      </c>
      <c r="BU7" s="48">
        <v>0.57999999999999996</v>
      </c>
      <c r="BV7" s="48">
        <v>0.4</v>
      </c>
      <c r="BW7" s="48">
        <v>0.75</v>
      </c>
      <c r="BX7" s="48">
        <v>0.89</v>
      </c>
      <c r="BY7" s="48">
        <v>0.28999999999999998</v>
      </c>
      <c r="BZ7" s="48">
        <v>0.55000000000000004</v>
      </c>
      <c r="CA7" s="48">
        <v>1.79</v>
      </c>
      <c r="CB7" s="48">
        <v>2.27</v>
      </c>
      <c r="CC7" s="48">
        <v>0.79</v>
      </c>
      <c r="CD7" s="48">
        <v>1.24</v>
      </c>
      <c r="CE7" s="48">
        <v>0.39</v>
      </c>
      <c r="CF7" s="48">
        <v>1.1399999999999999</v>
      </c>
      <c r="CG7" s="48">
        <v>0.79</v>
      </c>
      <c r="CH7" s="48">
        <v>0.21</v>
      </c>
      <c r="CI7" s="48">
        <v>0.62</v>
      </c>
      <c r="CJ7" s="48">
        <v>0</v>
      </c>
      <c r="CK7" s="48">
        <v>0</v>
      </c>
    </row>
    <row r="8" spans="1:89" x14ac:dyDescent="0.35">
      <c r="A8" s="40" t="s">
        <v>402</v>
      </c>
      <c r="B8" s="48">
        <v>559</v>
      </c>
      <c r="C8" s="48">
        <v>2340</v>
      </c>
      <c r="D8" s="48">
        <v>30.2</v>
      </c>
      <c r="E8" s="49">
        <v>0</v>
      </c>
      <c r="F8" s="49">
        <v>30.2</v>
      </c>
      <c r="G8" s="48">
        <v>49</v>
      </c>
      <c r="H8" s="49">
        <v>0</v>
      </c>
      <c r="I8" s="49">
        <v>49</v>
      </c>
      <c r="J8" s="48">
        <v>0</v>
      </c>
      <c r="K8" s="48">
        <f>10.7-N8</f>
        <v>4.6999999999999993</v>
      </c>
      <c r="L8" s="48">
        <v>1.47</v>
      </c>
      <c r="M8" s="48">
        <v>1.4</v>
      </c>
      <c r="N8" s="48">
        <v>6</v>
      </c>
      <c r="O8" s="48">
        <v>0</v>
      </c>
      <c r="P8" s="48">
        <v>5.23</v>
      </c>
      <c r="Q8" s="48">
        <v>8.82</v>
      </c>
      <c r="R8" s="48">
        <v>46</v>
      </c>
      <c r="S8" s="48">
        <v>7</v>
      </c>
      <c r="T8" s="48">
        <v>809</v>
      </c>
      <c r="U8" s="48">
        <v>1230</v>
      </c>
      <c r="V8" s="48">
        <v>7.81</v>
      </c>
      <c r="W8" s="48">
        <v>592</v>
      </c>
      <c r="X8" s="48">
        <v>1.34</v>
      </c>
      <c r="Y8" s="48">
        <v>9.4</v>
      </c>
      <c r="Z8" s="46">
        <v>0.5</v>
      </c>
      <c r="AA8" s="42">
        <v>1.3</v>
      </c>
      <c r="AB8" s="48">
        <v>4.54</v>
      </c>
      <c r="AC8" s="46">
        <v>0.5</v>
      </c>
      <c r="AD8" s="48">
        <v>0.27300000000000002</v>
      </c>
      <c r="AE8" s="48">
        <v>0.153</v>
      </c>
      <c r="AF8" s="48">
        <v>1.9</v>
      </c>
      <c r="AG8" s="48">
        <v>4.99</v>
      </c>
      <c r="AH8" s="48">
        <v>0.14299999999999999</v>
      </c>
      <c r="AI8" s="48">
        <v>58</v>
      </c>
      <c r="AJ8" s="48">
        <v>0.75</v>
      </c>
      <c r="AK8" s="46">
        <v>0.05</v>
      </c>
      <c r="AL8" s="48">
        <v>0</v>
      </c>
      <c r="AM8" s="48">
        <v>1.6666666666666667</v>
      </c>
      <c r="AN8" s="48">
        <v>0</v>
      </c>
      <c r="AO8" s="48">
        <v>10</v>
      </c>
      <c r="AP8" s="48">
        <v>5.7070000000000007</v>
      </c>
      <c r="AQ8" s="48">
        <v>0</v>
      </c>
      <c r="AR8" s="48">
        <v>7.3</v>
      </c>
      <c r="AS8" s="48">
        <v>8.66</v>
      </c>
      <c r="AT8" s="44">
        <v>4.0000000000000001E-3</v>
      </c>
      <c r="AU8" s="48">
        <v>6.0000000000000001E-3</v>
      </c>
      <c r="AV8" s="48">
        <v>5.8999999999999997E-2</v>
      </c>
      <c r="AW8" s="48">
        <v>5.36</v>
      </c>
      <c r="AX8" s="48">
        <v>2.87</v>
      </c>
      <c r="AY8" s="48">
        <v>0.21199999999999999</v>
      </c>
      <c r="AZ8" s="48">
        <v>5.7000000000000002E-2</v>
      </c>
      <c r="BA8" s="48">
        <v>16.2</v>
      </c>
      <c r="BB8" s="48">
        <v>0</v>
      </c>
      <c r="BC8" s="48">
        <v>4.8000000000000001E-2</v>
      </c>
      <c r="BD8" s="48">
        <v>16.100000000000001</v>
      </c>
      <c r="BE8" s="48">
        <v>5.6000000000000001E-2</v>
      </c>
      <c r="BF8" s="48">
        <v>1E-3</v>
      </c>
      <c r="BG8" s="48">
        <v>21</v>
      </c>
      <c r="BH8" s="48">
        <v>20.7</v>
      </c>
      <c r="BI8" s="48">
        <v>0.12</v>
      </c>
      <c r="BJ8" s="48">
        <v>0.13100000000000001</v>
      </c>
      <c r="BK8" s="48">
        <v>0</v>
      </c>
      <c r="BL8" s="48">
        <v>0</v>
      </c>
      <c r="BM8" s="44">
        <v>20.834000000000003</v>
      </c>
      <c r="BN8" s="48">
        <v>0.57599999999999996</v>
      </c>
      <c r="BO8" s="48">
        <v>0.998</v>
      </c>
      <c r="BP8" s="48">
        <v>1.28</v>
      </c>
      <c r="BQ8" s="48">
        <v>2.42</v>
      </c>
      <c r="BR8" s="48">
        <v>1.24</v>
      </c>
      <c r="BS8" s="48">
        <v>0.60299999999999998</v>
      </c>
      <c r="BT8" s="48">
        <v>0.33200000000000002</v>
      </c>
      <c r="BU8" s="48">
        <v>1.73</v>
      </c>
      <c r="BV8" s="48">
        <v>1.0900000000000001</v>
      </c>
      <c r="BW8" s="48">
        <v>1.58</v>
      </c>
      <c r="BX8" s="48">
        <v>5.35</v>
      </c>
      <c r="BY8" s="48">
        <v>0.78</v>
      </c>
      <c r="BZ8" s="48">
        <v>1.48</v>
      </c>
      <c r="CA8" s="48">
        <v>2.96</v>
      </c>
      <c r="CB8" s="48">
        <v>6.19</v>
      </c>
      <c r="CC8" s="48">
        <v>1.84</v>
      </c>
      <c r="CD8" s="48">
        <v>1.32</v>
      </c>
      <c r="CE8" s="48">
        <v>1.67</v>
      </c>
      <c r="CF8" s="48">
        <v>0.13</v>
      </c>
      <c r="CG8" s="48">
        <v>0.15</v>
      </c>
      <c r="CH8" s="48">
        <v>0</v>
      </c>
      <c r="CI8" s="48">
        <v>1.1299999999999999</v>
      </c>
      <c r="CJ8" s="48">
        <v>0</v>
      </c>
      <c r="CK8" s="48">
        <v>0</v>
      </c>
    </row>
    <row r="9" spans="1:89" x14ac:dyDescent="0.35">
      <c r="A9" s="40" t="s">
        <v>403</v>
      </c>
      <c r="B9" s="48">
        <v>584</v>
      </c>
      <c r="C9" s="48">
        <v>2440</v>
      </c>
      <c r="D9" s="48">
        <v>20.8</v>
      </c>
      <c r="E9" s="49">
        <v>0</v>
      </c>
      <c r="F9" s="49">
        <v>20.8</v>
      </c>
      <c r="G9" s="48">
        <v>51.5</v>
      </c>
      <c r="H9" s="49">
        <v>0</v>
      </c>
      <c r="I9" s="49">
        <v>51.5</v>
      </c>
      <c r="J9" s="48">
        <v>0</v>
      </c>
      <c r="K9" s="48">
        <f>20-N9</f>
        <v>11.4</v>
      </c>
      <c r="L9" s="42">
        <v>0</v>
      </c>
      <c r="M9" s="48">
        <v>2.62</v>
      </c>
      <c r="N9" s="48">
        <v>8.6</v>
      </c>
      <c r="O9" s="48">
        <v>0</v>
      </c>
      <c r="P9" s="48">
        <v>4.7300000000000004</v>
      </c>
      <c r="Q9" s="48">
        <v>5.25</v>
      </c>
      <c r="R9" s="48">
        <v>78</v>
      </c>
      <c r="S9" s="48">
        <v>9</v>
      </c>
      <c r="T9" s="48">
        <v>645</v>
      </c>
      <c r="U9" s="48">
        <v>660</v>
      </c>
      <c r="V9" s="48">
        <v>5</v>
      </c>
      <c r="W9" s="48">
        <v>325</v>
      </c>
      <c r="X9" s="48">
        <v>1.8</v>
      </c>
      <c r="Y9" s="48">
        <v>53</v>
      </c>
      <c r="Z9" s="46">
        <v>0.5</v>
      </c>
      <c r="AA9" s="42">
        <v>0</v>
      </c>
      <c r="AB9" s="48">
        <v>1.95</v>
      </c>
      <c r="AC9" s="46">
        <v>0.5</v>
      </c>
      <c r="AD9" s="48">
        <v>1.48</v>
      </c>
      <c r="AE9" s="48">
        <v>0.35499999999999998</v>
      </c>
      <c r="AF9" s="48">
        <v>1.4</v>
      </c>
      <c r="AG9" s="48">
        <v>8.34</v>
      </c>
      <c r="AH9" s="48">
        <v>1.34</v>
      </c>
      <c r="AI9" s="48">
        <v>227</v>
      </c>
      <c r="AJ9" s="48">
        <v>1.1299999999999999</v>
      </c>
      <c r="AK9" s="46">
        <v>0.05</v>
      </c>
      <c r="AL9" s="48">
        <v>0</v>
      </c>
      <c r="AM9" s="48">
        <v>5</v>
      </c>
      <c r="AN9" s="48">
        <v>0</v>
      </c>
      <c r="AO9" s="48">
        <v>30</v>
      </c>
      <c r="AP9" s="48">
        <v>35.709200000000003</v>
      </c>
      <c r="AQ9" s="48">
        <v>0</v>
      </c>
      <c r="AR9" s="48">
        <v>0</v>
      </c>
      <c r="AS9" s="48">
        <v>4.46</v>
      </c>
      <c r="AT9" s="44">
        <v>0</v>
      </c>
      <c r="AU9" s="48">
        <v>0</v>
      </c>
      <c r="AV9" s="48">
        <v>2.5000000000000001E-2</v>
      </c>
      <c r="AW9" s="48">
        <v>2.21</v>
      </c>
      <c r="AX9" s="48">
        <v>1.69</v>
      </c>
      <c r="AY9" s="48">
        <v>0.115</v>
      </c>
      <c r="AZ9" s="48">
        <v>0.32</v>
      </c>
      <c r="BA9" s="48">
        <v>18.5</v>
      </c>
      <c r="BB9" s="48">
        <v>0</v>
      </c>
      <c r="BC9" s="48">
        <v>0.02</v>
      </c>
      <c r="BD9" s="48">
        <v>18.399999999999999</v>
      </c>
      <c r="BE9" s="48">
        <v>8.5000000000000006E-2</v>
      </c>
      <c r="BF9" s="48">
        <v>2.9000000000000001E-2</v>
      </c>
      <c r="BG9" s="48">
        <v>23.1</v>
      </c>
      <c r="BH9" s="43">
        <v>0</v>
      </c>
      <c r="BI9" s="43">
        <v>0</v>
      </c>
      <c r="BJ9" s="48">
        <v>0</v>
      </c>
      <c r="BK9" s="48">
        <v>1.4E-2</v>
      </c>
      <c r="BL9" s="48">
        <v>0</v>
      </c>
      <c r="BM9" s="44">
        <v>23.073999999999998</v>
      </c>
      <c r="BN9" s="48">
        <v>0.34799999999999998</v>
      </c>
      <c r="BO9" s="48">
        <v>0.92800000000000005</v>
      </c>
      <c r="BP9" s="48">
        <v>1.1399999999999999</v>
      </c>
      <c r="BQ9" s="48">
        <v>1.66</v>
      </c>
      <c r="BR9" s="48">
        <v>0.93700000000000006</v>
      </c>
      <c r="BS9" s="48">
        <v>0.49399999999999999</v>
      </c>
      <c r="BT9" s="48">
        <v>0.45100000000000001</v>
      </c>
      <c r="BU9" s="48">
        <v>1.17</v>
      </c>
      <c r="BV9" s="48">
        <v>0.66600000000000004</v>
      </c>
      <c r="BW9" s="48">
        <v>1.32</v>
      </c>
      <c r="BX9" s="48">
        <v>2.4</v>
      </c>
      <c r="BY9" s="48">
        <v>0.63200000000000001</v>
      </c>
      <c r="BZ9" s="48">
        <v>1.1200000000000001</v>
      </c>
      <c r="CA9" s="48">
        <v>2.4500000000000002</v>
      </c>
      <c r="CB9" s="48">
        <v>5.58</v>
      </c>
      <c r="CC9" s="48">
        <v>1.46</v>
      </c>
      <c r="CD9" s="48">
        <v>1.18</v>
      </c>
      <c r="CE9" s="48">
        <v>1.08</v>
      </c>
      <c r="CF9" s="42">
        <v>0</v>
      </c>
      <c r="CG9" s="42">
        <v>0.13</v>
      </c>
      <c r="CH9" s="47">
        <v>0</v>
      </c>
      <c r="CI9" s="48">
        <v>2.5</v>
      </c>
      <c r="CJ9" s="42">
        <v>0</v>
      </c>
      <c r="CK9" s="47">
        <v>0</v>
      </c>
    </row>
    <row r="10" spans="1:89" x14ac:dyDescent="0.35">
      <c r="A10" s="40" t="s">
        <v>404</v>
      </c>
      <c r="B10" s="48">
        <v>486</v>
      </c>
      <c r="C10" s="48">
        <v>2030</v>
      </c>
      <c r="D10" s="48">
        <v>16.5</v>
      </c>
      <c r="E10" s="49">
        <v>0</v>
      </c>
      <c r="F10" s="49">
        <v>16.5</v>
      </c>
      <c r="G10" s="48">
        <v>30.7</v>
      </c>
      <c r="H10" s="49">
        <v>0</v>
      </c>
      <c r="I10" s="49">
        <v>30.7</v>
      </c>
      <c r="J10" s="48">
        <v>0</v>
      </c>
      <c r="K10" s="42">
        <f>36.6-N10</f>
        <v>3.7000000000000028</v>
      </c>
      <c r="L10" s="42">
        <v>0.1</v>
      </c>
      <c r="M10" s="42">
        <v>0.1</v>
      </c>
      <c r="N10" s="42">
        <v>32.9</v>
      </c>
      <c r="O10" s="45">
        <v>0</v>
      </c>
      <c r="P10" s="48">
        <v>5.8</v>
      </c>
      <c r="Q10" s="48">
        <v>7.72</v>
      </c>
      <c r="R10" s="48">
        <v>631</v>
      </c>
      <c r="S10" s="48">
        <v>16</v>
      </c>
      <c r="T10" s="48">
        <v>407</v>
      </c>
      <c r="U10" s="48">
        <v>860</v>
      </c>
      <c r="V10" s="48">
        <v>4.58</v>
      </c>
      <c r="W10" s="48">
        <v>335</v>
      </c>
      <c r="X10" s="48">
        <v>0.92400000000000004</v>
      </c>
      <c r="Y10" s="48">
        <v>55.2</v>
      </c>
      <c r="Z10" s="46">
        <v>0.5</v>
      </c>
      <c r="AA10" s="42">
        <v>0</v>
      </c>
      <c r="AB10" s="48">
        <v>2.72</v>
      </c>
      <c r="AC10" s="46">
        <v>0.5</v>
      </c>
      <c r="AD10" s="48">
        <v>0.62</v>
      </c>
      <c r="AE10" s="48">
        <v>0.17</v>
      </c>
      <c r="AF10" s="48">
        <v>1.6</v>
      </c>
      <c r="AG10" s="48">
        <v>8.83</v>
      </c>
      <c r="AH10" s="42">
        <v>0.32</v>
      </c>
      <c r="AI10" s="48">
        <v>49</v>
      </c>
      <c r="AJ10" s="43">
        <v>0.85766666666666669</v>
      </c>
      <c r="AK10" s="46">
        <v>0.05</v>
      </c>
      <c r="AL10" s="48">
        <v>0</v>
      </c>
      <c r="AM10" s="42">
        <v>0</v>
      </c>
      <c r="AN10" s="47">
        <v>0</v>
      </c>
      <c r="AO10" s="42">
        <v>0</v>
      </c>
      <c r="AP10" s="48">
        <v>0.5</v>
      </c>
      <c r="AQ10" s="47">
        <v>0</v>
      </c>
      <c r="AR10" s="46">
        <v>5.0000000000000001E-3</v>
      </c>
      <c r="AS10" s="48">
        <v>3.33</v>
      </c>
      <c r="AT10" s="43">
        <v>0.09</v>
      </c>
      <c r="AU10" s="42">
        <v>3.0000000000000001E-3</v>
      </c>
      <c r="AV10" s="48">
        <v>0.03</v>
      </c>
      <c r="AW10" s="48">
        <v>2.17</v>
      </c>
      <c r="AX10" s="48">
        <v>0.91200000000000003</v>
      </c>
      <c r="AY10" s="48">
        <v>9.2999999999999999E-2</v>
      </c>
      <c r="AZ10" s="48">
        <v>3.2000000000000001E-2</v>
      </c>
      <c r="BA10" s="48">
        <v>2.31</v>
      </c>
      <c r="BB10" s="48">
        <v>0.03</v>
      </c>
      <c r="BC10" s="48">
        <v>2.9000000000000001E-2</v>
      </c>
      <c r="BD10" s="48">
        <v>2.2000000000000002</v>
      </c>
      <c r="BE10" s="48">
        <v>4.5999999999999999E-2</v>
      </c>
      <c r="BF10" s="42">
        <v>4.0000000000000001E-3</v>
      </c>
      <c r="BG10" s="48">
        <v>23.7</v>
      </c>
      <c r="BH10" s="48">
        <v>5.84</v>
      </c>
      <c r="BI10" s="48">
        <v>17.8</v>
      </c>
      <c r="BJ10" s="43">
        <v>0</v>
      </c>
      <c r="BK10" s="43">
        <v>0</v>
      </c>
      <c r="BL10" s="43">
        <v>0</v>
      </c>
      <c r="BM10" s="44">
        <v>23.64</v>
      </c>
      <c r="BN10" s="48">
        <v>0.436</v>
      </c>
      <c r="BO10" s="48">
        <v>0.70899999999999996</v>
      </c>
      <c r="BP10" s="48">
        <v>0.80100000000000005</v>
      </c>
      <c r="BQ10" s="48">
        <v>1.37</v>
      </c>
      <c r="BR10" s="48">
        <v>0.97</v>
      </c>
      <c r="BS10" s="48">
        <v>0.58799999999999997</v>
      </c>
      <c r="BT10" s="48">
        <v>0.40699999999999997</v>
      </c>
      <c r="BU10" s="48">
        <v>1.02</v>
      </c>
      <c r="BV10" s="48">
        <v>0.56299999999999994</v>
      </c>
      <c r="BW10" s="48">
        <v>0.95</v>
      </c>
      <c r="BX10" s="48">
        <v>2.14</v>
      </c>
      <c r="BY10" s="48">
        <v>0.53100000000000003</v>
      </c>
      <c r="BZ10" s="48">
        <v>1.04</v>
      </c>
      <c r="CA10" s="48">
        <v>1.69</v>
      </c>
      <c r="CB10" s="48">
        <v>3.5</v>
      </c>
      <c r="CC10" s="48">
        <v>0.94299999999999995</v>
      </c>
      <c r="CD10" s="48">
        <v>0.77600000000000002</v>
      </c>
      <c r="CE10" s="48">
        <v>1.05</v>
      </c>
      <c r="CF10" s="42">
        <v>0</v>
      </c>
      <c r="CG10" s="42">
        <v>0.1</v>
      </c>
      <c r="CH10" s="47">
        <v>0</v>
      </c>
      <c r="CI10" s="42">
        <v>0</v>
      </c>
      <c r="CJ10" s="42">
        <v>0</v>
      </c>
      <c r="CK10" s="47">
        <v>0</v>
      </c>
    </row>
    <row r="11" spans="1:89" x14ac:dyDescent="0.35">
      <c r="A11" s="37" t="s">
        <v>405</v>
      </c>
      <c r="B11" s="48">
        <v>23</v>
      </c>
      <c r="C11" s="48">
        <v>95</v>
      </c>
      <c r="D11" s="48">
        <v>2.13</v>
      </c>
      <c r="E11" s="49">
        <v>0</v>
      </c>
      <c r="F11" s="49">
        <v>2.13</v>
      </c>
      <c r="G11" s="48">
        <v>0.52</v>
      </c>
      <c r="H11" s="49">
        <v>0</v>
      </c>
      <c r="I11" s="49">
        <v>0.52</v>
      </c>
      <c r="J11" s="48">
        <v>0</v>
      </c>
      <c r="K11" s="48">
        <f>3.67-N11</f>
        <v>0.87000000000000011</v>
      </c>
      <c r="L11" s="42">
        <v>0</v>
      </c>
      <c r="M11" s="48">
        <v>0.87</v>
      </c>
      <c r="N11" s="48">
        <v>2.8</v>
      </c>
      <c r="O11" s="48">
        <v>0</v>
      </c>
      <c r="P11" s="48">
        <v>92.2</v>
      </c>
      <c r="Q11" s="48">
        <v>1.77</v>
      </c>
      <c r="R11" s="48">
        <v>67</v>
      </c>
      <c r="S11" s="48">
        <v>46</v>
      </c>
      <c r="T11" s="48">
        <v>521</v>
      </c>
      <c r="U11" s="48">
        <v>48</v>
      </c>
      <c r="V11" s="48">
        <v>0.5</v>
      </c>
      <c r="W11" s="48">
        <v>26</v>
      </c>
      <c r="X11" s="48">
        <v>0.22500000000000001</v>
      </c>
      <c r="Y11" s="48">
        <v>0.9</v>
      </c>
      <c r="Z11" s="46">
        <v>0.5</v>
      </c>
      <c r="AA11" s="42">
        <v>6.7</v>
      </c>
      <c r="AB11" s="48">
        <v>0.42599999999999999</v>
      </c>
      <c r="AC11" s="46">
        <v>0.5</v>
      </c>
      <c r="AD11" s="48">
        <v>6.7000000000000004E-2</v>
      </c>
      <c r="AE11" s="48">
        <v>0.16200000000000001</v>
      </c>
      <c r="AF11" s="48">
        <v>27</v>
      </c>
      <c r="AG11" s="48">
        <v>1.1100000000000001</v>
      </c>
      <c r="AH11" s="48">
        <v>0.14899999999999999</v>
      </c>
      <c r="AI11" s="48">
        <v>62</v>
      </c>
      <c r="AJ11" s="48">
        <v>0.56999999999999995</v>
      </c>
      <c r="AK11" s="46">
        <v>0.05</v>
      </c>
      <c r="AL11" s="48">
        <v>0</v>
      </c>
      <c r="AM11" s="48">
        <v>674.83333333333337</v>
      </c>
      <c r="AN11" s="48">
        <v>0</v>
      </c>
      <c r="AO11" s="48">
        <v>4049</v>
      </c>
      <c r="AP11" s="48">
        <v>2.5</v>
      </c>
      <c r="AQ11" s="48">
        <v>0</v>
      </c>
      <c r="AR11" s="48">
        <v>310</v>
      </c>
      <c r="AS11" s="48">
        <v>1.4E-2</v>
      </c>
      <c r="AT11" s="44">
        <v>0</v>
      </c>
      <c r="AU11" s="48">
        <v>0</v>
      </c>
      <c r="AV11" s="48">
        <v>0</v>
      </c>
      <c r="AW11" s="48">
        <v>1.2E-2</v>
      </c>
      <c r="AX11" s="48">
        <v>1E-3</v>
      </c>
      <c r="AY11" s="42">
        <v>1E-3</v>
      </c>
      <c r="AZ11" s="42">
        <v>3.0000000000000001E-3</v>
      </c>
      <c r="BA11" s="48">
        <v>0.27500000000000002</v>
      </c>
      <c r="BB11" s="43">
        <v>0</v>
      </c>
      <c r="BC11" s="48">
        <v>2E-3</v>
      </c>
      <c r="BD11" s="48">
        <v>0.27300000000000002</v>
      </c>
      <c r="BE11" s="48">
        <v>0</v>
      </c>
      <c r="BF11" s="48">
        <v>0</v>
      </c>
      <c r="BG11" s="48">
        <v>0.04</v>
      </c>
      <c r="BH11" s="43">
        <v>0</v>
      </c>
      <c r="BI11" s="43">
        <v>0</v>
      </c>
      <c r="BJ11" s="48">
        <v>0</v>
      </c>
      <c r="BK11" s="48">
        <v>0</v>
      </c>
      <c r="BL11" s="48">
        <v>0</v>
      </c>
      <c r="BM11" s="44">
        <v>0.04</v>
      </c>
      <c r="BN11" s="43">
        <v>6.5500000000000003E-2</v>
      </c>
      <c r="BO11" s="43">
        <v>0.17399999999999999</v>
      </c>
      <c r="BP11" s="43">
        <v>0.16699999999999998</v>
      </c>
      <c r="BQ11" s="43">
        <v>0.38799999999999996</v>
      </c>
      <c r="BR11" s="43">
        <v>0.3795</v>
      </c>
      <c r="BS11" s="43">
        <v>7.3000000000000009E-2</v>
      </c>
      <c r="BT11" s="43">
        <v>6.25E-2</v>
      </c>
      <c r="BU11" s="43">
        <v>0.2525</v>
      </c>
      <c r="BV11" s="43">
        <v>0.16850000000000001</v>
      </c>
      <c r="BW11" s="43">
        <v>0.189</v>
      </c>
      <c r="BX11" s="43">
        <v>0.36250000000000004</v>
      </c>
      <c r="BY11" s="43">
        <v>0.14100000000000001</v>
      </c>
      <c r="BZ11" s="43">
        <v>0.22599999999999998</v>
      </c>
      <c r="CA11" s="43">
        <v>0.73899999999999999</v>
      </c>
      <c r="CB11" s="43">
        <v>1.0309999999999999</v>
      </c>
      <c r="CC11" s="43">
        <v>0.22599999999999998</v>
      </c>
      <c r="CD11" s="43">
        <v>0.34400000000000003</v>
      </c>
      <c r="CE11" s="43">
        <v>0.33600000000000002</v>
      </c>
      <c r="CF11" s="42">
        <v>0.37</v>
      </c>
      <c r="CG11" s="42">
        <v>0.497</v>
      </c>
      <c r="CH11" s="47">
        <v>0</v>
      </c>
      <c r="CI11" s="42">
        <v>0</v>
      </c>
      <c r="CJ11" s="42">
        <v>0</v>
      </c>
      <c r="CK11" s="47">
        <v>0</v>
      </c>
    </row>
    <row r="12" spans="1:89" x14ac:dyDescent="0.35">
      <c r="A12" s="39" t="s">
        <v>418</v>
      </c>
      <c r="B12" s="48">
        <v>595</v>
      </c>
      <c r="C12" s="48">
        <v>2490</v>
      </c>
      <c r="D12" s="48">
        <v>17</v>
      </c>
      <c r="E12" s="49">
        <v>0</v>
      </c>
      <c r="F12" s="49">
        <v>17</v>
      </c>
      <c r="G12" s="48">
        <v>53.8</v>
      </c>
      <c r="H12" s="49">
        <v>0</v>
      </c>
      <c r="I12" s="49">
        <v>53.8</v>
      </c>
      <c r="J12" s="48">
        <v>0</v>
      </c>
      <c r="K12" s="50">
        <v>1.4</v>
      </c>
      <c r="L12" s="50">
        <v>0.3</v>
      </c>
      <c r="M12" s="50">
        <v>1.1000000000000001</v>
      </c>
      <c r="N12" s="48">
        <v>9.3000000000000007</v>
      </c>
      <c r="O12" s="48">
        <v>0</v>
      </c>
      <c r="P12" s="48">
        <v>3.05</v>
      </c>
      <c r="Q12" s="48">
        <v>8.9499999999999993</v>
      </c>
      <c r="R12" s="48">
        <v>426</v>
      </c>
      <c r="S12" s="48">
        <v>115</v>
      </c>
      <c r="T12" s="48">
        <v>414</v>
      </c>
      <c r="U12" s="48">
        <v>732</v>
      </c>
      <c r="V12" s="48">
        <v>4.62</v>
      </c>
      <c r="W12" s="48">
        <v>95</v>
      </c>
      <c r="X12" s="48">
        <v>1.61</v>
      </c>
      <c r="Y12" s="48">
        <v>34.4</v>
      </c>
      <c r="Z12" s="50">
        <v>10</v>
      </c>
      <c r="AA12" s="50">
        <v>2.2999999999999998</v>
      </c>
      <c r="AB12" s="48">
        <v>1.46</v>
      </c>
      <c r="AC12" s="50">
        <v>211</v>
      </c>
      <c r="AD12" s="48">
        <v>1.22</v>
      </c>
      <c r="AE12" s="48">
        <v>0.47299999999999998</v>
      </c>
      <c r="AF12" s="48">
        <v>0</v>
      </c>
      <c r="AG12" s="48">
        <v>5.45</v>
      </c>
      <c r="AH12" s="48">
        <v>0.14899999999999999</v>
      </c>
      <c r="AI12" s="48">
        <v>98</v>
      </c>
      <c r="AJ12" s="48">
        <v>0.69299999999999995</v>
      </c>
      <c r="AK12" s="50">
        <v>11</v>
      </c>
      <c r="AL12" s="48">
        <v>0</v>
      </c>
      <c r="AM12" s="48">
        <v>6.666666666666667</v>
      </c>
      <c r="AN12" s="48">
        <v>0</v>
      </c>
      <c r="AO12" s="48">
        <v>40</v>
      </c>
      <c r="AP12" s="48">
        <v>0.25</v>
      </c>
      <c r="AQ12" s="48">
        <v>0</v>
      </c>
      <c r="AR12" s="48">
        <v>0</v>
      </c>
      <c r="AS12" s="48">
        <v>7.53</v>
      </c>
      <c r="AT12" s="44">
        <v>0</v>
      </c>
      <c r="AU12" s="48">
        <v>0</v>
      </c>
      <c r="AV12" s="48">
        <v>0.13400000000000001</v>
      </c>
      <c r="AW12" s="48">
        <v>4.8099999999999996</v>
      </c>
      <c r="AX12" s="48">
        <v>2.2599999999999998</v>
      </c>
      <c r="AY12" s="43">
        <v>0.16300000000000026</v>
      </c>
      <c r="AZ12" s="43">
        <v>0.16300000000000026</v>
      </c>
      <c r="BA12" s="48">
        <v>20.3</v>
      </c>
      <c r="BB12" s="43">
        <v>6.4000000000000001E-2</v>
      </c>
      <c r="BC12" s="48">
        <v>0.161</v>
      </c>
      <c r="BD12" s="48">
        <v>20</v>
      </c>
      <c r="BE12" s="48">
        <v>7.4999999999999997E-2</v>
      </c>
      <c r="BF12" s="48">
        <v>0</v>
      </c>
      <c r="BG12" s="48">
        <v>23.6</v>
      </c>
      <c r="BH12" s="43">
        <v>11.8</v>
      </c>
      <c r="BI12" s="43">
        <v>11.8</v>
      </c>
      <c r="BJ12" s="48">
        <v>0</v>
      </c>
      <c r="BK12" s="48">
        <v>0</v>
      </c>
      <c r="BL12" s="48">
        <v>0</v>
      </c>
      <c r="BM12" s="44">
        <v>23.507000000000001</v>
      </c>
      <c r="BN12" s="48">
        <v>0.372</v>
      </c>
      <c r="BO12" s="48">
        <v>0.70599999999999996</v>
      </c>
      <c r="BP12" s="48">
        <v>0.73099999999999998</v>
      </c>
      <c r="BQ12" s="48">
        <v>1.3</v>
      </c>
      <c r="BR12" s="48">
        <v>0.54500000000000004</v>
      </c>
      <c r="BS12" s="48">
        <v>0.56100000000000005</v>
      </c>
      <c r="BT12" s="48">
        <v>0.34300000000000003</v>
      </c>
      <c r="BU12" s="48">
        <v>0.90100000000000002</v>
      </c>
      <c r="BV12" s="48">
        <v>0.71199999999999997</v>
      </c>
      <c r="BW12" s="48">
        <v>0.95</v>
      </c>
      <c r="BX12" s="48">
        <v>2.52</v>
      </c>
      <c r="BY12" s="48">
        <v>0.5</v>
      </c>
      <c r="BZ12" s="48">
        <v>0.88900000000000001</v>
      </c>
      <c r="CA12" s="48">
        <v>1.58</v>
      </c>
      <c r="CB12" s="48">
        <v>3.79</v>
      </c>
      <c r="CC12" s="48">
        <v>1.1599999999999999</v>
      </c>
      <c r="CD12" s="48">
        <v>0.77600000000000002</v>
      </c>
      <c r="CE12" s="48">
        <v>0.92700000000000005</v>
      </c>
      <c r="CF12" s="50">
        <v>0.2</v>
      </c>
      <c r="CG12" s="50">
        <v>0.2</v>
      </c>
      <c r="CH12" s="47">
        <v>0</v>
      </c>
      <c r="CI12" s="50">
        <v>0.7</v>
      </c>
      <c r="CJ12" s="50">
        <v>0</v>
      </c>
      <c r="CK12" s="47">
        <v>0</v>
      </c>
    </row>
    <row r="13" spans="1:89" x14ac:dyDescent="0.35">
      <c r="A13" s="37" t="s">
        <v>406</v>
      </c>
      <c r="B13" s="48">
        <v>80</v>
      </c>
      <c r="C13" s="48">
        <v>333</v>
      </c>
      <c r="D13" s="48">
        <v>1.82</v>
      </c>
      <c r="E13" s="49">
        <v>0</v>
      </c>
      <c r="F13" s="49">
        <v>1.82</v>
      </c>
      <c r="G13" s="48">
        <v>0.75</v>
      </c>
      <c r="H13" s="49">
        <v>0</v>
      </c>
      <c r="I13" s="49">
        <v>0.75</v>
      </c>
      <c r="J13" s="48">
        <v>0</v>
      </c>
      <c r="K13" s="50">
        <f>5.1-N13</f>
        <v>3.0999999999999996</v>
      </c>
      <c r="L13" s="50">
        <v>3.4</v>
      </c>
      <c r="M13" s="48">
        <v>1.7</v>
      </c>
      <c r="N13" s="48">
        <v>2</v>
      </c>
      <c r="O13" s="48">
        <v>0</v>
      </c>
      <c r="P13" s="48">
        <v>78.900000000000006</v>
      </c>
      <c r="Q13" s="48">
        <v>0.6</v>
      </c>
      <c r="R13" s="48">
        <v>16</v>
      </c>
      <c r="S13" s="48">
        <v>13</v>
      </c>
      <c r="T13" s="48">
        <v>415</v>
      </c>
      <c r="U13" s="48">
        <v>34</v>
      </c>
      <c r="V13" s="48">
        <v>0.34</v>
      </c>
      <c r="W13" s="48">
        <v>43</v>
      </c>
      <c r="X13" s="48">
        <v>0.22600000000000001</v>
      </c>
      <c r="Y13" s="48">
        <v>0.7</v>
      </c>
      <c r="Z13" s="50">
        <v>73</v>
      </c>
      <c r="AA13" s="50">
        <v>0.69</v>
      </c>
      <c r="AB13" s="48">
        <v>0.22900000000000001</v>
      </c>
      <c r="AC13" s="46">
        <v>0.5</v>
      </c>
      <c r="AD13" s="48">
        <v>2.5000000000000001E-2</v>
      </c>
      <c r="AE13" s="48">
        <v>3.4000000000000002E-2</v>
      </c>
      <c r="AF13" s="48">
        <v>5</v>
      </c>
      <c r="AG13" s="48">
        <v>0.75</v>
      </c>
      <c r="AH13" s="48">
        <v>0.16</v>
      </c>
      <c r="AI13" s="48">
        <v>11</v>
      </c>
      <c r="AJ13" s="48">
        <v>0.20300000000000001</v>
      </c>
      <c r="AK13" s="46">
        <v>0.05</v>
      </c>
      <c r="AL13" s="48">
        <v>0</v>
      </c>
      <c r="AM13" s="48">
        <v>0</v>
      </c>
      <c r="AN13" s="48">
        <v>0</v>
      </c>
      <c r="AO13" s="48">
        <v>0</v>
      </c>
      <c r="AP13" s="48">
        <v>0.26</v>
      </c>
      <c r="AQ13" s="48">
        <v>0</v>
      </c>
      <c r="AR13" s="48">
        <v>0.1</v>
      </c>
      <c r="AS13" s="48">
        <v>0.20300000000000001</v>
      </c>
      <c r="AT13" s="44">
        <v>7.0000000000000001E-3</v>
      </c>
      <c r="AU13" s="48">
        <v>3.9E-2</v>
      </c>
      <c r="AV13" s="48">
        <v>1.7999999999999999E-2</v>
      </c>
      <c r="AW13" s="48">
        <v>0.12</v>
      </c>
      <c r="AX13" s="48">
        <v>1.7000000000000001E-2</v>
      </c>
      <c r="AY13" s="43">
        <v>1.0000000000000009E-3</v>
      </c>
      <c r="AZ13" s="43">
        <v>1.0000000000000009E-3</v>
      </c>
      <c r="BA13" s="48">
        <v>0.154</v>
      </c>
      <c r="BB13" s="43">
        <v>7.0000000000000001E-3</v>
      </c>
      <c r="BC13" s="48">
        <v>2.1000000000000001E-2</v>
      </c>
      <c r="BD13" s="48">
        <v>0.11899999999999999</v>
      </c>
      <c r="BE13" s="48">
        <v>7.0000000000000001E-3</v>
      </c>
      <c r="BF13" s="48">
        <v>0</v>
      </c>
      <c r="BG13" s="48">
        <v>0.154</v>
      </c>
      <c r="BH13" s="43">
        <v>0</v>
      </c>
      <c r="BI13" s="43">
        <v>0</v>
      </c>
      <c r="BJ13" s="48">
        <v>0</v>
      </c>
      <c r="BK13" s="48">
        <v>0</v>
      </c>
      <c r="BL13" s="48">
        <v>0</v>
      </c>
      <c r="BM13" s="44">
        <v>0.154</v>
      </c>
      <c r="BN13" s="48">
        <v>1.2E-2</v>
      </c>
      <c r="BO13" s="48">
        <v>3.5999999999999997E-2</v>
      </c>
      <c r="BP13" s="48">
        <v>5.0999999999999997E-2</v>
      </c>
      <c r="BQ13" s="48">
        <v>7.3999999999999996E-2</v>
      </c>
      <c r="BR13" s="48">
        <v>5.7000000000000002E-2</v>
      </c>
      <c r="BS13" s="48">
        <v>1.2999999999999999E-2</v>
      </c>
      <c r="BT13" s="48">
        <v>8.0000000000000002E-3</v>
      </c>
      <c r="BU13" s="48">
        <v>4.4999999999999998E-2</v>
      </c>
      <c r="BV13" s="48">
        <v>0.02</v>
      </c>
      <c r="BW13" s="48">
        <v>7.2999999999999995E-2</v>
      </c>
      <c r="BX13" s="48">
        <v>4.2999999999999997E-2</v>
      </c>
      <c r="BY13" s="48">
        <v>0.03</v>
      </c>
      <c r="BZ13" s="48">
        <v>3.1E-2</v>
      </c>
      <c r="CA13" s="48">
        <v>0.20799999999999999</v>
      </c>
      <c r="CB13" s="48">
        <v>0.16200000000000001</v>
      </c>
      <c r="CC13" s="48">
        <v>4.2999999999999997E-2</v>
      </c>
      <c r="CD13" s="48">
        <v>4.1000000000000002E-2</v>
      </c>
      <c r="CE13" s="48">
        <v>4.4999999999999998E-2</v>
      </c>
      <c r="CF13" s="50">
        <v>0.8</v>
      </c>
      <c r="CG13" s="50">
        <v>0.9</v>
      </c>
      <c r="CH13" s="47">
        <v>0</v>
      </c>
      <c r="CI13" s="50">
        <v>0</v>
      </c>
      <c r="CJ13" s="50">
        <v>0</v>
      </c>
      <c r="CK13" s="47">
        <v>0</v>
      </c>
    </row>
    <row r="14" spans="1:89" x14ac:dyDescent="0.35">
      <c r="A14" s="38" t="s">
        <v>407</v>
      </c>
      <c r="B14" s="48">
        <v>172</v>
      </c>
      <c r="C14" s="48">
        <v>720</v>
      </c>
      <c r="D14" s="48">
        <v>0.82</v>
      </c>
      <c r="E14" s="49">
        <v>0</v>
      </c>
      <c r="F14" s="49">
        <v>0.82</v>
      </c>
      <c r="G14" s="48">
        <v>0.63</v>
      </c>
      <c r="H14" s="49">
        <v>0</v>
      </c>
      <c r="I14" s="49">
        <v>0.63</v>
      </c>
      <c r="J14" s="48">
        <v>0</v>
      </c>
      <c r="K14" s="48">
        <f>40.8-N14</f>
        <v>39.9</v>
      </c>
      <c r="L14" s="48">
        <v>0.35</v>
      </c>
      <c r="M14" s="48">
        <v>33.200000000000003</v>
      </c>
      <c r="N14" s="48">
        <v>0.9</v>
      </c>
      <c r="O14" s="48">
        <v>0</v>
      </c>
      <c r="P14" s="48">
        <v>54.7</v>
      </c>
      <c r="Q14" s="48">
        <v>0.64</v>
      </c>
      <c r="R14" s="48">
        <v>33</v>
      </c>
      <c r="S14" s="48">
        <v>1030</v>
      </c>
      <c r="T14" s="48">
        <v>232</v>
      </c>
      <c r="U14" s="48">
        <v>20</v>
      </c>
      <c r="V14" s="48">
        <v>0.17</v>
      </c>
      <c r="W14" s="48">
        <v>13</v>
      </c>
      <c r="X14" s="48">
        <v>7.1999999999999995E-2</v>
      </c>
      <c r="Y14" s="48">
        <v>1.3</v>
      </c>
      <c r="Z14" s="50">
        <v>1810</v>
      </c>
      <c r="AA14" s="50">
        <v>1.4</v>
      </c>
      <c r="AB14" s="48">
        <v>0.126</v>
      </c>
      <c r="AC14" s="50">
        <v>14</v>
      </c>
      <c r="AD14" s="48">
        <v>2.3E-2</v>
      </c>
      <c r="AE14" s="48">
        <v>5.6000000000000001E-2</v>
      </c>
      <c r="AF14" s="48">
        <v>0.6</v>
      </c>
      <c r="AG14" s="48">
        <v>0.59699999999999998</v>
      </c>
      <c r="AH14" s="48">
        <v>7.4999999999999997E-2</v>
      </c>
      <c r="AI14" s="48">
        <v>2</v>
      </c>
      <c r="AJ14" s="48">
        <v>0.16400000000000001</v>
      </c>
      <c r="AK14" s="50">
        <v>8</v>
      </c>
      <c r="AL14" s="48">
        <v>0</v>
      </c>
      <c r="AM14" s="48">
        <v>22.333333333333332</v>
      </c>
      <c r="AN14" s="48">
        <v>0</v>
      </c>
      <c r="AO14" s="48">
        <v>134</v>
      </c>
      <c r="AP14" s="48">
        <v>0.87020000000000008</v>
      </c>
      <c r="AQ14" s="48">
        <v>0</v>
      </c>
      <c r="AR14" s="48">
        <v>1.8</v>
      </c>
      <c r="AS14" s="48">
        <v>4.4999999999999998E-2</v>
      </c>
      <c r="AT14" s="44">
        <v>2E-3</v>
      </c>
      <c r="AU14" s="48">
        <v>0</v>
      </c>
      <c r="AV14" s="48">
        <v>2E-3</v>
      </c>
      <c r="AW14" s="48">
        <v>2.5000000000000001E-2</v>
      </c>
      <c r="AX14" s="48">
        <v>8.0000000000000002E-3</v>
      </c>
      <c r="AY14" s="48">
        <v>2E-3</v>
      </c>
      <c r="AZ14" s="48">
        <v>1E-3</v>
      </c>
      <c r="BA14" s="48">
        <v>8.2000000000000003E-2</v>
      </c>
      <c r="BB14" s="48">
        <v>0</v>
      </c>
      <c r="BC14" s="48">
        <v>0</v>
      </c>
      <c r="BD14" s="48">
        <v>4.4999999999999998E-2</v>
      </c>
      <c r="BE14" s="48">
        <v>1.2E-2</v>
      </c>
      <c r="BF14" s="48">
        <v>2.3E-2</v>
      </c>
      <c r="BG14" s="48">
        <v>0.10100000000000001</v>
      </c>
      <c r="BH14" s="48">
        <v>0.08</v>
      </c>
      <c r="BI14" s="48">
        <v>2.1000000000000001E-2</v>
      </c>
      <c r="BJ14" s="48">
        <v>0</v>
      </c>
      <c r="BK14" s="48">
        <v>0</v>
      </c>
      <c r="BL14" s="48">
        <v>0</v>
      </c>
      <c r="BM14" s="44">
        <v>0.10200000000000001</v>
      </c>
      <c r="BN14" s="43">
        <v>7.0000000000000001E-3</v>
      </c>
      <c r="BO14" s="43">
        <v>9.2999999999999999E-2</v>
      </c>
      <c r="BP14" s="43">
        <v>0.08</v>
      </c>
      <c r="BQ14" s="43">
        <v>0.1565</v>
      </c>
      <c r="BR14" s="43">
        <v>0.14349999999999999</v>
      </c>
      <c r="BS14" s="43">
        <v>4.0500000000000001E-2</v>
      </c>
      <c r="BT14" s="43">
        <v>3.85E-2</v>
      </c>
      <c r="BU14" s="43">
        <v>9.0999999999999998E-2</v>
      </c>
      <c r="BV14" s="43">
        <v>7.1499999999999994E-2</v>
      </c>
      <c r="BW14" s="43">
        <v>0.10150000000000001</v>
      </c>
      <c r="BX14" s="43">
        <v>0.13400000000000001</v>
      </c>
      <c r="BY14" s="43">
        <v>6.6000000000000003E-2</v>
      </c>
      <c r="BZ14" s="43">
        <v>9.8500000000000004E-2</v>
      </c>
      <c r="CA14" s="43">
        <v>0.26150000000000001</v>
      </c>
      <c r="CB14" s="43">
        <v>0.53649999999999998</v>
      </c>
      <c r="CC14" s="43">
        <v>0.122</v>
      </c>
      <c r="CD14" s="43">
        <v>0.1835</v>
      </c>
      <c r="CE14" s="43">
        <v>0.11249999999999999</v>
      </c>
      <c r="CF14" s="48">
        <v>16.399999999999999</v>
      </c>
      <c r="CG14" s="48">
        <v>14.2</v>
      </c>
      <c r="CH14" s="48">
        <v>0</v>
      </c>
      <c r="CI14" s="48">
        <v>2.68</v>
      </c>
      <c r="CJ14" s="48">
        <v>0</v>
      </c>
      <c r="CK14" s="48">
        <v>0</v>
      </c>
    </row>
    <row r="15" spans="1:89" x14ac:dyDescent="0.35">
      <c r="A15" s="38" t="s">
        <v>408</v>
      </c>
      <c r="B15" s="48">
        <v>77</v>
      </c>
      <c r="C15" s="48">
        <v>321</v>
      </c>
      <c r="D15" s="48">
        <v>0</v>
      </c>
      <c r="E15" s="49">
        <v>0</v>
      </c>
      <c r="F15" s="49">
        <v>0</v>
      </c>
      <c r="G15" s="48">
        <v>0</v>
      </c>
      <c r="H15" s="49">
        <v>0</v>
      </c>
      <c r="I15" s="49">
        <v>0</v>
      </c>
      <c r="J15" s="48">
        <v>0</v>
      </c>
      <c r="K15" s="48">
        <f>19.2-N15</f>
        <v>19.2</v>
      </c>
      <c r="L15" s="50">
        <v>0.75</v>
      </c>
      <c r="M15" s="48">
        <v>10</v>
      </c>
      <c r="N15" s="48">
        <v>0</v>
      </c>
      <c r="O15" s="48">
        <v>0</v>
      </c>
      <c r="P15" s="48">
        <v>78.5</v>
      </c>
      <c r="Q15" s="48">
        <v>5.3</v>
      </c>
      <c r="R15" s="48">
        <v>107</v>
      </c>
      <c r="S15" s="48">
        <v>1300</v>
      </c>
      <c r="T15" s="48">
        <v>800</v>
      </c>
      <c r="U15" s="48">
        <v>60</v>
      </c>
      <c r="V15" s="48">
        <v>0.19</v>
      </c>
      <c r="W15" s="48">
        <v>13</v>
      </c>
      <c r="X15" s="48">
        <v>0.2</v>
      </c>
      <c r="Y15" s="48">
        <v>0.5</v>
      </c>
      <c r="Z15" s="50">
        <v>1640</v>
      </c>
      <c r="AA15" s="50">
        <v>1.6</v>
      </c>
      <c r="AB15" s="50">
        <v>680</v>
      </c>
      <c r="AC15" s="50">
        <v>31</v>
      </c>
      <c r="AD15" s="48">
        <v>7.0000000000000007E-2</v>
      </c>
      <c r="AE15" s="48">
        <v>0.13</v>
      </c>
      <c r="AF15" s="48">
        <v>13</v>
      </c>
      <c r="AG15" s="48">
        <v>0.7</v>
      </c>
      <c r="AH15" s="48">
        <v>0</v>
      </c>
      <c r="AI15" s="48">
        <v>8</v>
      </c>
      <c r="AJ15" s="50">
        <v>0</v>
      </c>
      <c r="AK15" s="50">
        <v>1</v>
      </c>
      <c r="AL15" s="48">
        <v>0</v>
      </c>
      <c r="AM15" s="48">
        <v>8.5</v>
      </c>
      <c r="AN15" s="48">
        <v>1</v>
      </c>
      <c r="AO15" s="48">
        <v>45</v>
      </c>
      <c r="AP15" s="48">
        <v>0.08</v>
      </c>
      <c r="AQ15" s="48">
        <v>0</v>
      </c>
      <c r="AR15" s="48">
        <v>1</v>
      </c>
      <c r="AS15" s="48">
        <v>0</v>
      </c>
      <c r="AT15" s="44">
        <v>0</v>
      </c>
      <c r="AU15" s="48">
        <v>0</v>
      </c>
      <c r="AV15" s="48">
        <v>0</v>
      </c>
      <c r="AW15" s="48">
        <v>0</v>
      </c>
      <c r="AX15" s="48">
        <v>0</v>
      </c>
      <c r="AY15" s="43">
        <v>0</v>
      </c>
      <c r="AZ15" s="43">
        <v>0</v>
      </c>
      <c r="BA15" s="48">
        <v>0</v>
      </c>
      <c r="BB15" s="43">
        <v>0</v>
      </c>
      <c r="BC15" s="48">
        <v>0</v>
      </c>
      <c r="BD15" s="48">
        <v>0</v>
      </c>
      <c r="BE15" s="48">
        <v>0</v>
      </c>
      <c r="BF15" s="48">
        <v>0</v>
      </c>
      <c r="BG15" s="48">
        <v>0</v>
      </c>
      <c r="BH15" s="43">
        <v>0</v>
      </c>
      <c r="BI15" s="43">
        <v>0</v>
      </c>
      <c r="BJ15" s="48">
        <v>0</v>
      </c>
      <c r="BK15" s="48">
        <v>0</v>
      </c>
      <c r="BL15" s="48">
        <v>0</v>
      </c>
      <c r="BM15" s="44">
        <v>0</v>
      </c>
      <c r="BN15" s="43">
        <v>7.0000000000000001E-3</v>
      </c>
      <c r="BO15" s="43">
        <v>9.2999999999999999E-2</v>
      </c>
      <c r="BP15" s="43">
        <v>0.08</v>
      </c>
      <c r="BQ15" s="43">
        <v>0.1565</v>
      </c>
      <c r="BR15" s="43">
        <v>0.14349999999999999</v>
      </c>
      <c r="BS15" s="43">
        <v>4.0500000000000001E-2</v>
      </c>
      <c r="BT15" s="43">
        <v>3.85E-2</v>
      </c>
      <c r="BU15" s="43">
        <v>9.0999999999999998E-2</v>
      </c>
      <c r="BV15" s="43">
        <v>7.1499999999999994E-2</v>
      </c>
      <c r="BW15" s="43">
        <v>0.10150000000000001</v>
      </c>
      <c r="BX15" s="43">
        <v>0.13400000000000001</v>
      </c>
      <c r="BY15" s="43">
        <v>6.6000000000000003E-2</v>
      </c>
      <c r="BZ15" s="43">
        <v>9.8500000000000004E-2</v>
      </c>
      <c r="CA15" s="43">
        <v>0.26150000000000001</v>
      </c>
      <c r="CB15" s="43">
        <v>0.53649999999999998</v>
      </c>
      <c r="CC15" s="43">
        <v>0.122</v>
      </c>
      <c r="CD15" s="43">
        <v>0.1835</v>
      </c>
      <c r="CE15" s="43">
        <v>0.11249999999999999</v>
      </c>
      <c r="CF15" s="50">
        <v>3.68</v>
      </c>
      <c r="CG15" s="50">
        <v>3.976</v>
      </c>
      <c r="CH15" s="47">
        <v>0</v>
      </c>
      <c r="CI15" s="50">
        <v>2.34</v>
      </c>
      <c r="CJ15" s="50">
        <v>0</v>
      </c>
      <c r="CK15" s="47">
        <v>0</v>
      </c>
    </row>
    <row r="16" spans="1:89" x14ac:dyDescent="0.35">
      <c r="A16" s="38" t="s">
        <v>410</v>
      </c>
      <c r="B16" s="48">
        <v>101</v>
      </c>
      <c r="C16" s="48">
        <v>423</v>
      </c>
      <c r="D16" s="48">
        <v>1.04</v>
      </c>
      <c r="E16" s="49">
        <v>0</v>
      </c>
      <c r="F16" s="49">
        <v>1.04</v>
      </c>
      <c r="G16" s="48">
        <v>0.1</v>
      </c>
      <c r="H16" s="49">
        <v>0</v>
      </c>
      <c r="I16" s="49">
        <v>0.1</v>
      </c>
      <c r="J16" s="48">
        <v>0</v>
      </c>
      <c r="K16" s="48">
        <f>27.4-N16</f>
        <v>27.099999999999998</v>
      </c>
      <c r="L16" s="42">
        <v>0.2</v>
      </c>
      <c r="M16" s="48">
        <v>21.3</v>
      </c>
      <c r="N16" s="48">
        <v>0.3</v>
      </c>
      <c r="O16" s="48">
        <v>0</v>
      </c>
      <c r="P16" s="48">
        <v>68.5</v>
      </c>
      <c r="Q16" s="48">
        <v>0.35</v>
      </c>
      <c r="R16" s="48">
        <v>15</v>
      </c>
      <c r="S16" s="48">
        <v>907</v>
      </c>
      <c r="T16" s="48">
        <v>281</v>
      </c>
      <c r="U16" s="48">
        <v>26</v>
      </c>
      <c r="V16" s="48">
        <v>0.17</v>
      </c>
      <c r="W16" s="48">
        <v>13</v>
      </c>
      <c r="X16" s="48">
        <v>8.5000000000000006E-2</v>
      </c>
      <c r="Y16" s="48">
        <v>0.7</v>
      </c>
      <c r="Z16" s="43">
        <v>2333.33</v>
      </c>
      <c r="AA16" s="42">
        <v>2.1</v>
      </c>
      <c r="AB16" s="48">
        <v>8.4000000000000005E-2</v>
      </c>
      <c r="AC16" s="43">
        <v>22.5</v>
      </c>
      <c r="AD16" s="48">
        <v>1.0999999999999999E-2</v>
      </c>
      <c r="AE16" s="48">
        <v>0.16600000000000001</v>
      </c>
      <c r="AF16" s="48">
        <v>4.0999999999999996</v>
      </c>
      <c r="AG16" s="48">
        <v>1.43</v>
      </c>
      <c r="AH16" s="48">
        <v>0.158</v>
      </c>
      <c r="AI16" s="48">
        <v>9</v>
      </c>
      <c r="AJ16" s="48">
        <v>4.7E-2</v>
      </c>
      <c r="AK16" s="43">
        <v>3</v>
      </c>
      <c r="AL16" s="48">
        <v>0</v>
      </c>
      <c r="AM16" s="48">
        <v>52.666666666666664</v>
      </c>
      <c r="AN16" s="48">
        <v>0</v>
      </c>
      <c r="AO16" s="48">
        <v>316</v>
      </c>
      <c r="AP16" s="48">
        <v>1.4729999999999999</v>
      </c>
      <c r="AQ16" s="48">
        <v>0</v>
      </c>
      <c r="AR16" s="48">
        <v>3</v>
      </c>
      <c r="AS16" s="48">
        <v>1.4E-2</v>
      </c>
      <c r="AT16" s="44">
        <v>0</v>
      </c>
      <c r="AU16" s="48">
        <v>0</v>
      </c>
      <c r="AV16" s="48">
        <v>0</v>
      </c>
      <c r="AW16" s="48">
        <v>0.01</v>
      </c>
      <c r="AX16" s="48">
        <v>4.0000000000000001E-3</v>
      </c>
      <c r="AY16" s="43">
        <v>0</v>
      </c>
      <c r="AZ16" s="43">
        <v>0</v>
      </c>
      <c r="BA16" s="48">
        <v>1.4999999999999999E-2</v>
      </c>
      <c r="BB16" s="43">
        <v>0</v>
      </c>
      <c r="BC16" s="48">
        <v>1E-3</v>
      </c>
      <c r="BD16" s="48">
        <v>1.4999999999999999E-2</v>
      </c>
      <c r="BE16" s="48">
        <v>0</v>
      </c>
      <c r="BF16" s="48">
        <v>0</v>
      </c>
      <c r="BG16" s="48">
        <v>4.1000000000000002E-2</v>
      </c>
      <c r="BH16" s="42">
        <v>6.5000000000000002E-2</v>
      </c>
      <c r="BI16" s="42">
        <v>1.6E-2</v>
      </c>
      <c r="BJ16" s="48">
        <v>0</v>
      </c>
      <c r="BK16" s="48">
        <v>0</v>
      </c>
      <c r="BL16" s="48">
        <v>0</v>
      </c>
      <c r="BM16" s="44">
        <v>0.04</v>
      </c>
      <c r="BN16" s="48">
        <v>5.0000000000000001E-3</v>
      </c>
      <c r="BO16" s="48">
        <v>1.9E-2</v>
      </c>
      <c r="BP16" s="48">
        <v>1.4E-2</v>
      </c>
      <c r="BQ16" s="48">
        <v>2.1000000000000001E-2</v>
      </c>
      <c r="BR16" s="48">
        <v>2.3E-2</v>
      </c>
      <c r="BS16" s="48">
        <v>5.0000000000000001E-3</v>
      </c>
      <c r="BT16" s="48">
        <v>5.0000000000000001E-3</v>
      </c>
      <c r="BU16" s="48">
        <v>2.1000000000000001E-2</v>
      </c>
      <c r="BV16" s="48">
        <v>8.9999999999999993E-3</v>
      </c>
      <c r="BW16" s="48">
        <v>1.4E-2</v>
      </c>
      <c r="BX16" s="48">
        <v>1.6E-2</v>
      </c>
      <c r="BY16" s="48">
        <v>1.2999999999999999E-2</v>
      </c>
      <c r="BZ16" s="48">
        <v>3.3000000000000002E-2</v>
      </c>
      <c r="CA16" s="48">
        <v>0.13300000000000001</v>
      </c>
      <c r="CB16" s="48">
        <v>0.34899999999999998</v>
      </c>
      <c r="CC16" s="48">
        <v>1.6E-2</v>
      </c>
      <c r="CD16" s="48">
        <v>1.2E-2</v>
      </c>
      <c r="CE16" s="48">
        <v>2.1000000000000001E-2</v>
      </c>
      <c r="CF16" s="48">
        <v>10.199999999999999</v>
      </c>
      <c r="CG16" s="48">
        <v>8.7200000000000006</v>
      </c>
      <c r="CH16" s="48">
        <v>0</v>
      </c>
      <c r="CI16" s="48">
        <v>2.2999999999999998</v>
      </c>
      <c r="CJ16" s="48">
        <v>0</v>
      </c>
      <c r="CK16" s="48">
        <v>0</v>
      </c>
    </row>
    <row r="17" spans="1:89" x14ac:dyDescent="0.35">
      <c r="A17" s="38" t="s">
        <v>409</v>
      </c>
      <c r="B17" s="48">
        <v>89</v>
      </c>
      <c r="C17" s="48">
        <v>371</v>
      </c>
      <c r="D17" s="48">
        <v>5.93</v>
      </c>
      <c r="E17" s="49">
        <v>0</v>
      </c>
      <c r="F17" s="49">
        <v>5.93</v>
      </c>
      <c r="G17" s="48">
        <v>0.02</v>
      </c>
      <c r="H17" s="49">
        <v>0</v>
      </c>
      <c r="I17" s="49">
        <v>0.02</v>
      </c>
      <c r="J17" s="48">
        <v>0</v>
      </c>
      <c r="K17" s="48">
        <f>15.6-N17</f>
        <v>15.5</v>
      </c>
      <c r="L17" s="43">
        <v>1.5</v>
      </c>
      <c r="M17" s="48">
        <v>14.1</v>
      </c>
      <c r="N17" s="48">
        <v>0.1</v>
      </c>
      <c r="O17" s="48">
        <v>0</v>
      </c>
      <c r="P17" s="48">
        <v>67.7</v>
      </c>
      <c r="Q17" s="48">
        <v>1.7</v>
      </c>
      <c r="R17" s="48">
        <v>25</v>
      </c>
      <c r="S17" s="48">
        <v>3830</v>
      </c>
      <c r="T17" s="48">
        <v>225</v>
      </c>
      <c r="U17" s="48">
        <v>154</v>
      </c>
      <c r="V17" s="48">
        <v>0.1</v>
      </c>
      <c r="W17" s="48">
        <v>61</v>
      </c>
      <c r="X17" s="48">
        <v>0.1</v>
      </c>
      <c r="Y17" s="48">
        <v>1.1000000000000001</v>
      </c>
      <c r="Z17" s="43">
        <v>2333.33</v>
      </c>
      <c r="AA17" s="43">
        <v>1.5249999999999999</v>
      </c>
      <c r="AB17" s="48">
        <v>0</v>
      </c>
      <c r="AC17" s="43">
        <v>22.5</v>
      </c>
      <c r="AD17" s="48">
        <v>0.03</v>
      </c>
      <c r="AE17" s="48">
        <v>7.0000000000000007E-2</v>
      </c>
      <c r="AF17" s="48">
        <v>0</v>
      </c>
      <c r="AG17" s="48">
        <v>1.27</v>
      </c>
      <c r="AH17" s="48">
        <v>0.1</v>
      </c>
      <c r="AI17" s="48">
        <v>8</v>
      </c>
      <c r="AJ17" s="48">
        <v>0.2</v>
      </c>
      <c r="AK17" s="43">
        <v>3</v>
      </c>
      <c r="AL17" s="48">
        <v>0</v>
      </c>
      <c r="AM17" s="48">
        <v>0</v>
      </c>
      <c r="AN17" s="48">
        <v>0</v>
      </c>
      <c r="AO17" s="48">
        <v>0</v>
      </c>
      <c r="AP17" s="48">
        <v>0</v>
      </c>
      <c r="AQ17" s="48">
        <v>0</v>
      </c>
      <c r="AR17" s="48">
        <v>0</v>
      </c>
      <c r="AS17" s="48">
        <v>0</v>
      </c>
      <c r="AT17" s="44">
        <v>0</v>
      </c>
      <c r="AU17" s="48">
        <v>0</v>
      </c>
      <c r="AV17" s="48">
        <v>0</v>
      </c>
      <c r="AW17" s="48">
        <v>0</v>
      </c>
      <c r="AX17" s="48">
        <v>0</v>
      </c>
      <c r="AY17" s="43">
        <v>0</v>
      </c>
      <c r="AZ17" s="43">
        <v>0</v>
      </c>
      <c r="BA17" s="48">
        <v>0</v>
      </c>
      <c r="BB17" s="43">
        <v>0</v>
      </c>
      <c r="BC17" s="48">
        <v>0</v>
      </c>
      <c r="BD17" s="48">
        <v>0</v>
      </c>
      <c r="BE17" s="48">
        <v>0</v>
      </c>
      <c r="BF17" s="48">
        <v>0</v>
      </c>
      <c r="BG17" s="48">
        <v>0</v>
      </c>
      <c r="BH17" s="43">
        <v>0</v>
      </c>
      <c r="BI17" s="43">
        <v>0</v>
      </c>
      <c r="BJ17" s="48">
        <v>0</v>
      </c>
      <c r="BK17" s="48">
        <v>0</v>
      </c>
      <c r="BL17" s="48">
        <v>0</v>
      </c>
      <c r="BM17" s="44">
        <v>0</v>
      </c>
      <c r="BN17" s="43">
        <v>7.0000000000000001E-3</v>
      </c>
      <c r="BO17" s="43">
        <v>9.2999999999999999E-2</v>
      </c>
      <c r="BP17" s="43">
        <v>0.08</v>
      </c>
      <c r="BQ17" s="43">
        <v>0.1565</v>
      </c>
      <c r="BR17" s="43">
        <v>0.14349999999999999</v>
      </c>
      <c r="BS17" s="43">
        <v>4.0500000000000001E-2</v>
      </c>
      <c r="BT17" s="43">
        <v>3.85E-2</v>
      </c>
      <c r="BU17" s="43">
        <v>9.0999999999999998E-2</v>
      </c>
      <c r="BV17" s="43">
        <v>7.1499999999999994E-2</v>
      </c>
      <c r="BW17" s="43">
        <v>0.10150000000000001</v>
      </c>
      <c r="BX17" s="43">
        <v>0.13400000000000001</v>
      </c>
      <c r="BY17" s="43">
        <v>6.6000000000000003E-2</v>
      </c>
      <c r="BZ17" s="43">
        <v>9.8500000000000004E-2</v>
      </c>
      <c r="CA17" s="43">
        <v>0.26150000000000001</v>
      </c>
      <c r="CB17" s="43">
        <v>0.53649999999999998</v>
      </c>
      <c r="CC17" s="43">
        <v>0.122</v>
      </c>
      <c r="CD17" s="43">
        <v>0.1835</v>
      </c>
      <c r="CE17" s="43">
        <v>0.11249999999999999</v>
      </c>
      <c r="CF17" s="43">
        <v>3.3574999999999995</v>
      </c>
      <c r="CG17" s="43">
        <v>2.9744166666666665</v>
      </c>
      <c r="CH17" s="47">
        <v>0</v>
      </c>
      <c r="CI17" s="43">
        <v>1.6233333333333333</v>
      </c>
      <c r="CJ17" s="43">
        <v>0</v>
      </c>
      <c r="CK17" s="47">
        <v>0</v>
      </c>
    </row>
    <row r="18" spans="1:89" x14ac:dyDescent="0.35">
      <c r="A18" s="37" t="s">
        <v>419</v>
      </c>
      <c r="B18" s="48">
        <v>109</v>
      </c>
      <c r="C18" s="48">
        <v>458</v>
      </c>
      <c r="D18" s="48">
        <v>11.2</v>
      </c>
      <c r="E18" s="49">
        <v>0</v>
      </c>
      <c r="F18" s="49">
        <v>11.2</v>
      </c>
      <c r="G18" s="48">
        <v>4.7300000000000004</v>
      </c>
      <c r="H18" s="49">
        <v>0</v>
      </c>
      <c r="I18" s="49">
        <v>4.7300000000000004</v>
      </c>
      <c r="J18" s="45">
        <v>0</v>
      </c>
      <c r="K18" s="48">
        <f>7.61-N18</f>
        <v>2.8100000000000005</v>
      </c>
      <c r="L18" s="48">
        <v>0.33</v>
      </c>
      <c r="M18" s="48">
        <v>2.48</v>
      </c>
      <c r="N18" s="48">
        <v>4.8</v>
      </c>
      <c r="O18" s="48">
        <v>0</v>
      </c>
      <c r="P18" s="48">
        <v>75.2</v>
      </c>
      <c r="Q18" s="48">
        <v>2.11</v>
      </c>
      <c r="R18" s="48">
        <v>60</v>
      </c>
      <c r="S18" s="48">
        <v>6</v>
      </c>
      <c r="T18" s="48">
        <v>482</v>
      </c>
      <c r="U18" s="48">
        <v>161</v>
      </c>
      <c r="V18" s="48">
        <v>1.32</v>
      </c>
      <c r="W18" s="48">
        <v>61</v>
      </c>
      <c r="X18" s="48">
        <v>0.32400000000000001</v>
      </c>
      <c r="Y18" s="42">
        <v>15</v>
      </c>
      <c r="Z18" s="46">
        <v>0.5</v>
      </c>
      <c r="AA18" s="42">
        <v>1.3</v>
      </c>
      <c r="AB18" s="48">
        <v>1.01</v>
      </c>
      <c r="AC18" s="46">
        <v>0.5</v>
      </c>
      <c r="AD18" s="48">
        <v>0.15</v>
      </c>
      <c r="AE18" s="48">
        <v>0.26500000000000001</v>
      </c>
      <c r="AF18" s="48">
        <v>9.6999999999999993</v>
      </c>
      <c r="AG18" s="48">
        <v>0.92500000000000004</v>
      </c>
      <c r="AH18" s="48">
        <v>0.13500000000000001</v>
      </c>
      <c r="AI18" s="48">
        <v>303</v>
      </c>
      <c r="AJ18" s="48">
        <v>0.53500000000000003</v>
      </c>
      <c r="AK18" s="46">
        <v>0.05</v>
      </c>
      <c r="AL18" s="47">
        <v>0</v>
      </c>
      <c r="AM18" s="42">
        <v>13</v>
      </c>
      <c r="AN18" s="47">
        <v>0</v>
      </c>
      <c r="AO18" s="42">
        <v>77</v>
      </c>
      <c r="AP18" s="48">
        <v>1.3293999999999999</v>
      </c>
      <c r="AQ18" s="47">
        <v>0</v>
      </c>
      <c r="AR18" s="48">
        <v>31.4</v>
      </c>
      <c r="AS18" s="42">
        <v>0.97</v>
      </c>
      <c r="AT18" s="42">
        <v>0</v>
      </c>
      <c r="AU18" s="42">
        <v>0</v>
      </c>
      <c r="AV18" s="42">
        <v>5.0000000000000001E-3</v>
      </c>
      <c r="AW18" s="42">
        <v>0.71199999999999997</v>
      </c>
      <c r="AX18" s="42">
        <v>0.192</v>
      </c>
      <c r="AY18" s="42">
        <v>1.7000000000000001E-2</v>
      </c>
      <c r="AZ18" s="42">
        <v>2.1999999999999999E-2</v>
      </c>
      <c r="BA18" s="42">
        <v>2.83</v>
      </c>
      <c r="BB18" s="42">
        <v>0</v>
      </c>
      <c r="BC18" s="42">
        <v>4.0000000000000001E-3</v>
      </c>
      <c r="BD18" s="42">
        <v>2.81</v>
      </c>
      <c r="BE18" s="42">
        <v>1.7000000000000001E-2</v>
      </c>
      <c r="BF18" s="42">
        <v>0</v>
      </c>
      <c r="BG18" s="42">
        <v>3.13</v>
      </c>
      <c r="BH18" s="42">
        <v>2.68</v>
      </c>
      <c r="BI18" s="42">
        <v>0.45300000000000001</v>
      </c>
      <c r="BJ18" s="42">
        <v>0</v>
      </c>
      <c r="BK18" s="42">
        <v>0</v>
      </c>
      <c r="BL18" s="42">
        <v>0</v>
      </c>
      <c r="BM18" s="44">
        <v>0</v>
      </c>
      <c r="BN18" s="48">
        <v>0.11899999999999999</v>
      </c>
      <c r="BO18" s="48">
        <v>0.312</v>
      </c>
      <c r="BP18" s="48">
        <v>0.28299999999999997</v>
      </c>
      <c r="BQ18" s="48">
        <v>0.70199999999999996</v>
      </c>
      <c r="BR18" s="48">
        <v>0.70199999999999996</v>
      </c>
      <c r="BS18" s="48">
        <v>0.13300000000000001</v>
      </c>
      <c r="BT18" s="48">
        <v>0.11700000000000001</v>
      </c>
      <c r="BU18" s="48">
        <v>0.46</v>
      </c>
      <c r="BV18" s="48">
        <v>0.317</v>
      </c>
      <c r="BW18" s="48">
        <v>0.30499999999999999</v>
      </c>
      <c r="BX18" s="48">
        <v>0.68200000000000005</v>
      </c>
      <c r="BY18" s="48">
        <v>0.252</v>
      </c>
      <c r="BZ18" s="48">
        <v>0.42099999999999999</v>
      </c>
      <c r="CA18" s="48">
        <v>1.27</v>
      </c>
      <c r="CB18" s="48">
        <v>1.9</v>
      </c>
      <c r="CC18" s="48">
        <v>0.40899999999999997</v>
      </c>
      <c r="CD18" s="48">
        <v>0.64700000000000002</v>
      </c>
      <c r="CE18" s="48">
        <v>0.627</v>
      </c>
      <c r="CF18" s="48">
        <v>0</v>
      </c>
      <c r="CG18" s="48">
        <v>0.21</v>
      </c>
      <c r="CH18" s="48">
        <v>0</v>
      </c>
      <c r="CI18" s="48">
        <v>1.1299999999999999</v>
      </c>
      <c r="CJ18" s="48">
        <v>0</v>
      </c>
      <c r="CK18" s="48">
        <v>1.1399999999999999</v>
      </c>
    </row>
  </sheetData>
  <autoFilter ref="A1:A18"/>
  <conditionalFormatting sqref="J6:Y6 K18:X18 J8:Y8 J7:K7 M7:Y7 J14:Y14 J9:K9 M9:Y9 J15:K17 M15:Y17 M11:Y11 P10:Y10 AB16:AB18 AD11:AJ14 AD10:AG10 AI10 AD6:AJ9 AD16:AJ18 AD15:AI15 AL6:CK6 AP18 AL8:CK8 AL14:BM14 AL10 AP10 AS10 AR18 AV10:BE10 AL11:AX13 BA11:BA13 AL15:AX17 BA15:BA17 BC15:BG17 BC11:BG13 BG10:BI10 AL7:BG7 BI7:CK7 AL9:BG9 BJ9:CE9 BJ12:CE13 BJ16:CK16 BM10:CE10 BM18:CK18 BJ17:BM17 BJ15:BM15 CF14:CK14 CI9 BJ11:BM11 J10 M13:Y13 N12:Y12 J11:K13 B6:I18 AB6:AB14">
    <cfRule type="containsBlanks" dxfId="27" priority="31">
      <formula>LEN(TRIM(B6))=0</formula>
    </cfRule>
  </conditionalFormatting>
  <conditionalFormatting sqref="L12">
    <cfRule type="containsBlanks" dxfId="26" priority="27">
      <formula>LEN(TRIM(L12))=0</formula>
    </cfRule>
  </conditionalFormatting>
  <conditionalFormatting sqref="M12">
    <cfRule type="containsBlanks" dxfId="25" priority="26">
      <formula>LEN(TRIM(M12))=0</formula>
    </cfRule>
  </conditionalFormatting>
  <conditionalFormatting sqref="CF12">
    <cfRule type="containsBlanks" dxfId="24" priority="25">
      <formula>LEN(TRIM(CF12))=0</formula>
    </cfRule>
  </conditionalFormatting>
  <conditionalFormatting sqref="CG12">
    <cfRule type="containsBlanks" dxfId="23" priority="24">
      <formula>LEN(TRIM(CG12))=0</formula>
    </cfRule>
  </conditionalFormatting>
  <conditionalFormatting sqref="CI12:CJ12">
    <cfRule type="containsBlanks" dxfId="22" priority="23">
      <formula>LEN(TRIM(CI12))=0</formula>
    </cfRule>
  </conditionalFormatting>
  <conditionalFormatting sqref="Z12">
    <cfRule type="containsBlanks" dxfId="21" priority="22">
      <formula>LEN(TRIM(Z12))=0</formula>
    </cfRule>
  </conditionalFormatting>
  <conditionalFormatting sqref="AA12">
    <cfRule type="containsBlanks" dxfId="20" priority="21">
      <formula>LEN(TRIM(AA12))=0</formula>
    </cfRule>
  </conditionalFormatting>
  <conditionalFormatting sqref="AC12">
    <cfRule type="containsBlanks" dxfId="19" priority="20">
      <formula>LEN(TRIM(AC12))=0</formula>
    </cfRule>
  </conditionalFormatting>
  <conditionalFormatting sqref="AK12">
    <cfRule type="containsBlanks" dxfId="18" priority="19">
      <formula>LEN(TRIM(AK12))=0</formula>
    </cfRule>
  </conditionalFormatting>
  <conditionalFormatting sqref="L13">
    <cfRule type="containsBlanks" dxfId="17" priority="18">
      <formula>LEN(TRIM(L13))=0</formula>
    </cfRule>
  </conditionalFormatting>
  <conditionalFormatting sqref="CF13:CG13">
    <cfRule type="containsBlanks" dxfId="16" priority="17">
      <formula>LEN(TRIM(CF13))=0</formula>
    </cfRule>
  </conditionalFormatting>
  <conditionalFormatting sqref="CI13:CJ13">
    <cfRule type="containsBlanks" dxfId="15" priority="16">
      <formula>LEN(TRIM(CI13))=0</formula>
    </cfRule>
  </conditionalFormatting>
  <conditionalFormatting sqref="Z13">
    <cfRule type="containsBlanks" dxfId="14" priority="15">
      <formula>LEN(TRIM(Z13))=0</formula>
    </cfRule>
  </conditionalFormatting>
  <conditionalFormatting sqref="AA13">
    <cfRule type="containsBlanks" dxfId="13" priority="14">
      <formula>LEN(TRIM(AA13))=0</formula>
    </cfRule>
  </conditionalFormatting>
  <conditionalFormatting sqref="Z14">
    <cfRule type="containsBlanks" dxfId="12" priority="13">
      <formula>LEN(TRIM(Z14))=0</formula>
    </cfRule>
  </conditionalFormatting>
  <conditionalFormatting sqref="AA14">
    <cfRule type="containsBlanks" dxfId="11" priority="12">
      <formula>LEN(TRIM(AA14))=0</formula>
    </cfRule>
  </conditionalFormatting>
  <conditionalFormatting sqref="AC14">
    <cfRule type="containsBlanks" dxfId="10" priority="11">
      <formula>LEN(TRIM(AC14))=0</formula>
    </cfRule>
  </conditionalFormatting>
  <conditionalFormatting sqref="AK14">
    <cfRule type="containsBlanks" dxfId="9" priority="10">
      <formula>LEN(TRIM(AK14))=0</formula>
    </cfRule>
  </conditionalFormatting>
  <conditionalFormatting sqref="L15">
    <cfRule type="containsBlanks" dxfId="8" priority="9">
      <formula>LEN(TRIM(L15))=0</formula>
    </cfRule>
  </conditionalFormatting>
  <conditionalFormatting sqref="CJ15">
    <cfRule type="containsBlanks" dxfId="7" priority="8">
      <formula>LEN(TRIM(CJ15))=0</formula>
    </cfRule>
  </conditionalFormatting>
  <conditionalFormatting sqref="CI15">
    <cfRule type="containsBlanks" dxfId="6" priority="7">
      <formula>LEN(TRIM(CI15))=0</formula>
    </cfRule>
  </conditionalFormatting>
  <conditionalFormatting sqref="CF15:CG15">
    <cfRule type="containsBlanks" dxfId="5" priority="6">
      <formula>LEN(TRIM(CF15))=0</formula>
    </cfRule>
  </conditionalFormatting>
  <conditionalFormatting sqref="Z15:AA15">
    <cfRule type="containsBlanks" dxfId="4" priority="5">
      <formula>LEN(TRIM(Z15))=0</formula>
    </cfRule>
  </conditionalFormatting>
  <conditionalFormatting sqref="AC15">
    <cfRule type="containsBlanks" dxfId="3" priority="4">
      <formula>LEN(TRIM(AC15))=0</formula>
    </cfRule>
  </conditionalFormatting>
  <conditionalFormatting sqref="AB15">
    <cfRule type="containsBlanks" dxfId="2" priority="3">
      <formula>LEN(TRIM(AB15))=0</formula>
    </cfRule>
  </conditionalFormatting>
  <conditionalFormatting sqref="AJ15">
    <cfRule type="containsBlanks" dxfId="1" priority="2">
      <formula>LEN(TRIM(AJ15))=0</formula>
    </cfRule>
  </conditionalFormatting>
  <conditionalFormatting sqref="AK15">
    <cfRule type="containsBlanks" dxfId="0" priority="1">
      <formula>LEN(TRIM(AK15))=0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similarity</vt:lpstr>
      <vt:lpstr>recipes</vt:lpstr>
      <vt:lpstr>mean</vt:lpstr>
      <vt:lpstr>USDA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Rachele Bianco</cp:lastModifiedBy>
  <dcterms:created xsi:type="dcterms:W3CDTF">2023-11-09T14:03:02Z</dcterms:created>
  <dcterms:modified xsi:type="dcterms:W3CDTF">2024-07-30T08:46:11Z</dcterms:modified>
</cp:coreProperties>
</file>