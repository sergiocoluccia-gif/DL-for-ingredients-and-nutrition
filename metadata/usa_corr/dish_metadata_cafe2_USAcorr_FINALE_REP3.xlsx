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cy_\Dropbox\Reportino3\Training_Nutrition5k_REP3\dataset_iniziali_metadata\USAcorr\"/>
    </mc:Choice>
  </mc:AlternateContent>
  <bookViews>
    <workbookView xWindow="0" yWindow="0" windowWidth="19200" windowHeight="6640"/>
  </bookViews>
  <sheets>
    <sheet name="Foglio1" sheetId="1" r:id="rId1"/>
  </sheets>
  <definedNames>
    <definedName name="dish_metadata_cafe2_1" localSheetId="0">Foglio1!$A$2:$EW$239</definedName>
  </definedNames>
  <calcPr calcId="162913"/>
  <extLst>
    <ext uri="GoogleSheetsCustomDataVersion2">
      <go:sheetsCustomData xmlns:go="http://customooxmlschemas.google.com/" r:id="rId5" roundtripDataChecksum="xlqaENw/z8DH4L58eSme2777um9fBYnKY2+7P31MvIA="/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51" i="1"/>
  <c r="E51" i="1"/>
  <c r="D51" i="1"/>
  <c r="C51" i="1"/>
  <c r="B51" i="1"/>
  <c r="F18" i="1"/>
  <c r="E18" i="1"/>
  <c r="D18" i="1"/>
  <c r="C18" i="1"/>
  <c r="B18" i="1"/>
  <c r="F125" i="1"/>
  <c r="E125" i="1"/>
  <c r="D125" i="1"/>
  <c r="C125" i="1"/>
  <c r="B125" i="1"/>
  <c r="F224" i="1"/>
  <c r="E224" i="1"/>
  <c r="D224" i="1"/>
  <c r="C224" i="1"/>
  <c r="B224" i="1"/>
  <c r="F44" i="1"/>
  <c r="E44" i="1"/>
  <c r="D44" i="1"/>
  <c r="C44" i="1"/>
  <c r="B44" i="1"/>
  <c r="F172" i="1"/>
  <c r="E172" i="1"/>
  <c r="D172" i="1"/>
  <c r="C172" i="1"/>
  <c r="B172" i="1"/>
  <c r="F27" i="1"/>
  <c r="E27" i="1"/>
  <c r="D27" i="1"/>
  <c r="C27" i="1"/>
  <c r="B27" i="1"/>
  <c r="F109" i="1"/>
  <c r="E109" i="1"/>
  <c r="D109" i="1"/>
  <c r="C109" i="1"/>
  <c r="B109" i="1"/>
  <c r="F130" i="1"/>
  <c r="E130" i="1"/>
  <c r="D130" i="1"/>
  <c r="C130" i="1"/>
  <c r="B130" i="1"/>
  <c r="F35" i="1"/>
  <c r="E35" i="1"/>
  <c r="D35" i="1"/>
  <c r="C35" i="1"/>
  <c r="B35" i="1"/>
  <c r="F115" i="1"/>
  <c r="E115" i="1"/>
  <c r="D115" i="1"/>
  <c r="C115" i="1"/>
  <c r="B115" i="1"/>
  <c r="F54" i="1"/>
  <c r="E54" i="1"/>
  <c r="D54" i="1"/>
  <c r="C54" i="1"/>
  <c r="B54" i="1"/>
  <c r="F230" i="1"/>
  <c r="E230" i="1"/>
  <c r="D230" i="1"/>
  <c r="C230" i="1"/>
  <c r="B230" i="1"/>
  <c r="F119" i="1"/>
  <c r="E119" i="1"/>
  <c r="D119" i="1"/>
  <c r="C119" i="1"/>
  <c r="B119" i="1"/>
  <c r="F120" i="1"/>
  <c r="E120" i="1"/>
  <c r="D120" i="1"/>
  <c r="C120" i="1"/>
  <c r="B120" i="1"/>
  <c r="F79" i="1"/>
  <c r="E79" i="1"/>
  <c r="D79" i="1"/>
  <c r="C79" i="1"/>
  <c r="B79" i="1"/>
  <c r="F124" i="1"/>
  <c r="E124" i="1"/>
  <c r="D124" i="1"/>
  <c r="C124" i="1"/>
  <c r="B124" i="1"/>
  <c r="F103" i="1"/>
  <c r="E103" i="1"/>
  <c r="D103" i="1"/>
  <c r="C103" i="1"/>
  <c r="B103" i="1"/>
  <c r="F31" i="1"/>
  <c r="E31" i="1"/>
  <c r="D31" i="1"/>
  <c r="C31" i="1"/>
  <c r="B31" i="1"/>
  <c r="F85" i="1"/>
  <c r="E85" i="1"/>
  <c r="D85" i="1"/>
  <c r="C85" i="1"/>
  <c r="B85" i="1"/>
  <c r="F86" i="1"/>
  <c r="E86" i="1"/>
  <c r="D86" i="1"/>
  <c r="C86" i="1"/>
  <c r="B86" i="1"/>
  <c r="F42" i="1"/>
  <c r="E42" i="1"/>
  <c r="D42" i="1"/>
  <c r="C42" i="1"/>
  <c r="B42" i="1"/>
  <c r="F154" i="1"/>
  <c r="E154" i="1"/>
  <c r="D154" i="1"/>
  <c r="C154" i="1"/>
  <c r="B154" i="1"/>
  <c r="F52" i="1"/>
  <c r="E52" i="1"/>
  <c r="D52" i="1"/>
  <c r="C52" i="1"/>
  <c r="B52" i="1"/>
  <c r="F28" i="1"/>
  <c r="E28" i="1"/>
  <c r="D28" i="1"/>
  <c r="C28" i="1"/>
  <c r="B28" i="1"/>
  <c r="F92" i="1"/>
  <c r="E92" i="1"/>
  <c r="D92" i="1"/>
  <c r="C92" i="1"/>
  <c r="B92" i="1"/>
  <c r="F123" i="1"/>
  <c r="E123" i="1"/>
  <c r="D123" i="1"/>
  <c r="C123" i="1"/>
  <c r="B123" i="1"/>
  <c r="F91" i="1"/>
  <c r="E91" i="1"/>
  <c r="D91" i="1"/>
  <c r="C91" i="1"/>
  <c r="B91" i="1"/>
  <c r="F77" i="1"/>
  <c r="E77" i="1"/>
  <c r="D77" i="1"/>
  <c r="C77" i="1"/>
  <c r="B77" i="1"/>
  <c r="F216" i="1"/>
  <c r="E216" i="1"/>
  <c r="D216" i="1"/>
  <c r="C216" i="1"/>
  <c r="B216" i="1"/>
  <c r="F22" i="1"/>
  <c r="E22" i="1"/>
  <c r="D22" i="1"/>
  <c r="C22" i="1"/>
  <c r="B22" i="1"/>
  <c r="F149" i="1"/>
  <c r="E149" i="1"/>
  <c r="D149" i="1"/>
  <c r="C149" i="1"/>
  <c r="B149" i="1"/>
  <c r="F180" i="1"/>
  <c r="E180" i="1"/>
  <c r="D180" i="1"/>
  <c r="C180" i="1"/>
  <c r="B180" i="1"/>
  <c r="F198" i="1"/>
  <c r="E198" i="1"/>
  <c r="D198" i="1"/>
  <c r="C198" i="1"/>
  <c r="B198" i="1"/>
  <c r="F25" i="1"/>
  <c r="E25" i="1"/>
  <c r="D25" i="1"/>
  <c r="C25" i="1"/>
  <c r="B25" i="1"/>
  <c r="F49" i="1"/>
  <c r="E49" i="1"/>
  <c r="D49" i="1"/>
  <c r="C49" i="1"/>
  <c r="B49" i="1"/>
  <c r="F100" i="1"/>
  <c r="E100" i="1"/>
  <c r="D100" i="1"/>
  <c r="C100" i="1"/>
  <c r="B100" i="1"/>
  <c r="F32" i="1"/>
  <c r="E32" i="1"/>
  <c r="D32" i="1"/>
  <c r="C32" i="1"/>
  <c r="B32" i="1"/>
  <c r="F47" i="1"/>
  <c r="E47" i="1"/>
  <c r="D47" i="1"/>
  <c r="C47" i="1"/>
  <c r="B47" i="1"/>
  <c r="F197" i="1"/>
  <c r="E197" i="1"/>
  <c r="D197" i="1"/>
  <c r="C197" i="1"/>
  <c r="B197" i="1"/>
  <c r="F203" i="1"/>
  <c r="E203" i="1"/>
  <c r="D203" i="1"/>
  <c r="C203" i="1"/>
  <c r="B203" i="1"/>
  <c r="F6" i="1"/>
  <c r="E6" i="1"/>
  <c r="D6" i="1"/>
  <c r="C6" i="1"/>
  <c r="B6" i="1"/>
  <c r="F63" i="1"/>
  <c r="E63" i="1"/>
  <c r="D63" i="1"/>
  <c r="C63" i="1"/>
  <c r="B63" i="1"/>
  <c r="F215" i="1"/>
  <c r="E215" i="1"/>
  <c r="D215" i="1"/>
  <c r="C215" i="1"/>
  <c r="B215" i="1"/>
  <c r="F97" i="1"/>
  <c r="E97" i="1"/>
  <c r="D97" i="1"/>
  <c r="C97" i="1"/>
  <c r="B97" i="1"/>
  <c r="F88" i="1"/>
  <c r="E88" i="1"/>
  <c r="D88" i="1"/>
  <c r="C88" i="1"/>
  <c r="B88" i="1"/>
  <c r="F161" i="1"/>
  <c r="E161" i="1"/>
  <c r="D161" i="1"/>
  <c r="C161" i="1"/>
  <c r="B161" i="1"/>
  <c r="F206" i="1"/>
  <c r="E206" i="1"/>
  <c r="D206" i="1"/>
  <c r="C206" i="1"/>
  <c r="B206" i="1"/>
  <c r="F196" i="1"/>
  <c r="E196" i="1"/>
  <c r="D196" i="1"/>
  <c r="C196" i="1"/>
  <c r="B196" i="1"/>
  <c r="F121" i="1"/>
  <c r="E121" i="1"/>
  <c r="D121" i="1"/>
  <c r="C121" i="1"/>
  <c r="B121" i="1"/>
  <c r="F155" i="1"/>
  <c r="E155" i="1"/>
  <c r="D155" i="1"/>
  <c r="C155" i="1"/>
  <c r="B155" i="1"/>
  <c r="F148" i="1"/>
  <c r="E148" i="1"/>
  <c r="D148" i="1"/>
  <c r="C148" i="1"/>
  <c r="B148" i="1"/>
  <c r="F78" i="1"/>
  <c r="E78" i="1"/>
  <c r="D78" i="1"/>
  <c r="C78" i="1"/>
  <c r="B78" i="1"/>
  <c r="F228" i="1"/>
  <c r="E228" i="1"/>
  <c r="D228" i="1"/>
  <c r="C228" i="1"/>
  <c r="B228" i="1"/>
  <c r="F65" i="1"/>
  <c r="E65" i="1"/>
  <c r="D65" i="1"/>
  <c r="C65" i="1"/>
  <c r="B65" i="1"/>
  <c r="F213" i="1"/>
  <c r="E213" i="1"/>
  <c r="D213" i="1"/>
  <c r="C213" i="1"/>
  <c r="B213" i="1"/>
  <c r="F122" i="1"/>
  <c r="E122" i="1"/>
  <c r="D122" i="1"/>
  <c r="C122" i="1"/>
  <c r="B122" i="1"/>
  <c r="F181" i="1"/>
  <c r="E181" i="1"/>
  <c r="D181" i="1"/>
  <c r="C181" i="1"/>
  <c r="B181" i="1"/>
  <c r="F236" i="1"/>
  <c r="E236" i="1"/>
  <c r="D236" i="1"/>
  <c r="C236" i="1"/>
  <c r="B236" i="1"/>
  <c r="F70" i="1"/>
  <c r="E70" i="1"/>
  <c r="D70" i="1"/>
  <c r="C70" i="1"/>
  <c r="B70" i="1"/>
  <c r="F7" i="1"/>
  <c r="E7" i="1"/>
  <c r="D7" i="1"/>
  <c r="C7" i="1"/>
  <c r="B7" i="1"/>
  <c r="F142" i="1"/>
  <c r="E142" i="1"/>
  <c r="D142" i="1"/>
  <c r="C142" i="1"/>
  <c r="B142" i="1"/>
  <c r="F146" i="1"/>
  <c r="E146" i="1"/>
  <c r="D146" i="1"/>
  <c r="C146" i="1"/>
  <c r="B146" i="1"/>
  <c r="F11" i="1"/>
  <c r="E11" i="1"/>
  <c r="D11" i="1"/>
  <c r="C11" i="1"/>
  <c r="B11" i="1"/>
  <c r="F29" i="1"/>
  <c r="E29" i="1"/>
  <c r="D29" i="1"/>
  <c r="C29" i="1"/>
  <c r="B29" i="1"/>
  <c r="F193" i="1"/>
  <c r="E193" i="1"/>
  <c r="D193" i="1"/>
  <c r="C193" i="1"/>
  <c r="B193" i="1"/>
  <c r="F56" i="1"/>
  <c r="E56" i="1"/>
  <c r="D56" i="1"/>
  <c r="C56" i="1"/>
  <c r="B56" i="1"/>
  <c r="F135" i="1"/>
  <c r="E135" i="1"/>
  <c r="D135" i="1"/>
  <c r="C135" i="1"/>
  <c r="B135" i="1"/>
  <c r="F132" i="1"/>
  <c r="E132" i="1"/>
  <c r="D132" i="1"/>
  <c r="C132" i="1"/>
  <c r="B132" i="1"/>
  <c r="F19" i="1"/>
  <c r="E19" i="1"/>
  <c r="D19" i="1"/>
  <c r="C19" i="1"/>
  <c r="B19" i="1"/>
  <c r="F171" i="1"/>
  <c r="E171" i="1"/>
  <c r="D171" i="1"/>
  <c r="C171" i="1"/>
  <c r="B171" i="1"/>
  <c r="F87" i="1"/>
  <c r="E87" i="1"/>
  <c r="D87" i="1"/>
  <c r="C87" i="1"/>
  <c r="B87" i="1"/>
  <c r="F99" i="1"/>
  <c r="E99" i="1"/>
  <c r="D99" i="1"/>
  <c r="C99" i="1"/>
  <c r="B99" i="1"/>
  <c r="F231" i="1"/>
  <c r="E231" i="1"/>
  <c r="D231" i="1"/>
  <c r="C231" i="1"/>
  <c r="B231" i="1"/>
  <c r="F95" i="1"/>
  <c r="E95" i="1"/>
  <c r="D95" i="1"/>
  <c r="C95" i="1"/>
  <c r="B95" i="1"/>
  <c r="F71" i="1"/>
  <c r="E71" i="1"/>
  <c r="D71" i="1"/>
  <c r="C71" i="1"/>
  <c r="B71" i="1"/>
  <c r="F74" i="1"/>
  <c r="E74" i="1"/>
  <c r="D74" i="1"/>
  <c r="C74" i="1"/>
  <c r="B74" i="1"/>
  <c r="F89" i="1"/>
  <c r="E89" i="1"/>
  <c r="D89" i="1"/>
  <c r="C89" i="1"/>
  <c r="B89" i="1"/>
  <c r="F169" i="1"/>
  <c r="E169" i="1"/>
  <c r="D169" i="1"/>
  <c r="C169" i="1"/>
  <c r="B169" i="1"/>
  <c r="F217" i="1"/>
  <c r="E217" i="1"/>
  <c r="D217" i="1"/>
  <c r="C217" i="1"/>
  <c r="B217" i="1"/>
  <c r="F200" i="1"/>
  <c r="E200" i="1"/>
  <c r="D200" i="1"/>
  <c r="C200" i="1"/>
  <c r="B200" i="1"/>
  <c r="F14" i="1"/>
  <c r="E14" i="1"/>
  <c r="D14" i="1"/>
  <c r="C14" i="1"/>
  <c r="B14" i="1"/>
  <c r="F58" i="1"/>
  <c r="E58" i="1"/>
  <c r="D58" i="1"/>
  <c r="C58" i="1"/>
  <c r="B58" i="1"/>
  <c r="F40" i="1"/>
  <c r="E40" i="1"/>
  <c r="D40" i="1"/>
  <c r="C40" i="1"/>
  <c r="B40" i="1"/>
  <c r="F159" i="1"/>
  <c r="E159" i="1"/>
  <c r="D159" i="1"/>
  <c r="C159" i="1"/>
  <c r="B159" i="1"/>
  <c r="F114" i="1"/>
  <c r="E114" i="1"/>
  <c r="D114" i="1"/>
  <c r="C114" i="1"/>
  <c r="B114" i="1"/>
  <c r="F3" i="1"/>
  <c r="E3" i="1"/>
  <c r="D3" i="1"/>
  <c r="C3" i="1"/>
  <c r="B3" i="1"/>
  <c r="F190" i="1"/>
  <c r="E190" i="1"/>
  <c r="D190" i="1"/>
  <c r="C190" i="1"/>
  <c r="B190" i="1"/>
  <c r="F235" i="1"/>
  <c r="E235" i="1"/>
  <c r="D235" i="1"/>
  <c r="C235" i="1"/>
  <c r="B235" i="1"/>
  <c r="F96" i="1"/>
  <c r="E96" i="1"/>
  <c r="D96" i="1"/>
  <c r="C96" i="1"/>
  <c r="B96" i="1"/>
  <c r="F33" i="1"/>
  <c r="E33" i="1"/>
  <c r="D33" i="1"/>
  <c r="C33" i="1"/>
  <c r="B33" i="1"/>
  <c r="F38" i="1"/>
  <c r="E38" i="1"/>
  <c r="D38" i="1"/>
  <c r="C38" i="1"/>
  <c r="B38" i="1"/>
  <c r="F156" i="1"/>
  <c r="E156" i="1"/>
  <c r="D156" i="1"/>
  <c r="C156" i="1"/>
  <c r="B156" i="1"/>
  <c r="F117" i="1"/>
  <c r="E117" i="1"/>
  <c r="D117" i="1"/>
  <c r="C117" i="1"/>
  <c r="B117" i="1"/>
  <c r="F163" i="1"/>
  <c r="E163" i="1"/>
  <c r="D163" i="1"/>
  <c r="C163" i="1"/>
  <c r="B163" i="1"/>
  <c r="F234" i="1"/>
  <c r="E234" i="1"/>
  <c r="D234" i="1"/>
  <c r="C234" i="1"/>
  <c r="B234" i="1"/>
  <c r="F151" i="1"/>
  <c r="E151" i="1"/>
  <c r="D151" i="1"/>
  <c r="C151" i="1"/>
  <c r="B151" i="1"/>
  <c r="F223" i="1"/>
  <c r="E223" i="1"/>
  <c r="D223" i="1"/>
  <c r="C223" i="1"/>
  <c r="B223" i="1"/>
  <c r="F17" i="1"/>
  <c r="E17" i="1"/>
  <c r="D17" i="1"/>
  <c r="C17" i="1"/>
  <c r="B17" i="1"/>
  <c r="F23" i="1"/>
  <c r="E23" i="1"/>
  <c r="D23" i="1"/>
  <c r="C23" i="1"/>
  <c r="B23" i="1"/>
  <c r="F147" i="1"/>
  <c r="E147" i="1"/>
  <c r="D147" i="1"/>
  <c r="C147" i="1"/>
  <c r="B147" i="1"/>
  <c r="F102" i="1"/>
  <c r="E102" i="1"/>
  <c r="D102" i="1"/>
  <c r="C102" i="1"/>
  <c r="B102" i="1"/>
  <c r="F128" i="1"/>
  <c r="E128" i="1"/>
  <c r="D128" i="1"/>
  <c r="C128" i="1"/>
  <c r="B128" i="1"/>
  <c r="F186" i="1"/>
  <c r="E186" i="1"/>
  <c r="D186" i="1"/>
  <c r="C186" i="1"/>
  <c r="B186" i="1"/>
  <c r="F195" i="1"/>
  <c r="E195" i="1"/>
  <c r="D195" i="1"/>
  <c r="C195" i="1"/>
  <c r="B195" i="1"/>
  <c r="F67" i="1"/>
  <c r="E67" i="1"/>
  <c r="D67" i="1"/>
  <c r="C67" i="1"/>
  <c r="B67" i="1"/>
  <c r="F139" i="1"/>
  <c r="E139" i="1"/>
  <c r="D139" i="1"/>
  <c r="C139" i="1"/>
  <c r="B139" i="1"/>
  <c r="F168" i="1"/>
  <c r="E168" i="1"/>
  <c r="D168" i="1"/>
  <c r="C168" i="1"/>
  <c r="B168" i="1"/>
  <c r="F233" i="1"/>
  <c r="E233" i="1"/>
  <c r="D233" i="1"/>
  <c r="C233" i="1"/>
  <c r="B233" i="1"/>
  <c r="F68" i="1"/>
  <c r="E68" i="1"/>
  <c r="D68" i="1"/>
  <c r="C68" i="1"/>
  <c r="B68" i="1"/>
  <c r="F20" i="1"/>
  <c r="E20" i="1"/>
  <c r="D20" i="1"/>
  <c r="C20" i="1"/>
  <c r="B20" i="1"/>
  <c r="F160" i="1"/>
  <c r="E160" i="1"/>
  <c r="D160" i="1"/>
  <c r="C160" i="1"/>
  <c r="B160" i="1"/>
  <c r="F204" i="1"/>
  <c r="E204" i="1"/>
  <c r="D204" i="1"/>
  <c r="C204" i="1"/>
  <c r="B204" i="1"/>
  <c r="F227" i="1"/>
  <c r="E227" i="1"/>
  <c r="D227" i="1"/>
  <c r="C227" i="1"/>
  <c r="B227" i="1"/>
  <c r="F12" i="1"/>
  <c r="E12" i="1"/>
  <c r="D12" i="1"/>
  <c r="C12" i="1"/>
  <c r="B12" i="1"/>
  <c r="F145" i="1"/>
  <c r="E145" i="1"/>
  <c r="D145" i="1"/>
  <c r="C145" i="1"/>
  <c r="B145" i="1"/>
  <c r="F184" i="1"/>
  <c r="E184" i="1"/>
  <c r="D184" i="1"/>
  <c r="C184" i="1"/>
  <c r="B184" i="1"/>
  <c r="F5" i="1"/>
  <c r="E5" i="1"/>
  <c r="D5" i="1"/>
  <c r="C5" i="1"/>
  <c r="B5" i="1"/>
  <c r="F62" i="1"/>
  <c r="E62" i="1"/>
  <c r="D62" i="1"/>
  <c r="C62" i="1"/>
  <c r="B62" i="1"/>
  <c r="F127" i="1"/>
  <c r="E127" i="1"/>
  <c r="D127" i="1"/>
  <c r="C127" i="1"/>
  <c r="B127" i="1"/>
  <c r="F69" i="1"/>
  <c r="E69" i="1"/>
  <c r="D69" i="1"/>
  <c r="C69" i="1"/>
  <c r="B69" i="1"/>
  <c r="F182" i="1"/>
  <c r="E182" i="1"/>
  <c r="D182" i="1"/>
  <c r="C182" i="1"/>
  <c r="B182" i="1"/>
  <c r="F36" i="1"/>
  <c r="E36" i="1"/>
  <c r="D36" i="1"/>
  <c r="C36" i="1"/>
  <c r="B36" i="1"/>
  <c r="F9" i="1"/>
  <c r="E9" i="1"/>
  <c r="D9" i="1"/>
  <c r="C9" i="1"/>
  <c r="B9" i="1"/>
  <c r="F98" i="1"/>
  <c r="E98" i="1"/>
  <c r="D98" i="1"/>
  <c r="C98" i="1"/>
  <c r="B98" i="1"/>
  <c r="F105" i="1"/>
  <c r="E105" i="1"/>
  <c r="D105" i="1"/>
  <c r="C105" i="1"/>
  <c r="B105" i="1"/>
  <c r="F48" i="1"/>
  <c r="E48" i="1"/>
  <c r="D48" i="1"/>
  <c r="C48" i="1"/>
  <c r="B48" i="1"/>
  <c r="F4" i="1"/>
  <c r="E4" i="1"/>
  <c r="D4" i="1"/>
  <c r="C4" i="1"/>
  <c r="B4" i="1"/>
  <c r="F222" i="1"/>
  <c r="E222" i="1"/>
  <c r="D222" i="1"/>
  <c r="C222" i="1"/>
  <c r="B222" i="1"/>
  <c r="F208" i="1"/>
  <c r="E208" i="1"/>
  <c r="D208" i="1"/>
  <c r="C208" i="1"/>
  <c r="B208" i="1"/>
  <c r="F59" i="1"/>
  <c r="E59" i="1"/>
  <c r="D59" i="1"/>
  <c r="C59" i="1"/>
  <c r="B59" i="1"/>
  <c r="F73" i="1"/>
  <c r="E73" i="1"/>
  <c r="D73" i="1"/>
  <c r="C73" i="1"/>
  <c r="B73" i="1"/>
  <c r="F150" i="1"/>
  <c r="E150" i="1"/>
  <c r="D150" i="1"/>
  <c r="C150" i="1"/>
  <c r="B150" i="1"/>
  <c r="F225" i="1"/>
  <c r="E225" i="1"/>
  <c r="D225" i="1"/>
  <c r="C225" i="1"/>
  <c r="B225" i="1"/>
  <c r="F116" i="1"/>
  <c r="E116" i="1"/>
  <c r="D116" i="1"/>
  <c r="C116" i="1"/>
  <c r="B116" i="1"/>
  <c r="F214" i="1"/>
  <c r="E214" i="1"/>
  <c r="D214" i="1"/>
  <c r="C214" i="1"/>
  <c r="B214" i="1"/>
  <c r="F183" i="1"/>
  <c r="E183" i="1"/>
  <c r="D183" i="1"/>
  <c r="C183" i="1"/>
  <c r="B183" i="1"/>
  <c r="F238" i="1"/>
  <c r="E238" i="1"/>
  <c r="D238" i="1"/>
  <c r="C238" i="1"/>
  <c r="B238" i="1"/>
  <c r="F61" i="1"/>
  <c r="E61" i="1"/>
  <c r="D61" i="1"/>
  <c r="C61" i="1"/>
  <c r="B61" i="1"/>
  <c r="F8" i="1"/>
  <c r="E8" i="1"/>
  <c r="D8" i="1"/>
  <c r="C8" i="1"/>
  <c r="B8" i="1"/>
  <c r="F66" i="1"/>
  <c r="E66" i="1"/>
  <c r="D66" i="1"/>
  <c r="C66" i="1"/>
  <c r="B66" i="1"/>
  <c r="F80" i="1"/>
  <c r="E80" i="1"/>
  <c r="D80" i="1"/>
  <c r="C80" i="1"/>
  <c r="B80" i="1"/>
  <c r="F220" i="1"/>
  <c r="E220" i="1"/>
  <c r="D220" i="1"/>
  <c r="C220" i="1"/>
  <c r="B220" i="1"/>
  <c r="F75" i="1"/>
  <c r="E75" i="1"/>
  <c r="D75" i="1"/>
  <c r="C75" i="1"/>
  <c r="B75" i="1"/>
  <c r="F45" i="1"/>
  <c r="E45" i="1"/>
  <c r="D45" i="1"/>
  <c r="C45" i="1"/>
  <c r="B45" i="1"/>
  <c r="F108" i="1"/>
  <c r="E108" i="1"/>
  <c r="D108" i="1"/>
  <c r="C108" i="1"/>
  <c r="B108" i="1"/>
  <c r="F39" i="1"/>
  <c r="E39" i="1"/>
  <c r="D39" i="1"/>
  <c r="C39" i="1"/>
  <c r="B39" i="1"/>
  <c r="F152" i="1"/>
  <c r="E152" i="1"/>
  <c r="D152" i="1"/>
  <c r="C152" i="1"/>
  <c r="B152" i="1"/>
  <c r="F126" i="1"/>
  <c r="E126" i="1"/>
  <c r="D126" i="1"/>
  <c r="C126" i="1"/>
  <c r="B126" i="1"/>
  <c r="F207" i="1"/>
  <c r="E207" i="1"/>
  <c r="D207" i="1"/>
  <c r="C207" i="1"/>
  <c r="B207" i="1"/>
  <c r="F76" i="1"/>
  <c r="E76" i="1"/>
  <c r="D76" i="1"/>
  <c r="C76" i="1"/>
  <c r="B76" i="1"/>
  <c r="F72" i="1"/>
  <c r="E72" i="1"/>
  <c r="D72" i="1"/>
  <c r="C72" i="1"/>
  <c r="B72" i="1"/>
  <c r="F50" i="1"/>
  <c r="E50" i="1"/>
  <c r="D50" i="1"/>
  <c r="C50" i="1"/>
  <c r="B50" i="1"/>
  <c r="F194" i="1"/>
  <c r="E194" i="1"/>
  <c r="D194" i="1"/>
  <c r="C194" i="1"/>
  <c r="B194" i="1"/>
  <c r="F30" i="1"/>
  <c r="E30" i="1"/>
  <c r="D30" i="1"/>
  <c r="C30" i="1"/>
  <c r="B30" i="1"/>
  <c r="F202" i="1"/>
  <c r="E202" i="1"/>
  <c r="D202" i="1"/>
  <c r="C202" i="1"/>
  <c r="B202" i="1"/>
  <c r="F16" i="1"/>
  <c r="E16" i="1"/>
  <c r="D16" i="1"/>
  <c r="C16" i="1"/>
  <c r="B16" i="1"/>
  <c r="F143" i="1"/>
  <c r="E143" i="1"/>
  <c r="D143" i="1"/>
  <c r="C143" i="1"/>
  <c r="B143" i="1"/>
  <c r="F111" i="1"/>
  <c r="E111" i="1"/>
  <c r="D111" i="1"/>
  <c r="C111" i="1"/>
  <c r="B111" i="1"/>
  <c r="F218" i="1"/>
  <c r="E218" i="1"/>
  <c r="D218" i="1"/>
  <c r="C218" i="1"/>
  <c r="B218" i="1"/>
  <c r="F179" i="1"/>
  <c r="E179" i="1"/>
  <c r="D179" i="1"/>
  <c r="C179" i="1"/>
  <c r="B179" i="1"/>
  <c r="F176" i="1"/>
  <c r="E176" i="1"/>
  <c r="D176" i="1"/>
  <c r="C176" i="1"/>
  <c r="B176" i="1"/>
  <c r="F170" i="1"/>
  <c r="E170" i="1"/>
  <c r="D170" i="1"/>
  <c r="C170" i="1"/>
  <c r="B170" i="1"/>
  <c r="F167" i="1"/>
  <c r="E167" i="1"/>
  <c r="D167" i="1"/>
  <c r="C167" i="1"/>
  <c r="B167" i="1"/>
  <c r="F104" i="1"/>
  <c r="E104" i="1"/>
  <c r="D104" i="1"/>
  <c r="C104" i="1"/>
  <c r="B104" i="1"/>
  <c r="F118" i="1"/>
  <c r="E118" i="1"/>
  <c r="D118" i="1"/>
  <c r="C118" i="1"/>
  <c r="B118" i="1"/>
  <c r="F144" i="1"/>
  <c r="E144" i="1"/>
  <c r="D144" i="1"/>
  <c r="C144" i="1"/>
  <c r="B144" i="1"/>
  <c r="F205" i="1"/>
  <c r="E205" i="1"/>
  <c r="D205" i="1"/>
  <c r="C205" i="1"/>
  <c r="B205" i="1"/>
  <c r="F187" i="1"/>
  <c r="E187" i="1"/>
  <c r="D187" i="1"/>
  <c r="C187" i="1"/>
  <c r="B187" i="1"/>
  <c r="F15" i="1"/>
  <c r="E15" i="1"/>
  <c r="D15" i="1"/>
  <c r="C15" i="1"/>
  <c r="B15" i="1"/>
  <c r="F191" i="1"/>
  <c r="E191" i="1"/>
  <c r="D191" i="1"/>
  <c r="C191" i="1"/>
  <c r="B191" i="1"/>
  <c r="F90" i="1"/>
  <c r="E90" i="1"/>
  <c r="D90" i="1"/>
  <c r="C90" i="1"/>
  <c r="B90" i="1"/>
  <c r="F101" i="1"/>
  <c r="E101" i="1"/>
  <c r="D101" i="1"/>
  <c r="C101" i="1"/>
  <c r="B101" i="1"/>
  <c r="F178" i="1"/>
  <c r="E178" i="1"/>
  <c r="D178" i="1"/>
  <c r="C178" i="1"/>
  <c r="B178" i="1"/>
  <c r="F188" i="1"/>
  <c r="E188" i="1"/>
  <c r="D188" i="1"/>
  <c r="C188" i="1"/>
  <c r="B188" i="1"/>
  <c r="F60" i="1"/>
  <c r="E60" i="1"/>
  <c r="D60" i="1"/>
  <c r="C60" i="1"/>
  <c r="B60" i="1"/>
  <c r="F166" i="1"/>
  <c r="E166" i="1"/>
  <c r="D166" i="1"/>
  <c r="C166" i="1"/>
  <c r="B166" i="1"/>
  <c r="F46" i="1"/>
  <c r="E46" i="1"/>
  <c r="D46" i="1"/>
  <c r="C46" i="1"/>
  <c r="B46" i="1"/>
  <c r="F134" i="1"/>
  <c r="E134" i="1"/>
  <c r="D134" i="1"/>
  <c r="C134" i="1"/>
  <c r="B134" i="1"/>
  <c r="F201" i="1"/>
  <c r="E201" i="1"/>
  <c r="D201" i="1"/>
  <c r="C201" i="1"/>
  <c r="B201" i="1"/>
  <c r="F226" i="1"/>
  <c r="E226" i="1"/>
  <c r="D226" i="1"/>
  <c r="C226" i="1"/>
  <c r="B226" i="1"/>
  <c r="F55" i="1"/>
  <c r="E55" i="1"/>
  <c r="D55" i="1"/>
  <c r="C55" i="1"/>
  <c r="B55" i="1"/>
  <c r="F53" i="1"/>
  <c r="E53" i="1"/>
  <c r="D53" i="1"/>
  <c r="C53" i="1"/>
  <c r="B53" i="1"/>
  <c r="F162" i="1"/>
  <c r="E162" i="1"/>
  <c r="D162" i="1"/>
  <c r="C162" i="1"/>
  <c r="B162" i="1"/>
  <c r="F94" i="1"/>
  <c r="E94" i="1"/>
  <c r="D94" i="1"/>
  <c r="C94" i="1"/>
  <c r="B94" i="1"/>
  <c r="F153" i="1"/>
  <c r="E153" i="1"/>
  <c r="D153" i="1"/>
  <c r="C153" i="1"/>
  <c r="B153" i="1"/>
  <c r="F57" i="1"/>
  <c r="E57" i="1"/>
  <c r="D57" i="1"/>
  <c r="C57" i="1"/>
  <c r="B57" i="1"/>
  <c r="F2" i="1"/>
  <c r="E2" i="1"/>
  <c r="D2" i="1"/>
  <c r="C2" i="1"/>
  <c r="B2" i="1"/>
  <c r="F37" i="1"/>
  <c r="E37" i="1"/>
  <c r="D37" i="1"/>
  <c r="C37" i="1"/>
  <c r="B37" i="1"/>
  <c r="F64" i="1"/>
  <c r="E64" i="1"/>
  <c r="D64" i="1"/>
  <c r="C64" i="1"/>
  <c r="B64" i="1"/>
  <c r="F173" i="1"/>
  <c r="E173" i="1"/>
  <c r="D173" i="1"/>
  <c r="C173" i="1"/>
  <c r="B173" i="1"/>
  <c r="F138" i="1"/>
  <c r="E138" i="1"/>
  <c r="D138" i="1"/>
  <c r="C138" i="1"/>
  <c r="B138" i="1"/>
  <c r="F219" i="1"/>
  <c r="E219" i="1"/>
  <c r="D219" i="1"/>
  <c r="C219" i="1"/>
  <c r="B219" i="1"/>
  <c r="F83" i="1"/>
  <c r="E83" i="1"/>
  <c r="D83" i="1"/>
  <c r="C83" i="1"/>
  <c r="B83" i="1"/>
  <c r="F192" i="1"/>
  <c r="E192" i="1"/>
  <c r="D192" i="1"/>
  <c r="C192" i="1"/>
  <c r="B192" i="1"/>
  <c r="F209" i="1"/>
  <c r="E209" i="1"/>
  <c r="D209" i="1"/>
  <c r="C209" i="1"/>
  <c r="B209" i="1"/>
  <c r="F13" i="1"/>
  <c r="E13" i="1"/>
  <c r="D13" i="1"/>
  <c r="C13" i="1"/>
  <c r="B13" i="1"/>
  <c r="F113" i="1"/>
  <c r="E113" i="1"/>
  <c r="D113" i="1"/>
  <c r="C113" i="1"/>
  <c r="B113" i="1"/>
  <c r="F93" i="1"/>
  <c r="E93" i="1"/>
  <c r="D93" i="1"/>
  <c r="C93" i="1"/>
  <c r="B93" i="1"/>
  <c r="F189" i="1"/>
  <c r="E189" i="1"/>
  <c r="D189" i="1"/>
  <c r="C189" i="1"/>
  <c r="B189" i="1"/>
  <c r="F81" i="1"/>
  <c r="E81" i="1"/>
  <c r="D81" i="1"/>
  <c r="C81" i="1"/>
  <c r="B81" i="1"/>
  <c r="F131" i="1"/>
  <c r="E131" i="1"/>
  <c r="D131" i="1"/>
  <c r="C131" i="1"/>
  <c r="B131" i="1"/>
  <c r="F133" i="1"/>
  <c r="E133" i="1"/>
  <c r="D133" i="1"/>
  <c r="C133" i="1"/>
  <c r="B133" i="1"/>
  <c r="F199" i="1"/>
  <c r="E199" i="1"/>
  <c r="D199" i="1"/>
  <c r="C199" i="1"/>
  <c r="B199" i="1"/>
  <c r="F210" i="1"/>
  <c r="E210" i="1"/>
  <c r="D210" i="1"/>
  <c r="C210" i="1"/>
  <c r="B210" i="1"/>
  <c r="F82" i="1"/>
  <c r="E82" i="1"/>
  <c r="D82" i="1"/>
  <c r="C82" i="1"/>
  <c r="B82" i="1"/>
  <c r="F106" i="1"/>
  <c r="E106" i="1"/>
  <c r="D106" i="1"/>
  <c r="C106" i="1"/>
  <c r="B106" i="1"/>
  <c r="F24" i="1"/>
  <c r="E24" i="1"/>
  <c r="D24" i="1"/>
  <c r="C24" i="1"/>
  <c r="B24" i="1"/>
  <c r="F177" i="1"/>
  <c r="E177" i="1"/>
  <c r="D177" i="1"/>
  <c r="C177" i="1"/>
  <c r="B177" i="1"/>
  <c r="F34" i="1"/>
  <c r="E34" i="1"/>
  <c r="D34" i="1"/>
  <c r="C34" i="1"/>
  <c r="B34" i="1"/>
  <c r="F43" i="1"/>
  <c r="E43" i="1"/>
  <c r="D43" i="1"/>
  <c r="C43" i="1"/>
  <c r="B43" i="1"/>
  <c r="F232" i="1"/>
  <c r="E232" i="1"/>
  <c r="D232" i="1"/>
  <c r="C232" i="1"/>
  <c r="B232" i="1"/>
  <c r="F107" i="1"/>
  <c r="E107" i="1"/>
  <c r="D107" i="1"/>
  <c r="C107" i="1"/>
  <c r="B107" i="1"/>
  <c r="F212" i="1"/>
  <c r="E212" i="1"/>
  <c r="D212" i="1"/>
  <c r="C212" i="1"/>
  <c r="B212" i="1"/>
  <c r="F164" i="1"/>
  <c r="E164" i="1"/>
  <c r="D164" i="1"/>
  <c r="C164" i="1"/>
  <c r="B164" i="1"/>
  <c r="F157" i="1"/>
  <c r="E157" i="1"/>
  <c r="D157" i="1"/>
  <c r="C157" i="1"/>
  <c r="B157" i="1"/>
  <c r="F129" i="1"/>
  <c r="E129" i="1"/>
  <c r="D129" i="1"/>
  <c r="C129" i="1"/>
  <c r="B129" i="1"/>
  <c r="F185" i="1"/>
  <c r="E185" i="1"/>
  <c r="D185" i="1"/>
  <c r="C185" i="1"/>
  <c r="B185" i="1"/>
  <c r="F175" i="1"/>
  <c r="E175" i="1"/>
  <c r="D175" i="1"/>
  <c r="C175" i="1"/>
  <c r="B175" i="1"/>
  <c r="F110" i="1"/>
  <c r="E110" i="1"/>
  <c r="D110" i="1"/>
  <c r="C110" i="1"/>
  <c r="B110" i="1"/>
  <c r="F140" i="1"/>
  <c r="E140" i="1"/>
  <c r="D140" i="1"/>
  <c r="C140" i="1"/>
  <c r="B140" i="1"/>
  <c r="F229" i="1"/>
  <c r="E229" i="1"/>
  <c r="D229" i="1"/>
  <c r="C229" i="1"/>
  <c r="B229" i="1"/>
  <c r="F211" i="1"/>
  <c r="E211" i="1"/>
  <c r="D211" i="1"/>
  <c r="C211" i="1"/>
  <c r="B211" i="1"/>
  <c r="F221" i="1"/>
  <c r="E221" i="1"/>
  <c r="D221" i="1"/>
  <c r="C221" i="1"/>
  <c r="B221" i="1"/>
  <c r="F21" i="1"/>
  <c r="E21" i="1"/>
  <c r="D21" i="1"/>
  <c r="C21" i="1"/>
  <c r="B21" i="1"/>
  <c r="F41" i="1"/>
  <c r="E41" i="1"/>
  <c r="D41" i="1"/>
  <c r="C41" i="1"/>
  <c r="B41" i="1"/>
  <c r="F112" i="1"/>
  <c r="E112" i="1"/>
  <c r="D112" i="1"/>
  <c r="C112" i="1"/>
  <c r="B112" i="1"/>
  <c r="F239" i="1"/>
  <c r="E239" i="1"/>
  <c r="D239" i="1"/>
  <c r="C239" i="1"/>
  <c r="B239" i="1"/>
  <c r="F84" i="1"/>
  <c r="E84" i="1"/>
  <c r="D84" i="1"/>
  <c r="C84" i="1"/>
  <c r="B84" i="1"/>
  <c r="F158" i="1"/>
  <c r="E158" i="1"/>
  <c r="D158" i="1"/>
  <c r="C158" i="1"/>
  <c r="B158" i="1"/>
  <c r="F174" i="1"/>
  <c r="E174" i="1"/>
  <c r="D174" i="1"/>
  <c r="C174" i="1"/>
  <c r="B174" i="1"/>
  <c r="F136" i="1"/>
  <c r="E136" i="1"/>
  <c r="D136" i="1"/>
  <c r="C136" i="1"/>
  <c r="B136" i="1"/>
  <c r="F141" i="1"/>
  <c r="E141" i="1"/>
  <c r="D141" i="1"/>
  <c r="C141" i="1"/>
  <c r="B141" i="1"/>
  <c r="F26" i="1"/>
  <c r="E26" i="1"/>
  <c r="D26" i="1"/>
  <c r="C26" i="1"/>
  <c r="B26" i="1"/>
  <c r="F237" i="1"/>
  <c r="E237" i="1"/>
  <c r="D237" i="1"/>
  <c r="C237" i="1"/>
  <c r="B237" i="1"/>
  <c r="F165" i="1"/>
  <c r="E165" i="1"/>
  <c r="D165" i="1"/>
  <c r="C165" i="1"/>
  <c r="B165" i="1"/>
  <c r="F137" i="1"/>
  <c r="E137" i="1"/>
  <c r="D137" i="1"/>
  <c r="C137" i="1"/>
  <c r="B137" i="1"/>
</calcChain>
</file>

<file path=xl/sharedStrings.xml><?xml version="1.0" encoding="utf-8"?>
<sst xmlns="http://schemas.openxmlformats.org/spreadsheetml/2006/main" count="2704" uniqueCount="558">
  <si>
    <t>DISH_id</t>
  </si>
  <si>
    <t>energy (kcal)</t>
  </si>
  <si>
    <t>mass</t>
  </si>
  <si>
    <t>fat</t>
  </si>
  <si>
    <t>carb</t>
  </si>
  <si>
    <t>prot</t>
  </si>
  <si>
    <t>dish_1572974428</t>
  </si>
  <si>
    <t>ingr_0000000032</t>
  </si>
  <si>
    <t>tomatoes</t>
  </si>
  <si>
    <t>ingr_0000000042</t>
  </si>
  <si>
    <t>avocado</t>
  </si>
  <si>
    <t>ingr_0000000098</t>
  </si>
  <si>
    <t>multigrain bread</t>
  </si>
  <si>
    <t>ingr_0000000161</t>
  </si>
  <si>
    <t>olive oil</t>
  </si>
  <si>
    <t>ingr_0000000281</t>
  </si>
  <si>
    <t>edamame</t>
  </si>
  <si>
    <t>ingr_0000000291</t>
  </si>
  <si>
    <t>salt</t>
  </si>
  <si>
    <t>ingr_0000000364</t>
  </si>
  <si>
    <t>sunflower seeds</t>
  </si>
  <si>
    <t>ingr_0000000531</t>
  </si>
  <si>
    <t>pumpkin seeds</t>
  </si>
  <si>
    <t>dish_1572464692</t>
  </si>
  <si>
    <t>ingr_0000000442</t>
  </si>
  <si>
    <t>hummus</t>
  </si>
  <si>
    <t>dish_1571931594</t>
  </si>
  <si>
    <t>ingr_0000000433</t>
  </si>
  <si>
    <t>roasted potatoes</t>
  </si>
  <si>
    <t>dish_1575478635</t>
  </si>
  <si>
    <t>ingr_0000000008</t>
  </si>
  <si>
    <t>scrambled eggs</t>
  </si>
  <si>
    <t>dish_1572887017</t>
  </si>
  <si>
    <t>ingr_0000000015</t>
  </si>
  <si>
    <t>hash browns</t>
  </si>
  <si>
    <t>ingr_0000000128</t>
  </si>
  <si>
    <t>egg whites</t>
  </si>
  <si>
    <t>ingr_0000000475</t>
  </si>
  <si>
    <t>salsa</t>
  </si>
  <si>
    <t>dish_1572984706</t>
  </si>
  <si>
    <t>ingr_0000000007</t>
  </si>
  <si>
    <t>cauliflower</t>
  </si>
  <si>
    <t>ingr_0000000448</t>
  </si>
  <si>
    <t>jalapenos</t>
  </si>
  <si>
    <t>ingr_0000000527</t>
  </si>
  <si>
    <t>chive</t>
  </si>
  <si>
    <t>dish_1572453726</t>
  </si>
  <si>
    <t>ingr_0000000027</t>
  </si>
  <si>
    <t>broccoli</t>
  </si>
  <si>
    <t>ingr_0000000039</t>
  </si>
  <si>
    <t>sausage</t>
  </si>
  <si>
    <t>dish_1572540238</t>
  </si>
  <si>
    <t>ingr_0000000002</t>
  </si>
  <si>
    <t>strawberries</t>
  </si>
  <si>
    <t>dish_1573762622</t>
  </si>
  <si>
    <t>ingr_0000000076</t>
  </si>
  <si>
    <t>brisket</t>
  </si>
  <si>
    <t>ingr_0000000243</t>
  </si>
  <si>
    <t>mozzarella cheese</t>
  </si>
  <si>
    <t>ingr_0000000254</t>
  </si>
  <si>
    <t>mashed potatoes</t>
  </si>
  <si>
    <t>ingr_0000000441</t>
  </si>
  <si>
    <t>butter</t>
  </si>
  <si>
    <t>ingr_0000000521</t>
  </si>
  <si>
    <t>basil</t>
  </si>
  <si>
    <t>ingr_0000000549</t>
  </si>
  <si>
    <t>ingr_0000000551</t>
  </si>
  <si>
    <t>dish_1571931457</t>
  </si>
  <si>
    <t>dish_1573232499</t>
  </si>
  <si>
    <t>ingr_0000000004</t>
  </si>
  <si>
    <t>bacon</t>
  </si>
  <si>
    <t>ingr_0000000194</t>
  </si>
  <si>
    <t>fried rice</t>
  </si>
  <si>
    <t>dish_1574702473</t>
  </si>
  <si>
    <t>dish_1575664962</t>
  </si>
  <si>
    <t>ingr_0000000049</t>
  </si>
  <si>
    <t>fish</t>
  </si>
  <si>
    <t>ingr_0000000122</t>
  </si>
  <si>
    <t>garlic</t>
  </si>
  <si>
    <t>ingr_0000000133</t>
  </si>
  <si>
    <t>shallots</t>
  </si>
  <si>
    <t>ingr_0000000471</t>
  </si>
  <si>
    <t>cherry tomatoes</t>
  </si>
  <si>
    <t>ingr_0000000514</t>
  </si>
  <si>
    <t>wheat berry</t>
  </si>
  <si>
    <t>ingr_0000000517</t>
  </si>
  <si>
    <t>chard</t>
  </si>
  <si>
    <t>ingr_0000000520</t>
  </si>
  <si>
    <t>lemon juice</t>
  </si>
  <si>
    <t>ingr_0000000524</t>
  </si>
  <si>
    <t>parsley</t>
  </si>
  <si>
    <t>dish_1571935895</t>
  </si>
  <si>
    <t>ingr_0000000059</t>
  </si>
  <si>
    <t>oatmeal</t>
  </si>
  <si>
    <t>dish_1571946018</t>
  </si>
  <si>
    <t>ingr_0000000094</t>
  </si>
  <si>
    <t>onions</t>
  </si>
  <si>
    <t>ingr_0000000335</t>
  </si>
  <si>
    <t>eggplant</t>
  </si>
  <si>
    <t>dish_1571932375</t>
  </si>
  <si>
    <t>dish_1572889151</t>
  </si>
  <si>
    <t>ingr_0000000545</t>
  </si>
  <si>
    <t>greek yogurt</t>
  </si>
  <si>
    <t>dish_1573233271</t>
  </si>
  <si>
    <t>ingr_0000000279</t>
  </si>
  <si>
    <t>omelets</t>
  </si>
  <si>
    <t>dish_1572453701</t>
  </si>
  <si>
    <t>dish_1572291671</t>
  </si>
  <si>
    <t>ingr_0000000028</t>
  </si>
  <si>
    <t>chicken</t>
  </si>
  <si>
    <t>ingr_0000000033</t>
  </si>
  <si>
    <t>bell peppers</t>
  </si>
  <si>
    <t>ingr_0000000036</t>
  </si>
  <si>
    <t>spinach (raw)</t>
  </si>
  <si>
    <t>ingr_0000000312</t>
  </si>
  <si>
    <t>pepper</t>
  </si>
  <si>
    <t>ingr_0000000513</t>
  </si>
  <si>
    <t>millet</t>
  </si>
  <si>
    <t>dish_1573072410</t>
  </si>
  <si>
    <t>ingr_0000000456</t>
  </si>
  <si>
    <t>barley</t>
  </si>
  <si>
    <t>dish_1572540876</t>
  </si>
  <si>
    <t>dish_1572464738</t>
  </si>
  <si>
    <t>ingr_0000000050</t>
  </si>
  <si>
    <t>tofu</t>
  </si>
  <si>
    <t>dish_1571945939</t>
  </si>
  <si>
    <t>ingr_0000000034</t>
  </si>
  <si>
    <t>celery</t>
  </si>
  <si>
    <t>ingr_0000000051</t>
  </si>
  <si>
    <t>shrimp</t>
  </si>
  <si>
    <t>ingr_0000000116</t>
  </si>
  <si>
    <t>mayonnaise</t>
  </si>
  <si>
    <t>ingr_0000000314</t>
  </si>
  <si>
    <t>sourdough bread</t>
  </si>
  <si>
    <t>dish_1573243053</t>
  </si>
  <si>
    <t>ingr_0000000371</t>
  </si>
  <si>
    <t>dumplings</t>
  </si>
  <si>
    <t>dish_1571931782</t>
  </si>
  <si>
    <t>dish_1574455517</t>
  </si>
  <si>
    <t>ingr_0000000031</t>
  </si>
  <si>
    <t>cucumbers</t>
  </si>
  <si>
    <t>ingr_0000000045</t>
  </si>
  <si>
    <t>carrot</t>
  </si>
  <si>
    <t>ingr_0000000102</t>
  </si>
  <si>
    <t>snow peas</t>
  </si>
  <si>
    <t>ingr_0000000159</t>
  </si>
  <si>
    <t>apple cider</t>
  </si>
  <si>
    <t>ingr_0000000189</t>
  </si>
  <si>
    <t>vinegar</t>
  </si>
  <si>
    <t>ingr_0000000252</t>
  </si>
  <si>
    <t>broth</t>
  </si>
  <si>
    <t>ingr_0000000462</t>
  </si>
  <si>
    <t>pork</t>
  </si>
  <si>
    <t>dish_1574728229</t>
  </si>
  <si>
    <t>ingr_0000000179</t>
  </si>
  <si>
    <t>eggs</t>
  </si>
  <si>
    <t>dish_1572379407</t>
  </si>
  <si>
    <t>ingr_0000000203</t>
  </si>
  <si>
    <t>chili</t>
  </si>
  <si>
    <t>dish_1575481406</t>
  </si>
  <si>
    <t>dish_1573491305</t>
  </si>
  <si>
    <t>dish_1573763139</t>
  </si>
  <si>
    <t>ingr_0000000174</t>
  </si>
  <si>
    <t>bread crumbs</t>
  </si>
  <si>
    <t>dish_1571946063</t>
  </si>
  <si>
    <t>dish_1572031580</t>
  </si>
  <si>
    <t>ingr_0000000155</t>
  </si>
  <si>
    <t>chicken thighs</t>
  </si>
  <si>
    <t>ingr_0000000321</t>
  </si>
  <si>
    <t>water</t>
  </si>
  <si>
    <t>ingr_0000000341</t>
  </si>
  <si>
    <t>cream</t>
  </si>
  <si>
    <t>ingr_0000000523</t>
  </si>
  <si>
    <t>cilantro</t>
  </si>
  <si>
    <t>ingr_0000000540</t>
  </si>
  <si>
    <t>ginger</t>
  </si>
  <si>
    <t>ingr_0000000555</t>
  </si>
  <si>
    <t>dish_1572988741</t>
  </si>
  <si>
    <t>ingr_0000000052</t>
  </si>
  <si>
    <t>cheese</t>
  </si>
  <si>
    <t>ingr_0000000060</t>
  </si>
  <si>
    <t>tortilla</t>
  </si>
  <si>
    <t>dish_1573060410</t>
  </si>
  <si>
    <t>ingr_0000000070</t>
  </si>
  <si>
    <t>figs</t>
  </si>
  <si>
    <t>ingr_0000000294</t>
  </si>
  <si>
    <t>granola</t>
  </si>
  <si>
    <t>ingr_0000000440</t>
  </si>
  <si>
    <t>grapes</t>
  </si>
  <si>
    <t>ingr_0000000543</t>
  </si>
  <si>
    <t>chia seeds</t>
  </si>
  <si>
    <t>dish_1573764136</t>
  </si>
  <si>
    <t>ingr_0000000528</t>
  </si>
  <si>
    <t>celery root</t>
  </si>
  <si>
    <t>dish_1572278943</t>
  </si>
  <si>
    <t>dish_1573665056</t>
  </si>
  <si>
    <t>dish_1573232461</t>
  </si>
  <si>
    <t>dish_1575999037</t>
  </si>
  <si>
    <t>dish_1571946265</t>
  </si>
  <si>
    <t>dish_1572035321</t>
  </si>
  <si>
    <t>ingr_0000000026</t>
  </si>
  <si>
    <t>white rice</t>
  </si>
  <si>
    <t>dish_1573763118</t>
  </si>
  <si>
    <t>dish_1571944238</t>
  </si>
  <si>
    <t>ingr_0000000021</t>
  </si>
  <si>
    <t>squash</t>
  </si>
  <si>
    <t>ingr_0000000214</t>
  </si>
  <si>
    <t>seeds</t>
  </si>
  <si>
    <t>ingr_0000000359</t>
  </si>
  <si>
    <t>honey</t>
  </si>
  <si>
    <t>dish_1572901583</t>
  </si>
  <si>
    <t>ingr_0000000367</t>
  </si>
  <si>
    <t>lime</t>
  </si>
  <si>
    <t>ingr_0000000506</t>
  </si>
  <si>
    <t>pinto beans</t>
  </si>
  <si>
    <t>ingr_0000000538</t>
  </si>
  <si>
    <t>jicama</t>
  </si>
  <si>
    <t>dish_1572453753</t>
  </si>
  <si>
    <t>dish_1574184971</t>
  </si>
  <si>
    <t>ingr_0000000510</t>
  </si>
  <si>
    <t>chicken apple sausage</t>
  </si>
  <si>
    <t>dish_1574711589</t>
  </si>
  <si>
    <t>ingr_0000000023</t>
  </si>
  <si>
    <t>brown rice</t>
  </si>
  <si>
    <t>ingr_0000000073</t>
  </si>
  <si>
    <t>radishes</t>
  </si>
  <si>
    <t>ingr_0000000511</t>
  </si>
  <si>
    <t>spinach (cooked)</t>
  </si>
  <si>
    <t>ingr_0000000515</t>
  </si>
  <si>
    <t>arugula</t>
  </si>
  <si>
    <t>ingr_0000000518</t>
  </si>
  <si>
    <t>thyme</t>
  </si>
  <si>
    <t>dish_1576259776</t>
  </si>
  <si>
    <t>dish_1574280343</t>
  </si>
  <si>
    <t>dish_1572548822</t>
  </si>
  <si>
    <t>ingr_0000000466</t>
  </si>
  <si>
    <t>pistachios</t>
  </si>
  <si>
    <t>dish_1573665025</t>
  </si>
  <si>
    <t>dish_1572538461</t>
  </si>
  <si>
    <t>dish_1574359130</t>
  </si>
  <si>
    <t>dish_1574281837</t>
  </si>
  <si>
    <t>ingr_0000000047</t>
  </si>
  <si>
    <t>corn</t>
  </si>
  <si>
    <t>ingr_0000000087</t>
  </si>
  <si>
    <t>coleslaw</t>
  </si>
  <si>
    <t>ingr_0000000228</t>
  </si>
  <si>
    <t>cornmeal</t>
  </si>
  <si>
    <t>ingr_0000000349</t>
  </si>
  <si>
    <t>mangos</t>
  </si>
  <si>
    <t>ingr_0000000481</t>
  </si>
  <si>
    <t>flatbread</t>
  </si>
  <si>
    <t>ingr_0000000485</t>
  </si>
  <si>
    <t>zucchini</t>
  </si>
  <si>
    <t>ingr_0000000502</t>
  </si>
  <si>
    <t>milk</t>
  </si>
  <si>
    <t>dish_1571934124</t>
  </si>
  <si>
    <t>dish_1572031211</t>
  </si>
  <si>
    <t>dish_1572984792</t>
  </si>
  <si>
    <t>ingr_0000000005</t>
  </si>
  <si>
    <t>potatoes</t>
  </si>
  <si>
    <t>ingr_0000000025</t>
  </si>
  <si>
    <t>beef</t>
  </si>
  <si>
    <t>ingr_0000000101</t>
  </si>
  <si>
    <t>leeks</t>
  </si>
  <si>
    <t>ingr_0000000126</t>
  </si>
  <si>
    <t>mustard</t>
  </si>
  <si>
    <t>ingr_0000000434</t>
  </si>
  <si>
    <t>sour cream</t>
  </si>
  <si>
    <t>ingr_0000000437</t>
  </si>
  <si>
    <t>sweet potato</t>
  </si>
  <si>
    <t>dish_1574444158</t>
  </si>
  <si>
    <t>dish_1572464400</t>
  </si>
  <si>
    <t>ingr_0000000332</t>
  </si>
  <si>
    <t>salmon</t>
  </si>
  <si>
    <t>dish_1574197731</t>
  </si>
  <si>
    <t>ingr_0000000010</t>
  </si>
  <si>
    <t>steak</t>
  </si>
  <si>
    <t>dish_1572278972</t>
  </si>
  <si>
    <t>dish_1572376802</t>
  </si>
  <si>
    <t>ingr_0000000290</t>
  </si>
  <si>
    <t>cheddar cheese</t>
  </si>
  <si>
    <t>dish_1573505208</t>
  </si>
  <si>
    <t>ingr_0000000168</t>
  </si>
  <si>
    <t>lasagna</t>
  </si>
  <si>
    <t>dish_1573679065</t>
  </si>
  <si>
    <t>ingr_0000000516</t>
  </si>
  <si>
    <t>rosemary</t>
  </si>
  <si>
    <t>dish_1572035359</t>
  </si>
  <si>
    <t>dish_1575997268</t>
  </si>
  <si>
    <t>ingr_0000000013</t>
  </si>
  <si>
    <t>berries</t>
  </si>
  <si>
    <t>dish_1572279989</t>
  </si>
  <si>
    <t>dish_1572021459</t>
  </si>
  <si>
    <t>dish_1572627130</t>
  </si>
  <si>
    <t>dish_1573159868</t>
  </si>
  <si>
    <t>dish_1573491352</t>
  </si>
  <si>
    <t>dish_1572464354</t>
  </si>
  <si>
    <t>dish_1572462136</t>
  </si>
  <si>
    <t>dish_1572453675</t>
  </si>
  <si>
    <t>dish_1572376778</t>
  </si>
  <si>
    <t>dish_1571944487</t>
  </si>
  <si>
    <t>ingr_0000000018</t>
  </si>
  <si>
    <t>turkey</t>
  </si>
  <si>
    <t>dish_1573232835</t>
  </si>
  <si>
    <t>dish_1572627152</t>
  </si>
  <si>
    <t>dish_1575997241</t>
  </si>
  <si>
    <t>dish_1572029300</t>
  </si>
  <si>
    <t>dish_1575308389</t>
  </si>
  <si>
    <t>dish_1572034012</t>
  </si>
  <si>
    <t>dish_1574369148</t>
  </si>
  <si>
    <t>dish_1573851651</t>
  </si>
  <si>
    <t>ingr_0000000185</t>
  </si>
  <si>
    <t>collards</t>
  </si>
  <si>
    <t>ingr_0000000385</t>
  </si>
  <si>
    <t>curries</t>
  </si>
  <si>
    <t>dish_1573849915</t>
  </si>
  <si>
    <t>dish_1571946737</t>
  </si>
  <si>
    <t>dish_1573073600</t>
  </si>
  <si>
    <t>ingr_0000000152</t>
  </si>
  <si>
    <t>cabbage</t>
  </si>
  <si>
    <t>ingr_0000000530</t>
  </si>
  <si>
    <t>endive</t>
  </si>
  <si>
    <t>dish_1572548878</t>
  </si>
  <si>
    <t>ingr_0000000054</t>
  </si>
  <si>
    <t>apple</t>
  </si>
  <si>
    <t>dish_1574711451</t>
  </si>
  <si>
    <t>dish_1573234760</t>
  </si>
  <si>
    <t>dish_1574455444</t>
  </si>
  <si>
    <t>dish_1573849990</t>
  </si>
  <si>
    <t>ingr_0000000425</t>
  </si>
  <si>
    <t>goat cheese</t>
  </si>
  <si>
    <t>dish_1571944214</t>
  </si>
  <si>
    <t>dish_1573764183</t>
  </si>
  <si>
    <t>dish_1574109245</t>
  </si>
  <si>
    <t>ingr_0000000081</t>
  </si>
  <si>
    <t>pickles</t>
  </si>
  <si>
    <t>ingr_0000000110</t>
  </si>
  <si>
    <t>barbecue sauce</t>
  </si>
  <si>
    <t>dish_1576171237</t>
  </si>
  <si>
    <t>ingr_0000000016</t>
  </si>
  <si>
    <t>brussels sprouts</t>
  </si>
  <si>
    <t>ingr_0000000077</t>
  </si>
  <si>
    <t>almonds</t>
  </si>
  <si>
    <t>dish_1574193316</t>
  </si>
  <si>
    <t>dish_1571931482</t>
  </si>
  <si>
    <t>dish_1572291722</t>
  </si>
  <si>
    <t>dish_1571944571</t>
  </si>
  <si>
    <t>ingr_0000000220</t>
  </si>
  <si>
    <t>pita bread</t>
  </si>
  <si>
    <t>dish_1573161475</t>
  </si>
  <si>
    <t>dish_1571934154</t>
  </si>
  <si>
    <t>dish_1572550743</t>
  </si>
  <si>
    <t>ingr_0000000029</t>
  </si>
  <si>
    <t>mixed greens</t>
  </si>
  <si>
    <t>ingr_0000000030</t>
  </si>
  <si>
    <t>lettuce</t>
  </si>
  <si>
    <t>dish_1573851615</t>
  </si>
  <si>
    <t>dish_1574269354</t>
  </si>
  <si>
    <t>ingr_0000000072</t>
  </si>
  <si>
    <t>kale</t>
  </si>
  <si>
    <t>ingr_0000000136</t>
  </si>
  <si>
    <t>poached eggs</t>
  </si>
  <si>
    <t>ingr_0000000338</t>
  </si>
  <si>
    <t>vinaigrette</t>
  </si>
  <si>
    <t>dish_1571946303</t>
  </si>
  <si>
    <t>dish_1571935085</t>
  </si>
  <si>
    <t>ingr_0000000377</t>
  </si>
  <si>
    <t>quinoa</t>
  </si>
  <si>
    <t>dish_1576258685</t>
  </si>
  <si>
    <t>dish_1574443257</t>
  </si>
  <si>
    <t>dish_1573491330</t>
  </si>
  <si>
    <t>dish_1573579406</t>
  </si>
  <si>
    <t>dish_1576171204</t>
  </si>
  <si>
    <t>dish_1574720429</t>
  </si>
  <si>
    <t>dish_1572365415</t>
  </si>
  <si>
    <t>dish_1574098164</t>
  </si>
  <si>
    <t>dish_1573072479</t>
  </si>
  <si>
    <t>dish_1574193262</t>
  </si>
  <si>
    <t>dish_1576258657</t>
  </si>
  <si>
    <t>dish_1572291695</t>
  </si>
  <si>
    <t>dish_1572625898</t>
  </si>
  <si>
    <t>dish_1576100046</t>
  </si>
  <si>
    <t>ingr_0000000532</t>
  </si>
  <si>
    <t>pesto</t>
  </si>
  <si>
    <t>dish_1571932448</t>
  </si>
  <si>
    <t>dish_1572021481</t>
  </si>
  <si>
    <t>dish_1572540173</t>
  </si>
  <si>
    <t>dish_1575923584</t>
  </si>
  <si>
    <t>ingr_0000000074</t>
  </si>
  <si>
    <t>pasta</t>
  </si>
  <si>
    <t>dish_1574098218</t>
  </si>
  <si>
    <t>dish_1571931763</t>
  </si>
  <si>
    <t>dish_1572464329</t>
  </si>
  <si>
    <t>dish_1572889747</t>
  </si>
  <si>
    <t>dish_1574098245</t>
  </si>
  <si>
    <t>dish_1572033988</t>
  </si>
  <si>
    <t>dish_1572280018</t>
  </si>
  <si>
    <t>dish_1573072447</t>
  </si>
  <si>
    <t>dish_1573503054</t>
  </si>
  <si>
    <t>dish_1572625810</t>
  </si>
  <si>
    <t>dish_1575481443</t>
  </si>
  <si>
    <t>dish_1575997210</t>
  </si>
  <si>
    <t>dish_1571934494</t>
  </si>
  <si>
    <t>dish_1572550690</t>
  </si>
  <si>
    <t>ingr_0000000089</t>
  </si>
  <si>
    <t>spaghetti</t>
  </si>
  <si>
    <t>dish_1571931678</t>
  </si>
  <si>
    <t>dish_1572538087</t>
  </si>
  <si>
    <t>dish_1573159903</t>
  </si>
  <si>
    <t>ingr_0000000444</t>
  </si>
  <si>
    <t>dates</t>
  </si>
  <si>
    <t>dish_1572540910</t>
  </si>
  <si>
    <t>dish_1574711517</t>
  </si>
  <si>
    <t>dish_1575307466</t>
  </si>
  <si>
    <t>ingr_0000000055</t>
  </si>
  <si>
    <t>banana</t>
  </si>
  <si>
    <t>ingr_0000000249</t>
  </si>
  <si>
    <t>cashews</t>
  </si>
  <si>
    <t>ingr_0000000262</t>
  </si>
  <si>
    <t>yogurt</t>
  </si>
  <si>
    <t>dish_1573579470</t>
  </si>
  <si>
    <t>dish_1571931648</t>
  </si>
  <si>
    <t>dish_1572278894</t>
  </si>
  <si>
    <t>dish_1576259732</t>
  </si>
  <si>
    <t>dish_1573232434</t>
  </si>
  <si>
    <t>dish_1572540208</t>
  </si>
  <si>
    <t>dish_1574711418</t>
  </si>
  <si>
    <t>dish_1574269685</t>
  </si>
  <si>
    <t>dish_1575998399</t>
  </si>
  <si>
    <t>ingr_0000000192</t>
  </si>
  <si>
    <t>yam</t>
  </si>
  <si>
    <t>ingr_0000000357</t>
  </si>
  <si>
    <t>lentils</t>
  </si>
  <si>
    <t>dish_1572031254</t>
  </si>
  <si>
    <t>ingr_0000000217</t>
  </si>
  <si>
    <t>lamb</t>
  </si>
  <si>
    <t>dish_1571944507</t>
  </si>
  <si>
    <t>dish_1572464284</t>
  </si>
  <si>
    <t>dish_1573679099</t>
  </si>
  <si>
    <t>ingr_0000000525</t>
  </si>
  <si>
    <t>bok choy</t>
  </si>
  <si>
    <t>dish_1573851578</t>
  </si>
  <si>
    <t>dish_1574097565</t>
  </si>
  <si>
    <t>dish_1573579635</t>
  </si>
  <si>
    <t>ingr_0000000019</t>
  </si>
  <si>
    <t>bread</t>
  </si>
  <si>
    <t>ingr_0000000057</t>
  </si>
  <si>
    <t>lemon</t>
  </si>
  <si>
    <t>ingr_0000000494</t>
  </si>
  <si>
    <t>jams</t>
  </si>
  <si>
    <t>ingr_0000000495</t>
  </si>
  <si>
    <t>cream cheese</t>
  </si>
  <si>
    <t>dish_1571931809</t>
  </si>
  <si>
    <t>dish_1573579355</t>
  </si>
  <si>
    <t>dish_1573760161</t>
  </si>
  <si>
    <t>dish_1572454041</t>
  </si>
  <si>
    <t>dish_1575923893</t>
  </si>
  <si>
    <t>dish_1572988785</t>
  </si>
  <si>
    <t>ingr_0000000117</t>
  </si>
  <si>
    <t>tacos</t>
  </si>
  <si>
    <t>dish_1572984755</t>
  </si>
  <si>
    <t>dish_1574280383</t>
  </si>
  <si>
    <t>dish_1572035271</t>
  </si>
  <si>
    <t>dish_1575393132</t>
  </si>
  <si>
    <t>dish_1576171118</t>
  </si>
  <si>
    <t>dish_1572625859</t>
  </si>
  <si>
    <t>dish_1572886987</t>
  </si>
  <si>
    <t>dish_1576183111</t>
  </si>
  <si>
    <t>dish_1574097587</t>
  </si>
  <si>
    <t>dish_1571931623</t>
  </si>
  <si>
    <t>dish_1572365610</t>
  </si>
  <si>
    <t>dish_1573147034</t>
  </si>
  <si>
    <t>ingr_0000000012</t>
  </si>
  <si>
    <t>olives</t>
  </si>
  <si>
    <t>dish_1571944648</t>
  </si>
  <si>
    <t>dish_1574111587</t>
  </si>
  <si>
    <t>ingr_0000000393</t>
  </si>
  <si>
    <t>teriyaki sauce</t>
  </si>
  <si>
    <t>ingr_0000000535</t>
  </si>
  <si>
    <t>green onions</t>
  </si>
  <si>
    <t>dish_1571932398</t>
  </si>
  <si>
    <t>dish_1573848859</t>
  </si>
  <si>
    <t>dish_1572625763</t>
  </si>
  <si>
    <t>dish_1572540934</t>
  </si>
  <si>
    <t>dish_1573156908</t>
  </si>
  <si>
    <t>dish_1572032356</t>
  </si>
  <si>
    <t>ingr_0000000205</t>
  </si>
  <si>
    <t>corn on the cob</t>
  </si>
  <si>
    <t>dish_1571946767</t>
  </si>
  <si>
    <t>ingr_0000000058</t>
  </si>
  <si>
    <t>orange</t>
  </si>
  <si>
    <t>ingr_0000000463</t>
  </si>
  <si>
    <t>beets</t>
  </si>
  <si>
    <t>ingr_0000000550</t>
  </si>
  <si>
    <t>dish_1572540136</t>
  </si>
  <si>
    <t>dish_1573679123</t>
  </si>
  <si>
    <t>dish_1573579439</t>
  </si>
  <si>
    <t>dish_1571944549</t>
  </si>
  <si>
    <t>dish_1574193218</t>
  </si>
  <si>
    <t>dish_1576258613</t>
  </si>
  <si>
    <t>dish_1572021506</t>
  </si>
  <si>
    <t>dish_1572032323</t>
  </si>
  <si>
    <t>dish_1574443421</t>
  </si>
  <si>
    <t>ingr_0000000100</t>
  </si>
  <si>
    <t>oats</t>
  </si>
  <si>
    <t>ingr_0000000476</t>
  </si>
  <si>
    <t>almond milk</t>
  </si>
  <si>
    <t>dish_1575307819</t>
  </si>
  <si>
    <t>dish_1573506378</t>
  </si>
  <si>
    <t>dish_1574443234</t>
  </si>
  <si>
    <t>dish_1575478663</t>
  </si>
  <si>
    <t>dish_1572031606</t>
  </si>
  <si>
    <t>dish_1572376754</t>
  </si>
  <si>
    <t>dish_1572552638</t>
  </si>
  <si>
    <t>dish_1575653017</t>
  </si>
  <si>
    <t>ingr_0000000213</t>
  </si>
  <si>
    <t>pears</t>
  </si>
  <si>
    <t>dish_1571944531</t>
  </si>
  <si>
    <t>dish_1573849852</t>
  </si>
  <si>
    <t>dish_1573666680</t>
  </si>
  <si>
    <t>ingr_0000000046</t>
  </si>
  <si>
    <t>mushroom</t>
  </si>
  <si>
    <t>ingr_0000000553</t>
  </si>
  <si>
    <t>dish_1573073741</t>
  </si>
  <si>
    <t>dish_1573665080</t>
  </si>
  <si>
    <t>dish_1575404926</t>
  </si>
  <si>
    <t>dish_1574359160</t>
  </si>
  <si>
    <t>ingr_0000000487</t>
  </si>
  <si>
    <t>crepes</t>
  </si>
  <si>
    <t>dish_1572541487</t>
  </si>
  <si>
    <t>dish_1574702427</t>
  </si>
  <si>
    <t>dish_1573760187</t>
  </si>
  <si>
    <t>dish_1573762582</t>
  </si>
  <si>
    <t>dish_1575307845</t>
  </si>
  <si>
    <t>dish_1573492999</t>
  </si>
  <si>
    <t>dish_1573073699</t>
  </si>
  <si>
    <t>dish_1573848236</t>
  </si>
  <si>
    <t>dish_1573156961</t>
  </si>
  <si>
    <t>dish_1573159511</t>
  </si>
  <si>
    <t>dish_1571932341</t>
  </si>
  <si>
    <t>dish_1574357682</t>
  </si>
  <si>
    <t>dish_1573232405</t>
  </si>
  <si>
    <t>dish_1574728191</t>
  </si>
  <si>
    <t>dish_1573072381</t>
  </si>
  <si>
    <t>dish_1573233324</t>
  </si>
  <si>
    <t>dish_1575407477</t>
  </si>
  <si>
    <t>dish_1572453962</t>
  </si>
  <si>
    <t>dish_1574455483</t>
  </si>
  <si>
    <t>dish_1571934465</t>
  </si>
  <si>
    <t>dish_1573073666</t>
  </si>
  <si>
    <t>dish_1575924356</t>
  </si>
  <si>
    <t>dish_1574359199</t>
  </si>
  <si>
    <t>dish_1576171157</t>
  </si>
  <si>
    <t>pizza dough</t>
  </si>
  <si>
    <t>fennel</t>
  </si>
  <si>
    <t>pizza sauce</t>
  </si>
  <si>
    <t>nut cheese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</si>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</sst>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11" fontId="2" fillId="2" borderId="1" xfId="0" applyNumberFormat="1" applyFont="1" applyFill="1" applyBorder="1"/>
    <xf numFmtId="11" fontId="2" fillId="0" borderId="0" xfId="0" applyNumberFormat="1" applyFont="1"/>
    <xf numFmtId="0" fontId="1" fillId="0" borderId="0" xfId="0" applyFont="1" applyBorder="1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39"/>
  <sheetViews>
    <sheetView tabSelected="1" zoomScale="85" zoomScaleNormal="85" workbookViewId="0">
      <pane ySplit="1" topLeftCell="A104" activePane="bottomLeft" state="frozen"/>
      <selection pane="bottomLeft" activeCell="N123" sqref="N123"/>
    </sheetView>
  </sheetViews>
  <sheetFormatPr defaultColWidth="14.453125" defaultRowHeight="15" customHeight="1" x14ac:dyDescent="0.35"/>
  <cols>
    <col min="1" max="1" width="16.26953125" customWidth="1"/>
    <col min="2" max="2" width="11.453125" customWidth="1"/>
    <col min="3" max="3" width="5.08984375" customWidth="1"/>
    <col min="4" max="4" width="3.08984375" customWidth="1"/>
    <col min="5" max="6" width="4.453125" customWidth="1"/>
    <col min="7" max="7" width="15.08984375" customWidth="1"/>
    <col min="8" max="8" width="19.453125" customWidth="1"/>
    <col min="9" max="9" width="10.81640625" customWidth="1"/>
    <col min="10" max="13" width="11.81640625" customWidth="1"/>
    <col min="14" max="14" width="15.08984375" customWidth="1"/>
    <col min="15" max="15" width="16.08984375" customWidth="1"/>
    <col min="16" max="16" width="10.81640625" customWidth="1"/>
    <col min="17" max="20" width="11.81640625" customWidth="1"/>
    <col min="21" max="21" width="15.08984375" customWidth="1"/>
    <col min="22" max="22" width="16.08984375" customWidth="1"/>
    <col min="23" max="23" width="10.81640625" customWidth="1"/>
    <col min="24" max="27" width="11.81640625" customWidth="1"/>
    <col min="28" max="28" width="15.08984375" customWidth="1"/>
    <col min="29" max="29" width="16.08984375" customWidth="1"/>
    <col min="30" max="30" width="10.81640625" customWidth="1"/>
    <col min="31" max="34" width="11.81640625" customWidth="1"/>
    <col min="35" max="35" width="15.08984375" customWidth="1"/>
    <col min="36" max="36" width="16.08984375" customWidth="1"/>
    <col min="37" max="37" width="10.81640625" customWidth="1"/>
    <col min="38" max="41" width="11.81640625" customWidth="1"/>
    <col min="42" max="42" width="15.08984375" customWidth="1"/>
    <col min="43" max="43" width="19.453125" customWidth="1"/>
    <col min="44" max="44" width="9.81640625" customWidth="1"/>
    <col min="45" max="48" width="11.81640625" customWidth="1"/>
    <col min="49" max="49" width="15.08984375" customWidth="1"/>
    <col min="50" max="50" width="16.08984375" customWidth="1"/>
    <col min="51" max="51" width="9.81640625" customWidth="1"/>
    <col min="52" max="55" width="11.81640625" customWidth="1"/>
    <col min="56" max="56" width="15.08984375" customWidth="1"/>
    <col min="57" max="57" width="19.453125" customWidth="1"/>
    <col min="58" max="58" width="10.81640625" customWidth="1"/>
    <col min="59" max="62" width="11.81640625" customWidth="1"/>
    <col min="63" max="63" width="15.08984375" customWidth="1"/>
    <col min="64" max="64" width="19.453125" customWidth="1"/>
    <col min="65" max="65" width="10.81640625" customWidth="1"/>
    <col min="66" max="69" width="11.81640625" customWidth="1"/>
    <col min="70" max="70" width="15.08984375" customWidth="1"/>
    <col min="71" max="71" width="16.08984375" customWidth="1"/>
    <col min="72" max="72" width="10.81640625" customWidth="1"/>
    <col min="73" max="76" width="11.81640625" customWidth="1"/>
    <col min="77" max="77" width="15.08984375" customWidth="1"/>
    <col min="78" max="78" width="10.54296875" customWidth="1"/>
    <col min="79" max="79" width="9.81640625" customWidth="1"/>
    <col min="80" max="83" width="11.81640625" customWidth="1"/>
    <col min="84" max="84" width="15.08984375" customWidth="1"/>
    <col min="85" max="85" width="15" customWidth="1"/>
    <col min="86" max="86" width="10.81640625" customWidth="1"/>
    <col min="87" max="90" width="11.81640625" customWidth="1"/>
    <col min="91" max="91" width="15.08984375" customWidth="1"/>
    <col min="92" max="92" width="11.7265625" customWidth="1"/>
    <col min="93" max="93" width="10.81640625" customWidth="1"/>
    <col min="94" max="97" width="11.81640625" customWidth="1"/>
    <col min="98" max="98" width="15.08984375" customWidth="1"/>
    <col min="99" max="99" width="10.453125" customWidth="1"/>
    <col min="100" max="100" width="10.81640625" customWidth="1"/>
    <col min="101" max="104" width="11.81640625" customWidth="1"/>
    <col min="105" max="105" width="15.08984375" customWidth="1"/>
    <col min="106" max="106" width="10.453125" customWidth="1"/>
    <col min="107" max="107" width="9.81640625" customWidth="1"/>
    <col min="108" max="111" width="11.81640625" customWidth="1"/>
    <col min="112" max="112" width="15.08984375" customWidth="1"/>
    <col min="113" max="113" width="11.08984375" customWidth="1"/>
    <col min="114" max="114" width="9.81640625" customWidth="1"/>
    <col min="115" max="118" width="11.81640625" customWidth="1"/>
    <col min="119" max="119" width="15.08984375" customWidth="1"/>
    <col min="120" max="120" width="8.81640625" customWidth="1"/>
    <col min="121" max="121" width="9.81640625" customWidth="1"/>
    <col min="122" max="125" width="11.81640625" customWidth="1"/>
    <col min="126" max="126" width="15.08984375" customWidth="1"/>
    <col min="127" max="127" width="10.453125" customWidth="1"/>
    <col min="128" max="128" width="9.81640625" customWidth="1"/>
    <col min="129" max="132" width="11.81640625" customWidth="1"/>
    <col min="133" max="133" width="15.08984375" customWidth="1"/>
    <col min="134" max="134" width="7.08984375" customWidth="1"/>
    <col min="135" max="135" width="9.81640625" customWidth="1"/>
    <col min="136" max="139" width="11.81640625" customWidth="1"/>
    <col min="140" max="140" width="15.08984375" customWidth="1"/>
    <col min="141" max="141" width="5.81640625" customWidth="1"/>
    <col min="142" max="142" width="9.81640625" customWidth="1"/>
    <col min="143" max="144" width="11.81640625" customWidth="1"/>
    <col min="145" max="145" width="10.81640625" customWidth="1"/>
    <col min="146" max="146" width="11.81640625" customWidth="1"/>
    <col min="147" max="147" width="15.08984375" customWidth="1"/>
    <col min="148" max="148" width="8.7265625" customWidth="1"/>
    <col min="149" max="149" width="8.81640625" customWidth="1"/>
    <col min="150" max="150" width="10.81640625" customWidth="1"/>
    <col min="151" max="151" width="8.81640625" customWidth="1"/>
    <col min="152" max="153" width="1.81640625" customWidth="1"/>
  </cols>
  <sheetData>
    <row r="1" spans="1:69" ht="14.25" customHeight="1" x14ac:dyDescent="0.3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9" ht="14.25" customHeight="1" x14ac:dyDescent="0.35">
      <c r="A2" s="1" t="s">
        <v>232</v>
      </c>
      <c r="B2" s="2">
        <f t="shared" ref="B2:B65" si="0">J2+Q2+X2+AE2+AL2+AS2+AZ2+BG2+BN2+BU2+CB2+CI2+CP2+CW2+DD2+DK2+DR2+DY2+EF2+EM2+ET2</f>
        <v>362.5</v>
      </c>
      <c r="C2" s="2">
        <f t="shared" ref="C2:C65" si="1">I2+P2+W2+AD2+AK2+AR2+AY2+BF2+BM2+BT2+CA2+CH2+CO2+CV2+DC2+DJ2+DQ2+DX2+EE2+EL2+ES2</f>
        <v>203</v>
      </c>
      <c r="D2" s="2">
        <f t="shared" ref="D2:D65" si="2">K2+R2+Y2+AF2+AM2+AT2+BA2+BH2+BO2+BV2+CC2+CJ2+CQ2+CX2+DE2+DL2+DS2+DZ2+EG2+EN2+EU2</f>
        <v>26.738</v>
      </c>
      <c r="E2" s="2">
        <f t="shared" ref="E2:E65" si="3">L2+S2+Z2+AG2+AN2+AU2+BB2+BI2+BP2+BW2+CD2+CK2+CR2+CY2+DF2+DM2+DT2+EA2+EH2+EO2+EV2</f>
        <v>10.324</v>
      </c>
      <c r="F2" s="2">
        <f t="shared" ref="F2:F65" si="4">M2+T2+AA2+AH2+AO2+AV2+BC2+BJ2+BQ2+BX2+CE2+CL2+CS2+CZ2+DG2+DN2+DU2+EB2+EI2+EP2+EW2</f>
        <v>18.850000000000001</v>
      </c>
      <c r="G2" s="1" t="s">
        <v>33</v>
      </c>
      <c r="H2" s="1" t="s">
        <v>34</v>
      </c>
      <c r="I2" s="1">
        <v>29</v>
      </c>
      <c r="J2" s="1">
        <v>94.54</v>
      </c>
      <c r="K2" s="1">
        <v>6.38</v>
      </c>
      <c r="L2" s="1">
        <v>9.2799999999999994</v>
      </c>
      <c r="M2" s="1">
        <v>0.754</v>
      </c>
      <c r="N2" s="1" t="s">
        <v>104</v>
      </c>
      <c r="O2" s="1" t="s">
        <v>105</v>
      </c>
      <c r="P2" s="1">
        <v>174</v>
      </c>
      <c r="Q2" s="1">
        <v>267.95999999999998</v>
      </c>
      <c r="R2" s="1">
        <v>20.358000000000001</v>
      </c>
      <c r="S2" s="1">
        <v>1.044</v>
      </c>
      <c r="T2" s="1">
        <v>18.096</v>
      </c>
    </row>
    <row r="3" spans="1:69" ht="14.25" customHeight="1" x14ac:dyDescent="0.35">
      <c r="A3" s="1" t="s">
        <v>423</v>
      </c>
      <c r="B3" s="2">
        <f t="shared" si="0"/>
        <v>267.95999999999998</v>
      </c>
      <c r="C3" s="2">
        <f t="shared" si="1"/>
        <v>174</v>
      </c>
      <c r="D3" s="2">
        <f t="shared" si="2"/>
        <v>20.358000000000001</v>
      </c>
      <c r="E3" s="2">
        <f t="shared" si="3"/>
        <v>1.044</v>
      </c>
      <c r="F3" s="2">
        <f t="shared" si="4"/>
        <v>18.096</v>
      </c>
      <c r="G3" s="1" t="s">
        <v>104</v>
      </c>
      <c r="H3" s="1" t="s">
        <v>105</v>
      </c>
      <c r="I3" s="1">
        <v>174</v>
      </c>
      <c r="J3" s="1">
        <v>267.95999999999998</v>
      </c>
      <c r="K3" s="1">
        <v>20.358000000000001</v>
      </c>
      <c r="L3" s="1">
        <v>1.044</v>
      </c>
      <c r="M3" s="1">
        <v>18.096</v>
      </c>
    </row>
    <row r="4" spans="1:69" ht="14.25" customHeight="1" x14ac:dyDescent="0.35">
      <c r="A4" s="1" t="s">
        <v>368</v>
      </c>
      <c r="B4" s="2">
        <f t="shared" si="0"/>
        <v>682.55165915999999</v>
      </c>
      <c r="C4" s="2">
        <f t="shared" si="1"/>
        <v>266.99999600000001</v>
      </c>
      <c r="D4" s="2">
        <f t="shared" si="2"/>
        <v>48.715999416000002</v>
      </c>
      <c r="E4" s="2">
        <f t="shared" si="3"/>
        <v>35.406333336000003</v>
      </c>
      <c r="F4" s="2">
        <f t="shared" si="4"/>
        <v>26.939832820000003</v>
      </c>
      <c r="G4" s="1" t="s">
        <v>69</v>
      </c>
      <c r="H4" s="1" t="s">
        <v>70</v>
      </c>
      <c r="I4" s="1">
        <v>35</v>
      </c>
      <c r="J4" s="1">
        <v>189.35</v>
      </c>
      <c r="K4" s="1">
        <v>14.7</v>
      </c>
      <c r="L4" s="1">
        <v>0.49</v>
      </c>
      <c r="M4" s="1">
        <v>12.95</v>
      </c>
      <c r="N4" s="1" t="s">
        <v>30</v>
      </c>
      <c r="O4" s="1" t="s">
        <v>31</v>
      </c>
      <c r="P4" s="1">
        <v>110.83332799999999</v>
      </c>
      <c r="Q4" s="1">
        <v>164.03332544</v>
      </c>
      <c r="R4" s="1">
        <v>12.191666079999999</v>
      </c>
      <c r="S4" s="1">
        <v>1.7733332479999999</v>
      </c>
      <c r="T4" s="1">
        <v>11.083332800000001</v>
      </c>
      <c r="U4" s="1" t="s">
        <v>33</v>
      </c>
      <c r="V4" s="1" t="s">
        <v>34</v>
      </c>
      <c r="W4" s="1">
        <v>99</v>
      </c>
      <c r="X4" s="1">
        <v>322.74</v>
      </c>
      <c r="Y4" s="1">
        <v>21.78</v>
      </c>
      <c r="Z4" s="1">
        <v>31.68</v>
      </c>
      <c r="AA4" s="1">
        <v>2.5739999999999998</v>
      </c>
      <c r="AB4" s="1" t="s">
        <v>37</v>
      </c>
      <c r="AC4" s="1" t="s">
        <v>38</v>
      </c>
      <c r="AD4" s="1">
        <v>22.166668000000001</v>
      </c>
      <c r="AE4" s="1">
        <v>6.4283337200000004</v>
      </c>
      <c r="AF4" s="1">
        <v>4.4333336000000001E-2</v>
      </c>
      <c r="AG4" s="1">
        <v>1.463000088</v>
      </c>
      <c r="AH4" s="1">
        <v>0.33250002000000001</v>
      </c>
    </row>
    <row r="5" spans="1:69" ht="14.25" customHeight="1" x14ac:dyDescent="0.35">
      <c r="A5" s="1" t="s">
        <v>378</v>
      </c>
      <c r="B5" s="2">
        <f t="shared" si="0"/>
        <v>359.81165916000003</v>
      </c>
      <c r="C5" s="2">
        <f t="shared" si="1"/>
        <v>167.99999600000001</v>
      </c>
      <c r="D5" s="2">
        <f t="shared" si="2"/>
        <v>26.935999416000001</v>
      </c>
      <c r="E5" s="2">
        <f t="shared" si="3"/>
        <v>3.7263333359999997</v>
      </c>
      <c r="F5" s="2">
        <f t="shared" si="4"/>
        <v>24.365832820000001</v>
      </c>
      <c r="G5" s="1" t="s">
        <v>69</v>
      </c>
      <c r="H5" s="1" t="s">
        <v>70</v>
      </c>
      <c r="I5" s="1">
        <v>35</v>
      </c>
      <c r="J5" s="1">
        <v>189.35</v>
      </c>
      <c r="K5" s="1">
        <v>14.7</v>
      </c>
      <c r="L5" s="1">
        <v>0.49</v>
      </c>
      <c r="M5" s="1">
        <v>12.95</v>
      </c>
      <c r="N5" s="1" t="s">
        <v>30</v>
      </c>
      <c r="O5" s="1" t="s">
        <v>31</v>
      </c>
      <c r="P5" s="1">
        <v>110.83332799999999</v>
      </c>
      <c r="Q5" s="1">
        <v>164.03332544</v>
      </c>
      <c r="R5" s="1">
        <v>12.191666079999999</v>
      </c>
      <c r="S5" s="1">
        <v>1.7733332479999999</v>
      </c>
      <c r="T5" s="1">
        <v>11.083332800000001</v>
      </c>
      <c r="U5" s="1" t="s">
        <v>37</v>
      </c>
      <c r="V5" s="1" t="s">
        <v>38</v>
      </c>
      <c r="W5" s="1">
        <v>22.166668000000001</v>
      </c>
      <c r="X5" s="1">
        <v>6.4283337200000004</v>
      </c>
      <c r="Y5" s="1">
        <v>4.4333336000000001E-2</v>
      </c>
      <c r="Z5" s="1">
        <v>1.463000088</v>
      </c>
      <c r="AA5" s="1">
        <v>0.33250002000000001</v>
      </c>
    </row>
    <row r="6" spans="1:69" ht="14.25" customHeight="1" x14ac:dyDescent="0.35">
      <c r="A6" s="1" t="s">
        <v>499</v>
      </c>
      <c r="B6" s="2">
        <f t="shared" si="0"/>
        <v>189.35</v>
      </c>
      <c r="C6" s="2">
        <f t="shared" si="1"/>
        <v>35</v>
      </c>
      <c r="D6" s="2">
        <f t="shared" si="2"/>
        <v>14.7</v>
      </c>
      <c r="E6" s="2">
        <f t="shared" si="3"/>
        <v>0.49</v>
      </c>
      <c r="F6" s="2">
        <f t="shared" si="4"/>
        <v>12.95</v>
      </c>
      <c r="G6" s="1" t="s">
        <v>69</v>
      </c>
      <c r="H6" s="1" t="s">
        <v>70</v>
      </c>
      <c r="I6" s="1">
        <v>35</v>
      </c>
      <c r="J6" s="1">
        <v>189.35</v>
      </c>
      <c r="K6" s="1">
        <v>14.7</v>
      </c>
      <c r="L6" s="1">
        <v>0.49</v>
      </c>
      <c r="M6" s="1">
        <v>12.95</v>
      </c>
    </row>
    <row r="7" spans="1:69" ht="14.25" customHeight="1" x14ac:dyDescent="0.35">
      <c r="A7" s="1" t="s">
        <v>467</v>
      </c>
      <c r="B7" s="2">
        <f t="shared" si="0"/>
        <v>79.734542477999995</v>
      </c>
      <c r="C7" s="2">
        <f t="shared" si="1"/>
        <v>33.999999000000003</v>
      </c>
      <c r="D7" s="2">
        <f t="shared" si="2"/>
        <v>4.6123235329999996</v>
      </c>
      <c r="E7" s="2">
        <f t="shared" si="3"/>
        <v>6.1009441659999997</v>
      </c>
      <c r="F7" s="2">
        <f t="shared" si="4"/>
        <v>3.5323005700000003</v>
      </c>
      <c r="G7" s="1" t="s">
        <v>13</v>
      </c>
      <c r="H7" s="1" t="s">
        <v>14</v>
      </c>
      <c r="I7" s="1">
        <v>2.3791030000000002</v>
      </c>
      <c r="J7" s="1">
        <v>21.03127052</v>
      </c>
      <c r="K7" s="1">
        <v>2.3791030000000002</v>
      </c>
      <c r="L7" s="1">
        <v>0</v>
      </c>
      <c r="M7" s="1">
        <v>0</v>
      </c>
      <c r="N7" s="1" t="s">
        <v>57</v>
      </c>
      <c r="O7" s="1" t="s">
        <v>58</v>
      </c>
      <c r="P7" s="1">
        <v>9.516413</v>
      </c>
      <c r="Q7" s="1">
        <v>26.417562488000002</v>
      </c>
      <c r="R7" s="1">
        <v>1.627306623</v>
      </c>
      <c r="S7" s="1">
        <v>0.30452521599999999</v>
      </c>
      <c r="T7" s="1">
        <v>2.6645956399999999</v>
      </c>
      <c r="U7" s="1" t="s">
        <v>63</v>
      </c>
      <c r="V7" s="1" t="s">
        <v>64</v>
      </c>
      <c r="W7" s="1">
        <v>2.3791030000000002</v>
      </c>
      <c r="X7" s="1">
        <v>0.57098472</v>
      </c>
      <c r="Y7" s="1">
        <v>0</v>
      </c>
      <c r="Z7" s="1">
        <v>4.7582060000000002E-2</v>
      </c>
      <c r="AA7" s="1">
        <v>9.5164120000000005E-2</v>
      </c>
      <c r="AB7" s="1" t="s">
        <v>65</v>
      </c>
      <c r="AC7" t="s">
        <v>553</v>
      </c>
      <c r="AD7" s="1">
        <v>12.58807</v>
      </c>
      <c r="AE7" s="1">
        <v>29.64490485</v>
      </c>
      <c r="AF7" s="1">
        <v>0.59163929000000004</v>
      </c>
      <c r="AG7" s="1">
        <v>5.2492251899999998</v>
      </c>
      <c r="AH7" s="1">
        <v>0.67975578000000003</v>
      </c>
      <c r="AI7" s="1" t="s">
        <v>66</v>
      </c>
      <c r="AJ7" t="s">
        <v>555</v>
      </c>
      <c r="AK7" s="1">
        <v>7.1373100000000003</v>
      </c>
      <c r="AL7" s="1">
        <v>2.0698199000000002</v>
      </c>
      <c r="AM7" s="1">
        <v>1.427462E-2</v>
      </c>
      <c r="AN7" s="1">
        <v>0.49961169999999999</v>
      </c>
      <c r="AO7" s="1">
        <v>9.2785030000000004E-2</v>
      </c>
    </row>
    <row r="8" spans="1:69" ht="14.25" customHeight="1" x14ac:dyDescent="0.35">
      <c r="A8" s="1" t="s">
        <v>338</v>
      </c>
      <c r="B8" s="2">
        <f t="shared" si="0"/>
        <v>408.81672418000005</v>
      </c>
      <c r="C8" s="2">
        <f t="shared" si="1"/>
        <v>339.00000299999999</v>
      </c>
      <c r="D8" s="2">
        <f t="shared" si="2"/>
        <v>24.065348744000001</v>
      </c>
      <c r="E8" s="2">
        <f t="shared" si="3"/>
        <v>27.189847605000001</v>
      </c>
      <c r="F8" s="2">
        <f t="shared" si="4"/>
        <v>22.224742241999998</v>
      </c>
      <c r="G8" s="1" t="s">
        <v>30</v>
      </c>
      <c r="H8" s="1" t="s">
        <v>31</v>
      </c>
      <c r="I8" s="1">
        <v>100</v>
      </c>
      <c r="J8" s="1">
        <v>148</v>
      </c>
      <c r="K8" s="1">
        <v>11</v>
      </c>
      <c r="L8" s="1">
        <v>1.6</v>
      </c>
      <c r="M8" s="1">
        <v>10</v>
      </c>
      <c r="N8" s="1" t="s">
        <v>339</v>
      </c>
      <c r="O8" s="1" t="s">
        <v>340</v>
      </c>
      <c r="P8" s="1">
        <v>76.312408000000005</v>
      </c>
      <c r="Q8" s="1">
        <v>32.814335440000001</v>
      </c>
      <c r="R8" s="1">
        <v>0.22893722399999999</v>
      </c>
      <c r="S8" s="1">
        <v>6.8681167199999997</v>
      </c>
      <c r="T8" s="1">
        <v>2.5946218719999998</v>
      </c>
      <c r="U8" s="1" t="s">
        <v>341</v>
      </c>
      <c r="V8" s="1" t="s">
        <v>342</v>
      </c>
      <c r="W8" s="1">
        <v>0.29442000000000002</v>
      </c>
      <c r="X8" s="1">
        <v>1.7020420199999999</v>
      </c>
      <c r="Y8" s="1">
        <v>0.1457379</v>
      </c>
      <c r="Z8" s="1">
        <v>6.6833340000000005E-2</v>
      </c>
      <c r="AA8" s="1">
        <v>6.5950079999999994E-2</v>
      </c>
      <c r="AB8" s="1" t="s">
        <v>13</v>
      </c>
      <c r="AC8" s="1" t="s">
        <v>14</v>
      </c>
      <c r="AD8" s="1">
        <v>1.430858</v>
      </c>
      <c r="AE8" s="1">
        <v>12.64878472</v>
      </c>
      <c r="AF8" s="1">
        <v>1.430858</v>
      </c>
      <c r="AG8" s="1">
        <v>0</v>
      </c>
      <c r="AH8" s="1">
        <v>0</v>
      </c>
      <c r="AI8" s="1" t="s">
        <v>157</v>
      </c>
      <c r="AJ8" s="1" t="s">
        <v>158</v>
      </c>
      <c r="AK8" s="1">
        <v>0.953905</v>
      </c>
      <c r="AL8" s="1">
        <v>0.38156200000000001</v>
      </c>
      <c r="AM8" s="1">
        <v>3.81562E-3</v>
      </c>
      <c r="AN8" s="1">
        <v>8.4897545000000005E-2</v>
      </c>
      <c r="AO8" s="1">
        <v>1.7170290000000001E-2</v>
      </c>
      <c r="AP8" s="1" t="s">
        <v>17</v>
      </c>
      <c r="AQ8" s="1" t="s">
        <v>18</v>
      </c>
      <c r="AR8" s="1">
        <v>8.4119999999999993E-3</v>
      </c>
      <c r="AS8" s="1">
        <v>0</v>
      </c>
      <c r="AT8" s="1">
        <v>0</v>
      </c>
      <c r="AU8" s="1">
        <v>0</v>
      </c>
      <c r="AV8" s="1">
        <v>0</v>
      </c>
      <c r="AW8" s="1" t="s">
        <v>27</v>
      </c>
      <c r="AX8" s="1" t="s">
        <v>28</v>
      </c>
      <c r="AY8" s="1">
        <v>87</v>
      </c>
      <c r="AZ8" s="1">
        <v>122.67</v>
      </c>
      <c r="BA8" s="1">
        <v>5.9160000000000004</v>
      </c>
      <c r="BB8" s="1">
        <v>15.66</v>
      </c>
      <c r="BC8" s="1">
        <v>1.827</v>
      </c>
      <c r="BD8" s="1" t="s">
        <v>37</v>
      </c>
      <c r="BE8" s="1" t="s">
        <v>38</v>
      </c>
      <c r="BF8" s="1">
        <v>20</v>
      </c>
      <c r="BG8" s="1">
        <v>5.8</v>
      </c>
      <c r="BH8" s="1">
        <v>0.04</v>
      </c>
      <c r="BI8" s="1">
        <v>1.32</v>
      </c>
      <c r="BJ8" s="1">
        <v>0.3</v>
      </c>
      <c r="BK8" s="1" t="s">
        <v>219</v>
      </c>
      <c r="BL8" s="1" t="s">
        <v>220</v>
      </c>
      <c r="BM8" s="1">
        <v>53</v>
      </c>
      <c r="BN8" s="1">
        <v>84.8</v>
      </c>
      <c r="BO8" s="1">
        <v>5.3</v>
      </c>
      <c r="BP8" s="1">
        <v>1.59</v>
      </c>
      <c r="BQ8" s="1">
        <v>7.42</v>
      </c>
    </row>
    <row r="9" spans="1:69" ht="14.25" customHeight="1" x14ac:dyDescent="0.35">
      <c r="A9" s="1" t="s">
        <v>372</v>
      </c>
      <c r="B9" s="2">
        <f t="shared" si="0"/>
        <v>286.14672418000004</v>
      </c>
      <c r="C9" s="2">
        <f t="shared" si="1"/>
        <v>252.00000299999999</v>
      </c>
      <c r="D9" s="2">
        <f t="shared" si="2"/>
        <v>18.149348743999997</v>
      </c>
      <c r="E9" s="2">
        <f t="shared" si="3"/>
        <v>11.529847605</v>
      </c>
      <c r="F9" s="2">
        <f t="shared" si="4"/>
        <v>20.397742242</v>
      </c>
      <c r="G9" s="1" t="s">
        <v>30</v>
      </c>
      <c r="H9" s="1" t="s">
        <v>31</v>
      </c>
      <c r="I9" s="1">
        <v>100</v>
      </c>
      <c r="J9" s="1">
        <v>148</v>
      </c>
      <c r="K9" s="1">
        <v>11</v>
      </c>
      <c r="L9" s="1">
        <v>1.6</v>
      </c>
      <c r="M9" s="1">
        <v>10</v>
      </c>
      <c r="N9" s="1" t="s">
        <v>339</v>
      </c>
      <c r="O9" s="1" t="s">
        <v>340</v>
      </c>
      <c r="P9" s="1">
        <v>76.312408000000005</v>
      </c>
      <c r="Q9" s="1">
        <v>32.814335440000001</v>
      </c>
      <c r="R9" s="1">
        <v>0.22893722399999999</v>
      </c>
      <c r="S9" s="1">
        <v>6.8681167199999997</v>
      </c>
      <c r="T9" s="1">
        <v>2.5946218719999998</v>
      </c>
      <c r="U9" s="1" t="s">
        <v>341</v>
      </c>
      <c r="V9" s="1" t="s">
        <v>342</v>
      </c>
      <c r="W9" s="1">
        <v>0.29442000000000002</v>
      </c>
      <c r="X9" s="1">
        <v>1.7020420199999999</v>
      </c>
      <c r="Y9" s="1">
        <v>0.1457379</v>
      </c>
      <c r="Z9" s="1">
        <v>6.6833340000000005E-2</v>
      </c>
      <c r="AA9" s="1">
        <v>6.5950079999999994E-2</v>
      </c>
      <c r="AB9" s="1" t="s">
        <v>13</v>
      </c>
      <c r="AC9" s="1" t="s">
        <v>14</v>
      </c>
      <c r="AD9" s="1">
        <v>1.430858</v>
      </c>
      <c r="AE9" s="1">
        <v>12.64878472</v>
      </c>
      <c r="AF9" s="1">
        <v>1.430858</v>
      </c>
      <c r="AG9" s="1">
        <v>0</v>
      </c>
      <c r="AH9" s="1">
        <v>0</v>
      </c>
      <c r="AI9" s="1" t="s">
        <v>157</v>
      </c>
      <c r="AJ9" s="1" t="s">
        <v>158</v>
      </c>
      <c r="AK9" s="1">
        <v>0.953905</v>
      </c>
      <c r="AL9" s="1">
        <v>0.38156200000000001</v>
      </c>
      <c r="AM9" s="1">
        <v>3.81562E-3</v>
      </c>
      <c r="AN9" s="1">
        <v>8.4897545000000005E-2</v>
      </c>
      <c r="AO9" s="1">
        <v>1.7170290000000001E-2</v>
      </c>
      <c r="AP9" s="1" t="s">
        <v>17</v>
      </c>
      <c r="AQ9" s="1" t="s">
        <v>18</v>
      </c>
      <c r="AR9" s="1">
        <v>8.4119999999999993E-3</v>
      </c>
      <c r="AS9" s="1">
        <v>0</v>
      </c>
      <c r="AT9" s="1">
        <v>0</v>
      </c>
      <c r="AU9" s="1">
        <v>0</v>
      </c>
      <c r="AV9" s="1">
        <v>0</v>
      </c>
      <c r="AW9" s="1" t="s">
        <v>37</v>
      </c>
      <c r="AX9" s="1" t="s">
        <v>38</v>
      </c>
      <c r="AY9" s="1">
        <v>20</v>
      </c>
      <c r="AZ9" s="1">
        <v>5.8</v>
      </c>
      <c r="BA9" s="1">
        <v>0.04</v>
      </c>
      <c r="BB9" s="1">
        <v>1.32</v>
      </c>
      <c r="BC9" s="1">
        <v>0.3</v>
      </c>
      <c r="BD9" s="1" t="s">
        <v>219</v>
      </c>
      <c r="BE9" s="1" t="s">
        <v>220</v>
      </c>
      <c r="BF9" s="1">
        <v>53</v>
      </c>
      <c r="BG9" s="1">
        <v>84.8</v>
      </c>
      <c r="BH9" s="1">
        <v>5.3</v>
      </c>
      <c r="BI9" s="1">
        <v>1.59</v>
      </c>
      <c r="BJ9" s="1">
        <v>7.42</v>
      </c>
    </row>
    <row r="10" spans="1:69" ht="14.25" customHeight="1" x14ac:dyDescent="0.35">
      <c r="A10" s="1" t="s">
        <v>552</v>
      </c>
      <c r="B10" s="2">
        <f t="shared" si="0"/>
        <v>132.34672418</v>
      </c>
      <c r="C10" s="2">
        <f t="shared" si="1"/>
        <v>132.00000300000002</v>
      </c>
      <c r="D10" s="2">
        <f t="shared" si="2"/>
        <v>7.1093487440000001</v>
      </c>
      <c r="E10" s="2">
        <f t="shared" si="3"/>
        <v>8.6098476049999988</v>
      </c>
      <c r="F10" s="2">
        <f t="shared" si="4"/>
        <v>10.097742241999999</v>
      </c>
      <c r="G10" s="1" t="s">
        <v>339</v>
      </c>
      <c r="H10" s="1" t="s">
        <v>340</v>
      </c>
      <c r="I10" s="1">
        <v>76.312408000000005</v>
      </c>
      <c r="J10" s="1">
        <v>32.814335440000001</v>
      </c>
      <c r="K10" s="1">
        <v>0.22893722399999999</v>
      </c>
      <c r="L10" s="1">
        <v>6.8681167199999997</v>
      </c>
      <c r="M10" s="1">
        <v>2.5946218719999998</v>
      </c>
      <c r="N10" s="1" t="s">
        <v>341</v>
      </c>
      <c r="O10" s="1" t="s">
        <v>342</v>
      </c>
      <c r="P10" s="1">
        <v>0.29442000000000002</v>
      </c>
      <c r="Q10" s="1">
        <v>1.7020420199999999</v>
      </c>
      <c r="R10" s="1">
        <v>0.1457379</v>
      </c>
      <c r="S10" s="1">
        <v>6.6833340000000005E-2</v>
      </c>
      <c r="T10" s="1">
        <v>6.5950079999999994E-2</v>
      </c>
      <c r="U10" s="1" t="s">
        <v>13</v>
      </c>
      <c r="V10" s="1" t="s">
        <v>14</v>
      </c>
      <c r="W10" s="1">
        <v>1.430858</v>
      </c>
      <c r="X10" s="1">
        <v>12.64878472</v>
      </c>
      <c r="Y10" s="1">
        <v>1.430858</v>
      </c>
      <c r="Z10" s="1">
        <v>0</v>
      </c>
      <c r="AA10" s="1">
        <v>0</v>
      </c>
      <c r="AB10" s="1" t="s">
        <v>157</v>
      </c>
      <c r="AC10" s="1" t="s">
        <v>158</v>
      </c>
      <c r="AD10" s="1">
        <v>0.953905</v>
      </c>
      <c r="AE10" s="1">
        <v>0.38156200000000001</v>
      </c>
      <c r="AF10" s="1">
        <v>3.81562E-3</v>
      </c>
      <c r="AG10" s="1">
        <v>8.4897545000000005E-2</v>
      </c>
      <c r="AH10" s="1">
        <v>1.7170290000000001E-2</v>
      </c>
      <c r="AI10" s="1" t="s">
        <v>17</v>
      </c>
      <c r="AJ10" s="1" t="s">
        <v>18</v>
      </c>
      <c r="AK10" s="1">
        <v>8.4119999999999993E-3</v>
      </c>
      <c r="AL10" s="1">
        <v>0</v>
      </c>
      <c r="AM10" s="1">
        <v>0</v>
      </c>
      <c r="AN10" s="1">
        <v>0</v>
      </c>
      <c r="AO10" s="1">
        <v>0</v>
      </c>
      <c r="AP10" s="1" t="s">
        <v>219</v>
      </c>
      <c r="AQ10" s="1" t="s">
        <v>220</v>
      </c>
      <c r="AR10" s="1">
        <v>53</v>
      </c>
      <c r="AS10" s="1">
        <v>84.8</v>
      </c>
      <c r="AT10" s="1">
        <v>5.3</v>
      </c>
      <c r="AU10" s="1">
        <v>1.59</v>
      </c>
      <c r="AV10" s="1">
        <v>7.42</v>
      </c>
    </row>
    <row r="11" spans="1:69" ht="14.25" customHeight="1" x14ac:dyDescent="0.35">
      <c r="A11" s="1" t="s">
        <v>464</v>
      </c>
      <c r="B11" s="2">
        <f t="shared" si="0"/>
        <v>84.8</v>
      </c>
      <c r="C11" s="2">
        <f t="shared" si="1"/>
        <v>53</v>
      </c>
      <c r="D11" s="2">
        <f t="shared" si="2"/>
        <v>5.3</v>
      </c>
      <c r="E11" s="2">
        <f t="shared" si="3"/>
        <v>1.59</v>
      </c>
      <c r="F11" s="2">
        <f t="shared" si="4"/>
        <v>7.42</v>
      </c>
      <c r="G11" s="1" t="s">
        <v>219</v>
      </c>
      <c r="H11" s="1" t="s">
        <v>220</v>
      </c>
      <c r="I11" s="1">
        <v>53</v>
      </c>
      <c r="J11" s="1">
        <v>84.8</v>
      </c>
      <c r="K11" s="1">
        <v>5.3</v>
      </c>
      <c r="L11" s="1">
        <v>1.59</v>
      </c>
      <c r="M11" s="1">
        <v>7.42</v>
      </c>
    </row>
    <row r="12" spans="1:69" ht="14.25" customHeight="1" x14ac:dyDescent="0.35">
      <c r="A12" s="1" t="s">
        <v>381</v>
      </c>
      <c r="B12" s="2">
        <f t="shared" si="0"/>
        <v>52.185284811999999</v>
      </c>
      <c r="C12" s="2">
        <f t="shared" si="1"/>
        <v>122.999996</v>
      </c>
      <c r="D12" s="2">
        <f t="shared" si="2"/>
        <v>2.5920684869999997</v>
      </c>
      <c r="E12" s="2">
        <f t="shared" si="3"/>
        <v>7.237156991</v>
      </c>
      <c r="F12" s="2">
        <f t="shared" si="4"/>
        <v>1.467617731</v>
      </c>
      <c r="G12" s="1" t="s">
        <v>13</v>
      </c>
      <c r="H12" s="1" t="s">
        <v>14</v>
      </c>
      <c r="I12" s="1">
        <v>1.1214599999999999</v>
      </c>
      <c r="J12" s="1">
        <v>9.9137064000000006</v>
      </c>
      <c r="K12" s="1">
        <v>1.1214599999999999</v>
      </c>
      <c r="L12" s="1">
        <v>0</v>
      </c>
      <c r="M12" s="1">
        <v>0</v>
      </c>
      <c r="N12" s="1" t="s">
        <v>17</v>
      </c>
      <c r="O12" s="1" t="s">
        <v>18</v>
      </c>
      <c r="P12" s="1">
        <v>1.3186E-2</v>
      </c>
      <c r="Q12" s="1">
        <v>0</v>
      </c>
      <c r="R12" s="1">
        <v>0</v>
      </c>
      <c r="S12" s="1">
        <v>0</v>
      </c>
      <c r="T12" s="1">
        <v>0</v>
      </c>
      <c r="U12" s="1" t="s">
        <v>97</v>
      </c>
      <c r="V12" s="1" t="s">
        <v>98</v>
      </c>
      <c r="W12" s="1">
        <v>119.622429</v>
      </c>
      <c r="X12" s="1">
        <v>29.666362392</v>
      </c>
      <c r="Y12" s="1">
        <v>0.239244858</v>
      </c>
      <c r="Z12" s="1">
        <v>7.0577233110000002</v>
      </c>
      <c r="AA12" s="1">
        <v>1.19622429</v>
      </c>
      <c r="AB12" s="1" t="s">
        <v>382</v>
      </c>
      <c r="AC12" s="1" t="s">
        <v>383</v>
      </c>
      <c r="AD12" s="1">
        <v>2.2429209999999999</v>
      </c>
      <c r="AE12" s="1">
        <v>12.60521602</v>
      </c>
      <c r="AF12" s="1">
        <v>1.2313636290000001</v>
      </c>
      <c r="AG12" s="1">
        <v>0.17943368000000001</v>
      </c>
      <c r="AH12" s="1">
        <v>0.27139344100000001</v>
      </c>
    </row>
    <row r="13" spans="1:69" ht="14.25" customHeight="1" x14ac:dyDescent="0.35">
      <c r="A13" s="1" t="s">
        <v>197</v>
      </c>
      <c r="B13" s="2">
        <f t="shared" si="0"/>
        <v>199.94</v>
      </c>
      <c r="C13" s="2">
        <f t="shared" si="1"/>
        <v>156</v>
      </c>
      <c r="D13" s="2">
        <f t="shared" si="2"/>
        <v>14.352</v>
      </c>
      <c r="E13" s="2">
        <f t="shared" si="3"/>
        <v>3.7960000000000003</v>
      </c>
      <c r="F13" s="2">
        <f t="shared" si="4"/>
        <v>13.39</v>
      </c>
      <c r="G13" s="1" t="s">
        <v>30</v>
      </c>
      <c r="H13" s="1" t="s">
        <v>31</v>
      </c>
      <c r="I13" s="1">
        <v>130</v>
      </c>
      <c r="J13" s="1">
        <v>192.4</v>
      </c>
      <c r="K13" s="1">
        <v>14.3</v>
      </c>
      <c r="L13" s="1">
        <v>2.08</v>
      </c>
      <c r="M13" s="1">
        <v>13</v>
      </c>
      <c r="N13" s="1" t="s">
        <v>37</v>
      </c>
      <c r="O13" s="1" t="s">
        <v>38</v>
      </c>
      <c r="P13" s="1">
        <v>26</v>
      </c>
      <c r="Q13" s="1">
        <v>7.54</v>
      </c>
      <c r="R13" s="1">
        <v>5.1999999999999998E-2</v>
      </c>
      <c r="S13" s="1">
        <v>1.716</v>
      </c>
      <c r="T13" s="1">
        <v>0.39</v>
      </c>
    </row>
    <row r="14" spans="1:69" ht="14.25" customHeight="1" x14ac:dyDescent="0.35">
      <c r="A14" s="1" t="s">
        <v>428</v>
      </c>
      <c r="B14" s="2">
        <f t="shared" si="0"/>
        <v>145.41574354300002</v>
      </c>
      <c r="C14" s="2">
        <f t="shared" si="1"/>
        <v>114.00000100000001</v>
      </c>
      <c r="D14" s="2">
        <f t="shared" si="2"/>
        <v>5.6574824609999999</v>
      </c>
      <c r="E14" s="2">
        <f t="shared" si="3"/>
        <v>17.435014116000001</v>
      </c>
      <c r="F14" s="2">
        <f t="shared" si="4"/>
        <v>7.0433649949999992</v>
      </c>
      <c r="G14" s="1" t="s">
        <v>47</v>
      </c>
      <c r="H14" s="1" t="s">
        <v>48</v>
      </c>
      <c r="I14" s="1">
        <v>25.894392</v>
      </c>
      <c r="J14" s="1">
        <v>9.0630372000000001</v>
      </c>
      <c r="K14" s="1">
        <v>0.10357756799999999</v>
      </c>
      <c r="L14" s="1">
        <v>1.8126074400000001</v>
      </c>
      <c r="M14" s="1">
        <v>0.62146540800000005</v>
      </c>
      <c r="N14" s="1" t="s">
        <v>154</v>
      </c>
      <c r="O14" s="1" t="s">
        <v>155</v>
      </c>
      <c r="P14" s="1">
        <v>20.094768999999999</v>
      </c>
      <c r="Q14" s="1">
        <v>31.247365795</v>
      </c>
      <c r="R14" s="1">
        <v>2.1099507449999999</v>
      </c>
      <c r="S14" s="1">
        <v>0.24113722800000001</v>
      </c>
      <c r="T14" s="1">
        <v>2.5118461249999999</v>
      </c>
      <c r="U14" s="1" t="s">
        <v>429</v>
      </c>
      <c r="V14" s="1" t="s">
        <v>430</v>
      </c>
      <c r="W14" s="1">
        <v>25.894392</v>
      </c>
      <c r="X14" s="1">
        <v>32.134940471999997</v>
      </c>
      <c r="Y14" s="1">
        <v>5.1788783999999997E-2</v>
      </c>
      <c r="Z14" s="1">
        <v>7.6129512479999999</v>
      </c>
      <c r="AA14" s="1">
        <v>0.41431027199999998</v>
      </c>
      <c r="AB14" s="1" t="s">
        <v>17</v>
      </c>
      <c r="AC14" s="1" t="s">
        <v>18</v>
      </c>
      <c r="AD14" s="1">
        <v>3.8058000000000002E-2</v>
      </c>
      <c r="AE14" s="1">
        <v>0</v>
      </c>
      <c r="AF14" s="1">
        <v>0</v>
      </c>
      <c r="AG14" s="1">
        <v>0</v>
      </c>
      <c r="AH14" s="1">
        <v>0</v>
      </c>
      <c r="AI14" s="1" t="s">
        <v>431</v>
      </c>
      <c r="AJ14" s="1" t="s">
        <v>432</v>
      </c>
      <c r="AK14" s="1">
        <v>38.841591000000001</v>
      </c>
      <c r="AL14" s="1">
        <v>44.279413740000003</v>
      </c>
      <c r="AM14" s="1">
        <v>0.15536636400000001</v>
      </c>
      <c r="AN14" s="1">
        <v>7.7683182000000004</v>
      </c>
      <c r="AO14" s="1">
        <v>3.4957431899999998</v>
      </c>
      <c r="AP14" s="1" t="s">
        <v>176</v>
      </c>
      <c r="AQ14" t="s">
        <v>557</v>
      </c>
      <c r="AR14" s="1">
        <v>3.236799</v>
      </c>
      <c r="AS14" s="1">
        <v>28.690986336000002</v>
      </c>
      <c r="AT14" s="1">
        <v>3.236799</v>
      </c>
      <c r="AU14" s="1">
        <v>0</v>
      </c>
      <c r="AV14" s="1">
        <v>0</v>
      </c>
    </row>
    <row r="15" spans="1:69" ht="14.25" customHeight="1" x14ac:dyDescent="0.35">
      <c r="A15" s="1" t="s">
        <v>288</v>
      </c>
      <c r="B15" s="2">
        <f t="shared" si="0"/>
        <v>139.08332958</v>
      </c>
      <c r="C15" s="2">
        <f t="shared" si="1"/>
        <v>135.99999800000001</v>
      </c>
      <c r="D15" s="2">
        <f t="shared" si="2"/>
        <v>8.058999708</v>
      </c>
      <c r="E15" s="2">
        <f t="shared" si="3"/>
        <v>9.2126666679999989</v>
      </c>
      <c r="F15" s="2">
        <f t="shared" si="4"/>
        <v>7.7316664099999999</v>
      </c>
      <c r="G15" s="1" t="s">
        <v>30</v>
      </c>
      <c r="H15" s="1" t="s">
        <v>31</v>
      </c>
      <c r="I15" s="1">
        <v>71.666663999999997</v>
      </c>
      <c r="J15" s="1">
        <v>106.06666272</v>
      </c>
      <c r="K15" s="1">
        <v>7.8833330400000001</v>
      </c>
      <c r="L15" s="1">
        <v>1.1466666240000001</v>
      </c>
      <c r="M15" s="1">
        <v>7.1666664000000004</v>
      </c>
      <c r="N15" s="1" t="s">
        <v>289</v>
      </c>
      <c r="O15" s="1" t="s">
        <v>290</v>
      </c>
      <c r="P15" s="1">
        <v>47</v>
      </c>
      <c r="Q15" s="1">
        <v>26.79</v>
      </c>
      <c r="R15" s="1">
        <v>0.14099999999999999</v>
      </c>
      <c r="S15" s="1">
        <v>6.58</v>
      </c>
      <c r="T15" s="1">
        <v>0.32900000000000001</v>
      </c>
      <c r="U15" s="1" t="s">
        <v>187</v>
      </c>
      <c r="V15" s="1" t="s">
        <v>188</v>
      </c>
      <c r="W15" s="1">
        <v>3</v>
      </c>
      <c r="X15" s="1">
        <v>2.0699999999999998</v>
      </c>
      <c r="Y15" s="1">
        <v>6.0000000000000001E-3</v>
      </c>
      <c r="Z15" s="1">
        <v>0.54</v>
      </c>
      <c r="AA15" s="1">
        <v>2.1000000000000001E-2</v>
      </c>
      <c r="AB15" s="1" t="s">
        <v>37</v>
      </c>
      <c r="AC15" s="1" t="s">
        <v>38</v>
      </c>
      <c r="AD15" s="1">
        <v>14.333334000000001</v>
      </c>
      <c r="AE15" s="1">
        <v>4.1566668599999996</v>
      </c>
      <c r="AF15" s="1">
        <v>2.8666667999999999E-2</v>
      </c>
      <c r="AG15" s="1">
        <v>0.94600004400000004</v>
      </c>
      <c r="AH15" s="1">
        <v>0.21500000999999999</v>
      </c>
    </row>
    <row r="16" spans="1:69" ht="14.25" customHeight="1" x14ac:dyDescent="0.35">
      <c r="A16" s="1" t="s">
        <v>305</v>
      </c>
      <c r="B16" s="2">
        <f t="shared" si="0"/>
        <v>28.86</v>
      </c>
      <c r="C16" s="2">
        <f t="shared" si="1"/>
        <v>50</v>
      </c>
      <c r="D16" s="2">
        <f t="shared" si="2"/>
        <v>0.14699999999999999</v>
      </c>
      <c r="E16" s="2">
        <f t="shared" si="3"/>
        <v>7.12</v>
      </c>
      <c r="F16" s="2">
        <f t="shared" si="4"/>
        <v>0.35000000000000003</v>
      </c>
      <c r="G16" s="1" t="s">
        <v>289</v>
      </c>
      <c r="H16" s="1" t="s">
        <v>290</v>
      </c>
      <c r="I16" s="1">
        <v>47</v>
      </c>
      <c r="J16" s="1">
        <v>26.79</v>
      </c>
      <c r="K16" s="1">
        <v>0.14099999999999999</v>
      </c>
      <c r="L16" s="1">
        <v>6.58</v>
      </c>
      <c r="M16" s="1">
        <v>0.32900000000000001</v>
      </c>
      <c r="N16" s="1" t="s">
        <v>187</v>
      </c>
      <c r="O16" s="1" t="s">
        <v>188</v>
      </c>
      <c r="P16" s="1">
        <v>3</v>
      </c>
      <c r="Q16" s="1">
        <v>2.0699999999999998</v>
      </c>
      <c r="R16" s="1">
        <v>6.0000000000000001E-3</v>
      </c>
      <c r="S16" s="1">
        <v>0.54</v>
      </c>
      <c r="T16" s="1">
        <v>2.1000000000000001E-2</v>
      </c>
    </row>
    <row r="17" spans="1:83" ht="14.25" customHeight="1" x14ac:dyDescent="0.35">
      <c r="A17" s="1" t="s">
        <v>401</v>
      </c>
      <c r="B17" s="2">
        <f t="shared" si="0"/>
        <v>2.0699999999999998</v>
      </c>
      <c r="C17" s="2">
        <f t="shared" si="1"/>
        <v>3</v>
      </c>
      <c r="D17" s="2">
        <f t="shared" si="2"/>
        <v>6.0000000000000001E-3</v>
      </c>
      <c r="E17" s="2">
        <f t="shared" si="3"/>
        <v>0.54</v>
      </c>
      <c r="F17" s="2">
        <f t="shared" si="4"/>
        <v>2.1000000000000001E-2</v>
      </c>
      <c r="G17" s="1" t="s">
        <v>187</v>
      </c>
      <c r="H17" s="1" t="s">
        <v>188</v>
      </c>
      <c r="I17" s="1">
        <v>3</v>
      </c>
      <c r="J17" s="1">
        <v>2.0699999999999998</v>
      </c>
      <c r="K17" s="1">
        <v>6.0000000000000001E-3</v>
      </c>
      <c r="L17" s="1">
        <v>0.54</v>
      </c>
      <c r="M17" s="1">
        <v>2.1000000000000001E-2</v>
      </c>
    </row>
    <row r="18" spans="1:83" ht="14.25" customHeight="1" x14ac:dyDescent="0.35">
      <c r="A18" s="1" t="s">
        <v>550</v>
      </c>
      <c r="B18" s="2">
        <f t="shared" si="0"/>
        <v>135.548</v>
      </c>
      <c r="C18" s="2">
        <f t="shared" si="1"/>
        <v>103</v>
      </c>
      <c r="D18" s="2">
        <f t="shared" si="2"/>
        <v>1.133</v>
      </c>
      <c r="E18" s="2">
        <f t="shared" si="3"/>
        <v>25.544</v>
      </c>
      <c r="F18" s="2">
        <f t="shared" si="4"/>
        <v>5.2530000000000001</v>
      </c>
      <c r="G18" s="1" t="s">
        <v>388</v>
      </c>
      <c r="H18" s="1" t="s">
        <v>389</v>
      </c>
      <c r="I18" s="1">
        <v>103</v>
      </c>
      <c r="J18" s="1">
        <v>135.548</v>
      </c>
      <c r="K18" s="1">
        <v>1.133</v>
      </c>
      <c r="L18" s="1">
        <v>25.544</v>
      </c>
      <c r="M18" s="1">
        <v>5.2530000000000001</v>
      </c>
    </row>
    <row r="19" spans="1:83" ht="14.25" customHeight="1" x14ac:dyDescent="0.35">
      <c r="A19" s="1" t="s">
        <v>456</v>
      </c>
      <c r="B19" s="2">
        <f t="shared" si="0"/>
        <v>151.34</v>
      </c>
      <c r="C19" s="2">
        <f t="shared" si="1"/>
        <v>115</v>
      </c>
      <c r="D19" s="2">
        <f t="shared" si="2"/>
        <v>1.2649999999999999</v>
      </c>
      <c r="E19" s="2">
        <f t="shared" si="3"/>
        <v>28.52</v>
      </c>
      <c r="F19" s="2">
        <f t="shared" si="4"/>
        <v>5.8650000000000002</v>
      </c>
      <c r="G19" s="1" t="s">
        <v>388</v>
      </c>
      <c r="H19" s="1" t="s">
        <v>389</v>
      </c>
      <c r="I19" s="1">
        <v>115</v>
      </c>
      <c r="J19" s="1">
        <v>151.34</v>
      </c>
      <c r="K19" s="1">
        <v>1.2649999999999999</v>
      </c>
      <c r="L19" s="1">
        <v>28.52</v>
      </c>
      <c r="M19" s="1">
        <v>5.8650000000000002</v>
      </c>
    </row>
    <row r="20" spans="1:83" ht="14.25" customHeight="1" x14ac:dyDescent="0.35">
      <c r="A20" s="1" t="s">
        <v>387</v>
      </c>
      <c r="B20" s="2">
        <f t="shared" si="0"/>
        <v>294.78399999999999</v>
      </c>
      <c r="C20" s="2">
        <f t="shared" si="1"/>
        <v>224</v>
      </c>
      <c r="D20" s="2">
        <f t="shared" si="2"/>
        <v>2.464</v>
      </c>
      <c r="E20" s="2">
        <f t="shared" si="3"/>
        <v>55.552</v>
      </c>
      <c r="F20" s="2">
        <f t="shared" si="4"/>
        <v>11.423999999999999</v>
      </c>
      <c r="G20" s="1" t="s">
        <v>388</v>
      </c>
      <c r="H20" s="1" t="s">
        <v>389</v>
      </c>
      <c r="I20" s="1">
        <v>224</v>
      </c>
      <c r="J20" s="1">
        <v>294.78399999999999</v>
      </c>
      <c r="K20" s="1">
        <v>2.464</v>
      </c>
      <c r="L20" s="1">
        <v>55.552</v>
      </c>
      <c r="M20" s="1">
        <v>11.423999999999999</v>
      </c>
    </row>
    <row r="21" spans="1:83" ht="14.25" customHeight="1" x14ac:dyDescent="0.35">
      <c r="A21" s="1" t="s">
        <v>74</v>
      </c>
      <c r="B21" s="2">
        <f t="shared" si="0"/>
        <v>84.952001379000009</v>
      </c>
      <c r="C21" s="2">
        <f t="shared" si="1"/>
        <v>82.000004000000004</v>
      </c>
      <c r="D21" s="2">
        <f t="shared" si="2"/>
        <v>9.7970000940000013</v>
      </c>
      <c r="E21" s="2">
        <f t="shared" si="3"/>
        <v>2.7954288509999992</v>
      </c>
      <c r="F21" s="2">
        <f t="shared" si="4"/>
        <v>11.187000595000002</v>
      </c>
      <c r="G21" s="1" t="s">
        <v>75</v>
      </c>
      <c r="H21" s="1" t="s">
        <v>76</v>
      </c>
      <c r="I21" s="1">
        <v>57.142859999999999</v>
      </c>
      <c r="J21" s="1">
        <v>51.428573999999998</v>
      </c>
      <c r="K21" s="1">
        <v>7.4285718000000003</v>
      </c>
      <c r="L21" s="1">
        <v>0</v>
      </c>
      <c r="M21" s="1">
        <v>10.514286240000001</v>
      </c>
      <c r="N21" s="1" t="s">
        <v>77</v>
      </c>
      <c r="O21" s="1" t="s">
        <v>78</v>
      </c>
      <c r="P21" s="1">
        <v>0.57142899999999996</v>
      </c>
      <c r="Q21" s="1">
        <v>0.85142921000000005</v>
      </c>
      <c r="R21" s="1">
        <v>2.8571450000000002E-3</v>
      </c>
      <c r="S21" s="1">
        <v>0.18857156999999999</v>
      </c>
      <c r="T21" s="1">
        <v>3.6571456000000002E-2</v>
      </c>
      <c r="U21" s="1" t="s">
        <v>79</v>
      </c>
      <c r="V21" s="1" t="s">
        <v>80</v>
      </c>
      <c r="W21" s="1">
        <v>1.142857</v>
      </c>
      <c r="X21" s="1">
        <v>0.22857140000000001</v>
      </c>
      <c r="Y21" s="1">
        <v>2.2857139999999999E-3</v>
      </c>
      <c r="Z21" s="1">
        <v>3.7714281000000002E-2</v>
      </c>
      <c r="AA21" s="1">
        <v>1.7142854999999999E-2</v>
      </c>
      <c r="AB21" s="1" t="s">
        <v>13</v>
      </c>
      <c r="AC21" s="1" t="s">
        <v>14</v>
      </c>
      <c r="AD21" s="1">
        <v>2.285714</v>
      </c>
      <c r="AE21" s="1">
        <v>20.20571176</v>
      </c>
      <c r="AF21" s="1">
        <v>2.285714</v>
      </c>
      <c r="AG21" s="1">
        <v>0</v>
      </c>
      <c r="AH21" s="1">
        <v>0</v>
      </c>
      <c r="AI21" s="1" t="s">
        <v>17</v>
      </c>
      <c r="AJ21" s="1" t="s">
        <v>18</v>
      </c>
      <c r="AK21" s="1">
        <v>0.14285700000000001</v>
      </c>
      <c r="AL21" s="1">
        <v>0</v>
      </c>
      <c r="AM21" s="1">
        <v>0</v>
      </c>
      <c r="AN21" s="1">
        <v>0</v>
      </c>
      <c r="AO21" s="1">
        <v>0</v>
      </c>
      <c r="AP21" s="1" t="s">
        <v>81</v>
      </c>
      <c r="AQ21" s="1" t="s">
        <v>82</v>
      </c>
      <c r="AR21" s="1">
        <v>2.285714</v>
      </c>
      <c r="AS21" s="1">
        <v>0.41142852000000002</v>
      </c>
      <c r="AT21" s="1">
        <v>4.5714279999999998E-3</v>
      </c>
      <c r="AU21" s="1">
        <v>8.9142845999999998E-2</v>
      </c>
      <c r="AV21" s="1">
        <v>2.0571426E-2</v>
      </c>
      <c r="AW21" s="1" t="s">
        <v>83</v>
      </c>
      <c r="AX21" s="1" t="s">
        <v>84</v>
      </c>
      <c r="AY21" s="1">
        <v>11.428572000000001</v>
      </c>
      <c r="AZ21" s="1">
        <v>10.400000520000001</v>
      </c>
      <c r="BA21" s="1">
        <v>5.7142859999999997E-2</v>
      </c>
      <c r="BB21" s="1">
        <v>2.1828572519999998</v>
      </c>
      <c r="BC21" s="1">
        <v>0.48000002400000003</v>
      </c>
      <c r="BD21" s="1" t="s">
        <v>85</v>
      </c>
      <c r="BE21" s="1" t="s">
        <v>86</v>
      </c>
      <c r="BF21" s="1">
        <v>5.1428580000000004</v>
      </c>
      <c r="BG21" s="1">
        <v>0.97714301999999997</v>
      </c>
      <c r="BH21" s="1">
        <v>1.0285716E-2</v>
      </c>
      <c r="BI21" s="1">
        <v>0.19028574600000001</v>
      </c>
      <c r="BJ21" s="1">
        <v>9.2571444000000003E-2</v>
      </c>
      <c r="BK21" s="1" t="s">
        <v>87</v>
      </c>
      <c r="BL21" s="1" t="s">
        <v>88</v>
      </c>
      <c r="BM21" s="1">
        <v>1.142857</v>
      </c>
      <c r="BN21" s="1">
        <v>0.19428569000000001</v>
      </c>
      <c r="BO21" s="1">
        <v>0</v>
      </c>
      <c r="BP21" s="1">
        <v>6.3999992000000006E-2</v>
      </c>
      <c r="BQ21" s="1">
        <v>4.5714279999999998E-3</v>
      </c>
      <c r="BR21" s="1" t="s">
        <v>89</v>
      </c>
      <c r="BS21" s="1" t="s">
        <v>90</v>
      </c>
      <c r="BT21" s="1">
        <v>0.57142899999999996</v>
      </c>
      <c r="BU21" s="1">
        <v>0.21200015899999999</v>
      </c>
      <c r="BV21" s="1">
        <v>4.5714320000000003E-3</v>
      </c>
      <c r="BW21" s="1">
        <v>3.6571456000000002E-2</v>
      </c>
      <c r="BX21" s="1">
        <v>1.6571440999999999E-2</v>
      </c>
      <c r="BY21" s="1" t="s">
        <v>44</v>
      </c>
      <c r="BZ21" s="1" t="s">
        <v>45</v>
      </c>
      <c r="CA21" s="1">
        <v>0.14285700000000001</v>
      </c>
      <c r="CB21" s="1">
        <v>4.2857100000000002E-2</v>
      </c>
      <c r="CC21" s="1">
        <v>9.999989999999999E-4</v>
      </c>
      <c r="CD21" s="1">
        <v>6.2857080000000001E-3</v>
      </c>
      <c r="CE21" s="1">
        <v>4.7142809999999999E-3</v>
      </c>
    </row>
    <row r="22" spans="1:83" ht="14.25" customHeight="1" x14ac:dyDescent="0.35">
      <c r="A22" s="1" t="s">
        <v>514</v>
      </c>
      <c r="B22" s="2">
        <f t="shared" si="0"/>
        <v>72.064481205999996</v>
      </c>
      <c r="C22" s="2">
        <f t="shared" si="1"/>
        <v>71</v>
      </c>
      <c r="D22" s="2">
        <f t="shared" si="2"/>
        <v>0.58665692300000005</v>
      </c>
      <c r="E22" s="2">
        <f t="shared" si="3"/>
        <v>14.177196924</v>
      </c>
      <c r="F22" s="2">
        <f t="shared" si="4"/>
        <v>3.1115620779999995</v>
      </c>
      <c r="G22" s="1" t="s">
        <v>515</v>
      </c>
      <c r="H22" s="1" t="s">
        <v>516</v>
      </c>
      <c r="I22" s="1">
        <v>18.656935000000001</v>
      </c>
      <c r="J22" s="1">
        <v>10.67176682</v>
      </c>
      <c r="K22" s="1">
        <v>1.8656934999999999E-2</v>
      </c>
      <c r="L22" s="1">
        <v>2.83585412</v>
      </c>
      <c r="M22" s="1">
        <v>7.4627739999999998E-2</v>
      </c>
      <c r="N22" s="1" t="s">
        <v>208</v>
      </c>
      <c r="O22" s="1" t="s">
        <v>209</v>
      </c>
      <c r="P22" s="1">
        <v>6.2189779999999999</v>
      </c>
      <c r="Q22" s="1">
        <v>18.905693119999999</v>
      </c>
      <c r="R22" s="1">
        <v>0</v>
      </c>
      <c r="S22" s="1">
        <v>5.0995619599999999</v>
      </c>
      <c r="T22" s="1">
        <v>1.8656934E-2</v>
      </c>
      <c r="U22" s="1" t="s">
        <v>366</v>
      </c>
      <c r="V22" s="1" t="s">
        <v>367</v>
      </c>
      <c r="W22" s="1">
        <v>24.875912</v>
      </c>
      <c r="X22" s="1">
        <v>29.851094400000001</v>
      </c>
      <c r="Y22" s="1">
        <v>0.472642328</v>
      </c>
      <c r="Z22" s="1">
        <v>5.2239415200000003</v>
      </c>
      <c r="AA22" s="1">
        <v>1.094540128</v>
      </c>
      <c r="AB22" s="1" t="s">
        <v>89</v>
      </c>
      <c r="AC22" s="1" t="s">
        <v>90</v>
      </c>
      <c r="AD22" s="1">
        <v>1.0364960000000001</v>
      </c>
      <c r="AE22" s="1">
        <v>0.38454001599999998</v>
      </c>
      <c r="AF22" s="1">
        <v>8.2919680000000003E-3</v>
      </c>
      <c r="AG22" s="1">
        <v>6.6335744000000002E-2</v>
      </c>
      <c r="AH22" s="1">
        <v>3.0058384E-2</v>
      </c>
      <c r="AI22" s="1" t="s">
        <v>174</v>
      </c>
      <c r="AJ22" s="1" t="s">
        <v>175</v>
      </c>
      <c r="AK22" s="1">
        <v>1.5547439999999999</v>
      </c>
      <c r="AL22" s="1">
        <v>1.2437952000000001</v>
      </c>
      <c r="AM22" s="1">
        <v>1.2437952E-2</v>
      </c>
      <c r="AN22" s="1">
        <v>0.27985391999999998</v>
      </c>
      <c r="AO22" s="1">
        <v>2.7985392000000001E-2</v>
      </c>
      <c r="AP22" s="1" t="s">
        <v>101</v>
      </c>
      <c r="AQ22" s="1" t="s">
        <v>102</v>
      </c>
      <c r="AR22" s="1">
        <v>18.656935000000001</v>
      </c>
      <c r="AS22" s="1">
        <v>11.00759165</v>
      </c>
      <c r="AT22" s="1">
        <v>7.4627739999999998E-2</v>
      </c>
      <c r="AU22" s="1">
        <v>0.67164966000000004</v>
      </c>
      <c r="AV22" s="1">
        <v>1.8656934999999999</v>
      </c>
    </row>
    <row r="23" spans="1:83" ht="14.25" customHeight="1" x14ac:dyDescent="0.35">
      <c r="A23" s="1" t="s">
        <v>400</v>
      </c>
      <c r="B23" s="2">
        <f t="shared" si="0"/>
        <v>282.12200000000001</v>
      </c>
      <c r="C23" s="2">
        <f t="shared" si="1"/>
        <v>85</v>
      </c>
      <c r="D23" s="2">
        <f t="shared" si="2"/>
        <v>20.131</v>
      </c>
      <c r="E23" s="2">
        <f t="shared" si="3"/>
        <v>19.693999999999999</v>
      </c>
      <c r="F23" s="2">
        <f t="shared" si="4"/>
        <v>6.7190000000000003</v>
      </c>
      <c r="G23" s="1" t="s">
        <v>33</v>
      </c>
      <c r="H23" s="1" t="s">
        <v>34</v>
      </c>
      <c r="I23" s="1">
        <v>58</v>
      </c>
      <c r="J23" s="1">
        <v>189.08</v>
      </c>
      <c r="K23" s="1">
        <v>12.76</v>
      </c>
      <c r="L23" s="1">
        <v>18.559999999999999</v>
      </c>
      <c r="M23" s="1">
        <v>1.508</v>
      </c>
      <c r="N23" s="1" t="s">
        <v>49</v>
      </c>
      <c r="O23" s="1" t="s">
        <v>50</v>
      </c>
      <c r="P23" s="1">
        <v>27</v>
      </c>
      <c r="Q23" s="1">
        <v>93.042000000000002</v>
      </c>
      <c r="R23" s="1">
        <v>7.3710000000000004</v>
      </c>
      <c r="S23" s="1">
        <v>1.1339999999999999</v>
      </c>
      <c r="T23" s="1">
        <v>5.2110000000000003</v>
      </c>
    </row>
    <row r="24" spans="1:83" ht="14.25" customHeight="1" x14ac:dyDescent="0.35">
      <c r="A24" s="1" t="s">
        <v>159</v>
      </c>
      <c r="B24" s="2">
        <f t="shared" si="0"/>
        <v>93.042000000000002</v>
      </c>
      <c r="C24" s="2">
        <f t="shared" si="1"/>
        <v>27</v>
      </c>
      <c r="D24" s="2">
        <f t="shared" si="2"/>
        <v>7.3710000000000004</v>
      </c>
      <c r="E24" s="2">
        <f t="shared" si="3"/>
        <v>1.1339999999999999</v>
      </c>
      <c r="F24" s="2">
        <f t="shared" si="4"/>
        <v>5.2110000000000003</v>
      </c>
      <c r="G24" s="1" t="s">
        <v>49</v>
      </c>
      <c r="H24" s="1" t="s">
        <v>50</v>
      </c>
      <c r="I24" s="1">
        <v>27</v>
      </c>
      <c r="J24" s="1">
        <v>93.042000000000002</v>
      </c>
      <c r="K24" s="1">
        <v>7.3710000000000004</v>
      </c>
      <c r="L24" s="1">
        <v>1.1339999999999999</v>
      </c>
      <c r="M24" s="1">
        <v>5.2110000000000003</v>
      </c>
    </row>
    <row r="25" spans="1:83" ht="14.25" customHeight="1" x14ac:dyDescent="0.35">
      <c r="A25" s="1" t="s">
        <v>510</v>
      </c>
      <c r="B25" s="2">
        <f t="shared" si="0"/>
        <v>482.24</v>
      </c>
      <c r="C25" s="2">
        <f t="shared" si="1"/>
        <v>220</v>
      </c>
      <c r="D25" s="2">
        <f t="shared" si="2"/>
        <v>33.879999999999995</v>
      </c>
      <c r="E25" s="2">
        <f t="shared" si="3"/>
        <v>30.271999999999998</v>
      </c>
      <c r="F25" s="2">
        <f t="shared" si="4"/>
        <v>15.488</v>
      </c>
      <c r="G25" s="1" t="s">
        <v>30</v>
      </c>
      <c r="H25" s="1" t="s">
        <v>31</v>
      </c>
      <c r="I25" s="1">
        <v>132</v>
      </c>
      <c r="J25" s="1">
        <v>195.36</v>
      </c>
      <c r="K25" s="1">
        <v>14.52</v>
      </c>
      <c r="L25" s="1">
        <v>2.1120000000000001</v>
      </c>
      <c r="M25" s="1">
        <v>13.2</v>
      </c>
      <c r="N25" s="1" t="s">
        <v>33</v>
      </c>
      <c r="O25" s="1" t="s">
        <v>34</v>
      </c>
      <c r="P25" s="1">
        <v>88</v>
      </c>
      <c r="Q25" s="1">
        <v>286.88</v>
      </c>
      <c r="R25" s="1">
        <v>19.36</v>
      </c>
      <c r="S25" s="1">
        <v>28.16</v>
      </c>
      <c r="T25" s="1">
        <v>2.2879999999999998</v>
      </c>
    </row>
    <row r="26" spans="1:83" ht="14.25" customHeight="1" x14ac:dyDescent="0.35">
      <c r="A26" s="1" t="s">
        <v>29</v>
      </c>
      <c r="B26" s="2">
        <f t="shared" si="0"/>
        <v>195.36</v>
      </c>
      <c r="C26" s="2">
        <f t="shared" si="1"/>
        <v>132</v>
      </c>
      <c r="D26" s="2">
        <f t="shared" si="2"/>
        <v>14.52</v>
      </c>
      <c r="E26" s="2">
        <f t="shared" si="3"/>
        <v>2.1120000000000001</v>
      </c>
      <c r="F26" s="2">
        <f t="shared" si="4"/>
        <v>13.2</v>
      </c>
      <c r="G26" s="1" t="s">
        <v>30</v>
      </c>
      <c r="H26" s="1" t="s">
        <v>31</v>
      </c>
      <c r="I26" s="1">
        <v>132</v>
      </c>
      <c r="J26" s="1">
        <v>195.36</v>
      </c>
      <c r="K26" s="1">
        <v>14.52</v>
      </c>
      <c r="L26" s="1">
        <v>2.1120000000000001</v>
      </c>
      <c r="M26" s="1">
        <v>13.2</v>
      </c>
    </row>
    <row r="27" spans="1:83" ht="14.25" customHeight="1" x14ac:dyDescent="0.35">
      <c r="A27" s="1" t="s">
        <v>545</v>
      </c>
      <c r="B27" s="2">
        <f t="shared" si="0"/>
        <v>177.1</v>
      </c>
      <c r="C27" s="2">
        <f t="shared" si="1"/>
        <v>77</v>
      </c>
      <c r="D27" s="2">
        <f t="shared" si="2"/>
        <v>4.1580000000000004</v>
      </c>
      <c r="E27" s="2">
        <f t="shared" si="3"/>
        <v>30.03</v>
      </c>
      <c r="F27" s="2">
        <f t="shared" si="4"/>
        <v>4.774</v>
      </c>
      <c r="G27" s="1" t="s">
        <v>135</v>
      </c>
      <c r="H27" s="1" t="s">
        <v>136</v>
      </c>
      <c r="I27" s="1">
        <v>77</v>
      </c>
      <c r="J27" s="1">
        <v>177.1</v>
      </c>
      <c r="K27" s="1">
        <v>4.1580000000000004</v>
      </c>
      <c r="L27" s="1">
        <v>30.03</v>
      </c>
      <c r="M27" s="1">
        <v>4.774</v>
      </c>
    </row>
    <row r="28" spans="1:83" ht="14.25" customHeight="1" x14ac:dyDescent="0.35">
      <c r="A28" s="1" t="s">
        <v>525</v>
      </c>
      <c r="B28" s="2">
        <f t="shared" si="0"/>
        <v>204.7</v>
      </c>
      <c r="C28" s="2">
        <f t="shared" si="1"/>
        <v>89</v>
      </c>
      <c r="D28" s="2">
        <f t="shared" si="2"/>
        <v>4.806</v>
      </c>
      <c r="E28" s="2">
        <f t="shared" si="3"/>
        <v>34.71</v>
      </c>
      <c r="F28" s="2">
        <f t="shared" si="4"/>
        <v>5.5179999999999998</v>
      </c>
      <c r="G28" s="1" t="s">
        <v>135</v>
      </c>
      <c r="H28" s="1" t="s">
        <v>136</v>
      </c>
      <c r="I28" s="1">
        <v>89</v>
      </c>
      <c r="J28" s="1">
        <v>204.7</v>
      </c>
      <c r="K28" s="1">
        <v>4.806</v>
      </c>
      <c r="L28" s="1">
        <v>34.71</v>
      </c>
      <c r="M28" s="1">
        <v>5.5179999999999998</v>
      </c>
    </row>
    <row r="29" spans="1:83" ht="14.25" customHeight="1" x14ac:dyDescent="0.35">
      <c r="A29" s="1" t="s">
        <v>463</v>
      </c>
      <c r="B29" s="2">
        <f t="shared" si="0"/>
        <v>316.55459130700001</v>
      </c>
      <c r="C29" s="2">
        <f t="shared" si="1"/>
        <v>161.99999900000003</v>
      </c>
      <c r="D29" s="2">
        <f t="shared" si="2"/>
        <v>22.469996472000002</v>
      </c>
      <c r="E29" s="2">
        <f t="shared" si="3"/>
        <v>26.17628479</v>
      </c>
      <c r="F29" s="2">
        <f t="shared" si="4"/>
        <v>7.0033845709999998</v>
      </c>
      <c r="G29" s="1" t="s">
        <v>7</v>
      </c>
      <c r="H29" s="1" t="s">
        <v>8</v>
      </c>
      <c r="I29" s="1">
        <v>34.090580000000003</v>
      </c>
      <c r="J29" s="1">
        <v>11.590797200000001</v>
      </c>
      <c r="K29" s="1">
        <v>0.23863406000000001</v>
      </c>
      <c r="L29" s="1">
        <v>2.3181594400000001</v>
      </c>
      <c r="M29" s="1">
        <v>0.23863406000000001</v>
      </c>
      <c r="N29" s="1" t="s">
        <v>9</v>
      </c>
      <c r="O29" s="1" t="s">
        <v>10</v>
      </c>
      <c r="P29" s="1">
        <v>51.135868000000002</v>
      </c>
      <c r="Q29" s="1">
        <v>81.817388800000003</v>
      </c>
      <c r="R29" s="1">
        <v>7.6703802000000003</v>
      </c>
      <c r="S29" s="1">
        <v>4.6022281200000004</v>
      </c>
      <c r="T29" s="1">
        <v>1.0227173599999999</v>
      </c>
      <c r="U29" s="1" t="s">
        <v>11</v>
      </c>
      <c r="V29" s="1" t="s">
        <v>12</v>
      </c>
      <c r="W29" s="1">
        <v>30.062771000000001</v>
      </c>
      <c r="X29" s="1">
        <v>85.889336747000002</v>
      </c>
      <c r="Y29" s="1">
        <v>2.7657749319999998</v>
      </c>
      <c r="Z29" s="1">
        <v>14.73075779</v>
      </c>
      <c r="AA29" s="1">
        <v>1.2325736110000001</v>
      </c>
      <c r="AB29" s="1" t="s">
        <v>13</v>
      </c>
      <c r="AC29" s="1" t="s">
        <v>14</v>
      </c>
      <c r="AD29" s="1">
        <v>8.5226450000000007</v>
      </c>
      <c r="AE29" s="1">
        <v>75.340181799999996</v>
      </c>
      <c r="AF29" s="1">
        <v>8.5226450000000007</v>
      </c>
      <c r="AG29" s="1">
        <v>0</v>
      </c>
      <c r="AH29" s="1">
        <v>0</v>
      </c>
      <c r="AI29" s="1" t="s">
        <v>15</v>
      </c>
      <c r="AJ29" s="1" t="s">
        <v>16</v>
      </c>
      <c r="AK29" s="1">
        <v>34.090580000000003</v>
      </c>
      <c r="AL29" s="1">
        <v>41.590507600000002</v>
      </c>
      <c r="AM29" s="1">
        <v>1.7386195799999999</v>
      </c>
      <c r="AN29" s="1">
        <v>3.34087684</v>
      </c>
      <c r="AO29" s="1">
        <v>3.7499638000000002</v>
      </c>
      <c r="AP29" s="1" t="s">
        <v>17</v>
      </c>
      <c r="AQ29" s="1" t="s">
        <v>18</v>
      </c>
      <c r="AR29" s="1">
        <v>0.10020900000000001</v>
      </c>
      <c r="AS29" s="1">
        <v>0</v>
      </c>
      <c r="AT29" s="1">
        <v>0</v>
      </c>
      <c r="AU29" s="1">
        <v>0</v>
      </c>
      <c r="AV29" s="1">
        <v>0</v>
      </c>
      <c r="AW29" s="1" t="s">
        <v>19</v>
      </c>
      <c r="AX29" s="1" t="s">
        <v>20</v>
      </c>
      <c r="AY29" s="1">
        <v>2.4982160000000002</v>
      </c>
      <c r="AZ29" s="1">
        <v>13.64025936</v>
      </c>
      <c r="BA29" s="1">
        <v>1.2491080000000001</v>
      </c>
      <c r="BB29" s="1">
        <v>0.37473240000000002</v>
      </c>
      <c r="BC29" s="1">
        <v>0.47466103999999998</v>
      </c>
      <c r="BD29" s="1" t="s">
        <v>21</v>
      </c>
      <c r="BE29" s="1" t="s">
        <v>22</v>
      </c>
      <c r="BF29" s="1">
        <v>1.4991300000000001</v>
      </c>
      <c r="BG29" s="1">
        <v>6.6861198000000002</v>
      </c>
      <c r="BH29" s="1">
        <v>0.2848347</v>
      </c>
      <c r="BI29" s="1">
        <v>0.80953019999999998</v>
      </c>
      <c r="BJ29" s="1">
        <v>0.2848347</v>
      </c>
    </row>
    <row r="30" spans="1:83" ht="14.25" customHeight="1" x14ac:dyDescent="0.35">
      <c r="A30" s="1" t="s">
        <v>307</v>
      </c>
      <c r="B30" s="2">
        <f t="shared" si="0"/>
        <v>224.84</v>
      </c>
      <c r="C30" s="2">
        <f t="shared" si="1"/>
        <v>146</v>
      </c>
      <c r="D30" s="2">
        <f t="shared" si="2"/>
        <v>17.082000000000001</v>
      </c>
      <c r="E30" s="2">
        <f t="shared" si="3"/>
        <v>0.876</v>
      </c>
      <c r="F30" s="2">
        <f t="shared" si="4"/>
        <v>15.183999999999999</v>
      </c>
      <c r="G30" s="1" t="s">
        <v>104</v>
      </c>
      <c r="H30" s="1" t="s">
        <v>105</v>
      </c>
      <c r="I30" s="1">
        <v>146</v>
      </c>
      <c r="J30" s="1">
        <v>224.84</v>
      </c>
      <c r="K30" s="1">
        <v>17.082000000000001</v>
      </c>
      <c r="L30" s="1">
        <v>0.876</v>
      </c>
      <c r="M30" s="1">
        <v>15.183999999999999</v>
      </c>
    </row>
    <row r="31" spans="1:83" ht="14.25" customHeight="1" x14ac:dyDescent="0.35">
      <c r="A31" s="1" t="s">
        <v>533</v>
      </c>
      <c r="B31" s="2">
        <f t="shared" si="0"/>
        <v>528.53</v>
      </c>
      <c r="C31" s="2">
        <f t="shared" si="1"/>
        <v>143</v>
      </c>
      <c r="D31" s="2">
        <f t="shared" si="2"/>
        <v>37.26</v>
      </c>
      <c r="E31" s="2">
        <f t="shared" si="3"/>
        <v>36.885999999999996</v>
      </c>
      <c r="F31" s="2">
        <f t="shared" si="4"/>
        <v>13.694000000000001</v>
      </c>
      <c r="G31" s="1" t="s">
        <v>69</v>
      </c>
      <c r="H31" s="1" t="s">
        <v>70</v>
      </c>
      <c r="I31" s="1">
        <v>29</v>
      </c>
      <c r="J31" s="1">
        <v>156.88999999999999</v>
      </c>
      <c r="K31" s="1">
        <v>12.18</v>
      </c>
      <c r="L31" s="1">
        <v>0.40600000000000003</v>
      </c>
      <c r="M31" s="1">
        <v>10.73</v>
      </c>
      <c r="N31" s="1" t="s">
        <v>33</v>
      </c>
      <c r="O31" s="1" t="s">
        <v>34</v>
      </c>
      <c r="P31" s="1">
        <v>114</v>
      </c>
      <c r="Q31" s="1">
        <v>371.64</v>
      </c>
      <c r="R31" s="1">
        <v>25.08</v>
      </c>
      <c r="S31" s="1">
        <v>36.479999999999997</v>
      </c>
      <c r="T31" s="1">
        <v>2.964</v>
      </c>
    </row>
    <row r="32" spans="1:83" ht="14.25" customHeight="1" x14ac:dyDescent="0.35">
      <c r="A32" s="1" t="s">
        <v>507</v>
      </c>
      <c r="B32" s="2">
        <f t="shared" si="0"/>
        <v>371.64</v>
      </c>
      <c r="C32" s="2">
        <f t="shared" si="1"/>
        <v>114</v>
      </c>
      <c r="D32" s="2">
        <f t="shared" si="2"/>
        <v>25.08</v>
      </c>
      <c r="E32" s="2">
        <f t="shared" si="3"/>
        <v>36.479999999999997</v>
      </c>
      <c r="F32" s="2">
        <f t="shared" si="4"/>
        <v>2.964</v>
      </c>
      <c r="G32" s="1" t="s">
        <v>33</v>
      </c>
      <c r="H32" s="1" t="s">
        <v>34</v>
      </c>
      <c r="I32" s="1">
        <v>114</v>
      </c>
      <c r="J32" s="1">
        <v>371.64</v>
      </c>
      <c r="K32" s="1">
        <v>25.08</v>
      </c>
      <c r="L32" s="1">
        <v>36.479999999999997</v>
      </c>
      <c r="M32" s="1">
        <v>2.964</v>
      </c>
    </row>
    <row r="33" spans="1:139" ht="14.25" customHeight="1" x14ac:dyDescent="0.35">
      <c r="A33" s="1" t="s">
        <v>413</v>
      </c>
      <c r="B33" s="2">
        <f t="shared" si="0"/>
        <v>186.83952731300002</v>
      </c>
      <c r="C33" s="2">
        <f t="shared" si="1"/>
        <v>81.999995999999996</v>
      </c>
      <c r="D33" s="2">
        <f t="shared" si="2"/>
        <v>8.8831677300000003</v>
      </c>
      <c r="E33" s="2">
        <f t="shared" si="3"/>
        <v>21.535792067999999</v>
      </c>
      <c r="F33" s="2">
        <f t="shared" si="4"/>
        <v>7.7306433180000012</v>
      </c>
      <c r="G33" s="1" t="s">
        <v>414</v>
      </c>
      <c r="H33" s="1" t="s">
        <v>415</v>
      </c>
      <c r="I33" s="1">
        <v>6.3954820000000003</v>
      </c>
      <c r="J33" s="1">
        <v>5.69197898</v>
      </c>
      <c r="K33" s="1">
        <v>1.9186445999999999E-2</v>
      </c>
      <c r="L33" s="1">
        <v>1.4709608599999999</v>
      </c>
      <c r="M33" s="1">
        <v>7.0350302000000003E-2</v>
      </c>
      <c r="N33" s="1" t="s">
        <v>416</v>
      </c>
      <c r="O33" s="1" t="s">
        <v>417</v>
      </c>
      <c r="P33" s="1">
        <v>20.145412</v>
      </c>
      <c r="Q33" s="1">
        <v>111.48471000799999</v>
      </c>
      <c r="R33" s="1">
        <v>8.7028179839999993</v>
      </c>
      <c r="S33" s="1">
        <v>6.2249323079999996</v>
      </c>
      <c r="T33" s="1">
        <v>3.5858833360000002</v>
      </c>
      <c r="U33" s="1" t="s">
        <v>418</v>
      </c>
      <c r="V33" s="1" t="s">
        <v>419</v>
      </c>
      <c r="W33" s="1">
        <v>40.290824999999998</v>
      </c>
      <c r="X33" s="1">
        <v>23.731295925000001</v>
      </c>
      <c r="Y33" s="1">
        <v>0.16116330000000001</v>
      </c>
      <c r="Z33" s="1">
        <v>1.4504697</v>
      </c>
      <c r="AA33" s="1">
        <v>4.0290825000000003</v>
      </c>
      <c r="AB33" s="1" t="s">
        <v>17</v>
      </c>
      <c r="AC33" s="1" t="s">
        <v>18</v>
      </c>
      <c r="AD33" s="1">
        <v>5.9216999999999999E-2</v>
      </c>
      <c r="AE33" s="1">
        <v>0</v>
      </c>
      <c r="AF33" s="1">
        <v>0</v>
      </c>
      <c r="AG33" s="1">
        <v>0</v>
      </c>
      <c r="AH33" s="1">
        <v>0</v>
      </c>
      <c r="AI33" s="1" t="s">
        <v>208</v>
      </c>
      <c r="AJ33" s="1" t="s">
        <v>209</v>
      </c>
      <c r="AK33" s="1">
        <v>15.109059999999999</v>
      </c>
      <c r="AL33" s="1">
        <v>45.931542399999998</v>
      </c>
      <c r="AM33" s="1">
        <v>0</v>
      </c>
      <c r="AN33" s="1">
        <v>12.3894292</v>
      </c>
      <c r="AO33" s="1">
        <v>4.5327180000000002E-2</v>
      </c>
    </row>
    <row r="34" spans="1:139" ht="14.25" customHeight="1" x14ac:dyDescent="0.35">
      <c r="A34" s="1" t="s">
        <v>153</v>
      </c>
      <c r="B34" s="2">
        <f t="shared" si="0"/>
        <v>477.58923984299997</v>
      </c>
      <c r="C34" s="2">
        <f t="shared" si="1"/>
        <v>232.99999499999998</v>
      </c>
      <c r="D34" s="2">
        <f t="shared" si="2"/>
        <v>29.732112926999999</v>
      </c>
      <c r="E34" s="2">
        <f t="shared" si="3"/>
        <v>30.848241492</v>
      </c>
      <c r="F34" s="2">
        <f t="shared" si="4"/>
        <v>22.526594226</v>
      </c>
      <c r="G34" s="1" t="s">
        <v>69</v>
      </c>
      <c r="H34" s="1" t="s">
        <v>70</v>
      </c>
      <c r="I34" s="1">
        <v>12.090574</v>
      </c>
      <c r="J34" s="1">
        <v>65.410005339999998</v>
      </c>
      <c r="K34" s="1">
        <v>5.0780410800000002</v>
      </c>
      <c r="L34" s="1">
        <v>0.16926803600000001</v>
      </c>
      <c r="M34" s="1">
        <v>4.4735123799999998</v>
      </c>
      <c r="N34" s="1" t="s">
        <v>7</v>
      </c>
      <c r="O34" s="1" t="s">
        <v>8</v>
      </c>
      <c r="P34" s="1">
        <v>36.271720999999999</v>
      </c>
      <c r="Q34" s="1">
        <v>12.33238514</v>
      </c>
      <c r="R34" s="1">
        <v>0.25390204700000002</v>
      </c>
      <c r="S34" s="1">
        <v>2.4664770279999999</v>
      </c>
      <c r="T34" s="1">
        <v>0.25390204700000002</v>
      </c>
      <c r="U34" s="1" t="s">
        <v>9</v>
      </c>
      <c r="V34" s="1" t="s">
        <v>10</v>
      </c>
      <c r="W34" s="1">
        <v>18.135860000000001</v>
      </c>
      <c r="X34" s="1">
        <v>29.017375999999999</v>
      </c>
      <c r="Y34" s="1">
        <v>2.7203789999999999</v>
      </c>
      <c r="Z34" s="1">
        <v>1.6322274000000001</v>
      </c>
      <c r="AA34" s="1">
        <v>0.36271720000000002</v>
      </c>
      <c r="AB34" s="1" t="s">
        <v>11</v>
      </c>
      <c r="AC34" s="1" t="s">
        <v>12</v>
      </c>
      <c r="AD34" s="1">
        <v>0.426483</v>
      </c>
      <c r="AE34" s="1">
        <v>1.218461931</v>
      </c>
      <c r="AF34" s="1">
        <v>3.9236436E-2</v>
      </c>
      <c r="AG34" s="1">
        <v>0.20897667</v>
      </c>
      <c r="AH34" s="1">
        <v>1.7485803000000001E-2</v>
      </c>
      <c r="AI34" s="1" t="s">
        <v>13</v>
      </c>
      <c r="AJ34" s="1" t="s">
        <v>14</v>
      </c>
      <c r="AK34" s="1">
        <v>10.146174999999999</v>
      </c>
      <c r="AL34" s="1">
        <v>89.692187000000004</v>
      </c>
      <c r="AM34" s="1">
        <v>10.146174999999999</v>
      </c>
      <c r="AN34" s="1">
        <v>0</v>
      </c>
      <c r="AO34" s="1">
        <v>0</v>
      </c>
      <c r="AP34" s="1" t="s">
        <v>154</v>
      </c>
      <c r="AQ34" s="1" t="s">
        <v>155</v>
      </c>
      <c r="AR34" s="1">
        <v>18.765243999999999</v>
      </c>
      <c r="AS34" s="1">
        <v>29.179954420000001</v>
      </c>
      <c r="AT34" s="1">
        <v>1.9703506200000001</v>
      </c>
      <c r="AU34" s="1">
        <v>0.225182928</v>
      </c>
      <c r="AV34" s="1">
        <v>2.3456554999999999</v>
      </c>
      <c r="AW34" s="1" t="s">
        <v>57</v>
      </c>
      <c r="AX34" s="1" t="s">
        <v>58</v>
      </c>
      <c r="AY34" s="1">
        <v>40.584702</v>
      </c>
      <c r="AZ34" s="1">
        <v>112.663132752</v>
      </c>
      <c r="BA34" s="1">
        <v>6.9399840419999999</v>
      </c>
      <c r="BB34" s="1">
        <v>1.298710464</v>
      </c>
      <c r="BC34" s="1">
        <v>11.36371656</v>
      </c>
      <c r="BD34" s="1" t="s">
        <v>17</v>
      </c>
      <c r="BE34" s="1" t="s">
        <v>18</v>
      </c>
      <c r="BF34" s="1">
        <v>3.5540000000000002E-2</v>
      </c>
      <c r="BG34" s="1">
        <v>0</v>
      </c>
      <c r="BH34" s="1">
        <v>0</v>
      </c>
      <c r="BI34" s="1">
        <v>0</v>
      </c>
      <c r="BJ34" s="1">
        <v>0</v>
      </c>
      <c r="BK34" s="1" t="s">
        <v>87</v>
      </c>
      <c r="BL34" s="1" t="s">
        <v>88</v>
      </c>
      <c r="BM34" s="1">
        <v>2.274575</v>
      </c>
      <c r="BN34" s="1">
        <v>0.38667774999999999</v>
      </c>
      <c r="BO34" s="1">
        <v>0</v>
      </c>
      <c r="BP34" s="1">
        <v>0.12737619999999999</v>
      </c>
      <c r="BQ34" s="1">
        <v>9.0983000000000001E-3</v>
      </c>
      <c r="BR34" s="1" t="s">
        <v>63</v>
      </c>
      <c r="BS34" s="1" t="s">
        <v>64</v>
      </c>
      <c r="BT34" s="1">
        <v>10.146174999999999</v>
      </c>
      <c r="BU34" s="1">
        <v>2.435082</v>
      </c>
      <c r="BV34" s="1">
        <v>0</v>
      </c>
      <c r="BW34" s="1">
        <v>0.20292350000000001</v>
      </c>
      <c r="BX34" s="1">
        <v>0.40584700000000001</v>
      </c>
      <c r="BY34" s="1" t="s">
        <v>65</v>
      </c>
      <c r="BZ34" t="s">
        <v>553</v>
      </c>
      <c r="CA34" s="1">
        <v>53.684418000000001</v>
      </c>
      <c r="CB34" s="1">
        <v>126.42680439</v>
      </c>
      <c r="CC34" s="1">
        <v>2.5231676460000001</v>
      </c>
      <c r="CD34" s="1">
        <v>22.386402306000001</v>
      </c>
      <c r="CE34" s="1">
        <v>2.8989585720000002</v>
      </c>
      <c r="CF34" s="1" t="s">
        <v>66</v>
      </c>
      <c r="CG34" t="s">
        <v>555</v>
      </c>
      <c r="CH34" s="1">
        <v>30.438528000000002</v>
      </c>
      <c r="CI34" s="1">
        <v>8.8271731199999994</v>
      </c>
      <c r="CJ34" s="1">
        <v>6.0877055999999999E-2</v>
      </c>
      <c r="CK34" s="1">
        <v>2.1306969599999999</v>
      </c>
      <c r="CL34" s="1">
        <v>0.39570086399999999</v>
      </c>
    </row>
    <row r="35" spans="1:139" ht="14.25" customHeight="1" x14ac:dyDescent="0.35">
      <c r="A35" s="1" t="s">
        <v>542</v>
      </c>
      <c r="B35" s="2">
        <f t="shared" si="0"/>
        <v>340.04437926200001</v>
      </c>
      <c r="C35" s="2">
        <f t="shared" si="1"/>
        <v>144.99999800000001</v>
      </c>
      <c r="D35" s="2">
        <f t="shared" si="2"/>
        <v>19.670203743999998</v>
      </c>
      <c r="E35" s="2">
        <f t="shared" si="3"/>
        <v>26.018733230000002</v>
      </c>
      <c r="F35" s="2">
        <f t="shared" si="4"/>
        <v>15.064222996</v>
      </c>
      <c r="G35" s="1" t="s">
        <v>13</v>
      </c>
      <c r="H35" s="1" t="s">
        <v>14</v>
      </c>
      <c r="I35" s="1">
        <v>10.146174999999999</v>
      </c>
      <c r="J35" s="1">
        <v>89.692187000000004</v>
      </c>
      <c r="K35" s="1">
        <v>10.146174999999999</v>
      </c>
      <c r="L35" s="1">
        <v>0</v>
      </c>
      <c r="M35" s="1">
        <v>0</v>
      </c>
      <c r="N35" s="1" t="s">
        <v>57</v>
      </c>
      <c r="O35" s="1" t="s">
        <v>58</v>
      </c>
      <c r="P35" s="1">
        <v>40.584702</v>
      </c>
      <c r="Q35" s="1">
        <v>112.663132752</v>
      </c>
      <c r="R35" s="1">
        <v>6.9399840419999999</v>
      </c>
      <c r="S35" s="1">
        <v>1.298710464</v>
      </c>
      <c r="T35" s="1">
        <v>11.36371656</v>
      </c>
      <c r="U35" s="1" t="s">
        <v>63</v>
      </c>
      <c r="V35" s="1" t="s">
        <v>64</v>
      </c>
      <c r="W35" s="1">
        <v>10.146174999999999</v>
      </c>
      <c r="X35" s="1">
        <v>2.435082</v>
      </c>
      <c r="Y35" s="1">
        <v>0</v>
      </c>
      <c r="Z35" s="1">
        <v>0.20292350000000001</v>
      </c>
      <c r="AA35" s="1">
        <v>0.40584700000000001</v>
      </c>
      <c r="AB35" s="1" t="s">
        <v>65</v>
      </c>
      <c r="AC35" t="s">
        <v>553</v>
      </c>
      <c r="AD35" s="1">
        <v>53.684418000000001</v>
      </c>
      <c r="AE35" s="1">
        <v>126.42680439</v>
      </c>
      <c r="AF35" s="1">
        <v>2.5231676460000001</v>
      </c>
      <c r="AG35" s="1">
        <v>22.386402306000001</v>
      </c>
      <c r="AH35" s="1">
        <v>2.8989585720000002</v>
      </c>
      <c r="AI35" s="1" t="s">
        <v>66</v>
      </c>
      <c r="AJ35" t="s">
        <v>555</v>
      </c>
      <c r="AK35" s="1">
        <v>30.438528000000002</v>
      </c>
      <c r="AL35" s="1">
        <v>8.8271731199999994</v>
      </c>
      <c r="AM35" s="1">
        <v>6.0877055999999999E-2</v>
      </c>
      <c r="AN35" s="1">
        <v>2.1306969599999999</v>
      </c>
      <c r="AO35" s="1">
        <v>0.39570086399999999</v>
      </c>
    </row>
    <row r="36" spans="1:139" ht="14.25" customHeight="1" x14ac:dyDescent="0.35">
      <c r="A36" s="1" t="s">
        <v>373</v>
      </c>
      <c r="B36" s="2">
        <f t="shared" si="0"/>
        <v>153.6</v>
      </c>
      <c r="C36" s="2">
        <f t="shared" si="1"/>
        <v>96</v>
      </c>
      <c r="D36" s="2">
        <f t="shared" si="2"/>
        <v>9.6</v>
      </c>
      <c r="E36" s="2">
        <f t="shared" si="3"/>
        <v>2.88</v>
      </c>
      <c r="F36" s="2">
        <f t="shared" si="4"/>
        <v>13.44</v>
      </c>
      <c r="G36" s="1" t="s">
        <v>219</v>
      </c>
      <c r="H36" s="1" t="s">
        <v>220</v>
      </c>
      <c r="I36" s="1">
        <v>96</v>
      </c>
      <c r="J36" s="1">
        <v>153.6</v>
      </c>
      <c r="K36" s="1">
        <v>9.6</v>
      </c>
      <c r="L36" s="1">
        <v>2.88</v>
      </c>
      <c r="M36" s="1">
        <v>13.44</v>
      </c>
    </row>
    <row r="37" spans="1:139" ht="14.25" customHeight="1" x14ac:dyDescent="0.35">
      <c r="A37" s="1" t="s">
        <v>221</v>
      </c>
      <c r="B37" s="2">
        <f t="shared" si="0"/>
        <v>234.65919113699999</v>
      </c>
      <c r="C37" s="2">
        <f t="shared" si="1"/>
        <v>190.000001</v>
      </c>
      <c r="D37" s="2">
        <f t="shared" si="2"/>
        <v>11.448371242</v>
      </c>
      <c r="E37" s="2">
        <f t="shared" si="3"/>
        <v>13.516670683000001</v>
      </c>
      <c r="F37" s="2">
        <f t="shared" si="4"/>
        <v>19.815256024</v>
      </c>
      <c r="G37" s="1" t="s">
        <v>222</v>
      </c>
      <c r="H37" s="1" t="s">
        <v>223</v>
      </c>
      <c r="I37" s="1">
        <v>5.6540090000000003</v>
      </c>
      <c r="J37" s="1">
        <v>6.27594999</v>
      </c>
      <c r="K37" s="1">
        <v>5.0886081E-2</v>
      </c>
      <c r="L37" s="1">
        <v>1.30042207</v>
      </c>
      <c r="M37" s="1">
        <v>0.14700423400000001</v>
      </c>
      <c r="N37" s="1" t="s">
        <v>47</v>
      </c>
      <c r="O37" s="1" t="s">
        <v>48</v>
      </c>
      <c r="P37" s="1">
        <v>52.624572999999998</v>
      </c>
      <c r="Q37" s="1">
        <v>18.418600550000001</v>
      </c>
      <c r="R37" s="1">
        <v>0.210498292</v>
      </c>
      <c r="S37" s="1">
        <v>3.6837201099999999</v>
      </c>
      <c r="T37" s="1">
        <v>1.262989752</v>
      </c>
      <c r="U37" s="1" t="s">
        <v>224</v>
      </c>
      <c r="V37" s="1" t="s">
        <v>225</v>
      </c>
      <c r="W37" s="1">
        <v>1.1308020000000001</v>
      </c>
      <c r="X37" s="1">
        <v>0.18092832</v>
      </c>
      <c r="Y37" s="1">
        <v>1.130802E-3</v>
      </c>
      <c r="Z37" s="1">
        <v>3.8447268E-2</v>
      </c>
      <c r="AA37" s="1">
        <v>7.9156139999999996E-3</v>
      </c>
      <c r="AB37" s="1" t="s">
        <v>77</v>
      </c>
      <c r="AC37" s="1" t="s">
        <v>78</v>
      </c>
      <c r="AD37" s="1">
        <v>0.14135</v>
      </c>
      <c r="AE37" s="1">
        <v>0.21061150000000001</v>
      </c>
      <c r="AF37" s="1">
        <v>7.0675000000000002E-4</v>
      </c>
      <c r="AG37" s="1">
        <v>4.6645499999999999E-2</v>
      </c>
      <c r="AH37" s="1">
        <v>9.0463999999999996E-3</v>
      </c>
      <c r="AI37" s="1" t="s">
        <v>166</v>
      </c>
      <c r="AJ37" s="1" t="s">
        <v>167</v>
      </c>
      <c r="AK37" s="1">
        <v>56.540084999999998</v>
      </c>
      <c r="AL37" s="1">
        <v>100.18903062</v>
      </c>
      <c r="AM37" s="1">
        <v>4.6928270550000004</v>
      </c>
      <c r="AN37" s="1">
        <v>0</v>
      </c>
      <c r="AO37" s="1">
        <v>13.513080315</v>
      </c>
      <c r="AP37" s="1" t="s">
        <v>13</v>
      </c>
      <c r="AQ37" s="1" t="s">
        <v>14</v>
      </c>
      <c r="AR37" s="1">
        <v>4.0711620000000002</v>
      </c>
      <c r="AS37" s="1">
        <v>35.98907208</v>
      </c>
      <c r="AT37" s="1">
        <v>4.0711620000000002</v>
      </c>
      <c r="AU37" s="1">
        <v>0</v>
      </c>
      <c r="AV37" s="1">
        <v>0</v>
      </c>
      <c r="AW37" s="1" t="s">
        <v>162</v>
      </c>
      <c r="AX37" s="1" t="s">
        <v>163</v>
      </c>
      <c r="AY37" s="1">
        <v>0.725109</v>
      </c>
      <c r="AZ37" s="1">
        <v>2.8641805499999999</v>
      </c>
      <c r="BA37" s="1">
        <v>3.6980559000000003E-2</v>
      </c>
      <c r="BB37" s="1">
        <v>0.517002717</v>
      </c>
      <c r="BC37" s="1">
        <v>9.5714387999999997E-2</v>
      </c>
      <c r="BD37" s="1" t="s">
        <v>147</v>
      </c>
      <c r="BE37" s="1" t="s">
        <v>148</v>
      </c>
      <c r="BF37" s="1">
        <v>0.56540100000000004</v>
      </c>
      <c r="BG37" s="1">
        <v>0</v>
      </c>
      <c r="BH37" s="1">
        <v>0</v>
      </c>
      <c r="BI37" s="1">
        <v>0</v>
      </c>
      <c r="BJ37" s="1">
        <v>0</v>
      </c>
      <c r="BK37" s="1" t="s">
        <v>57</v>
      </c>
      <c r="BL37" s="1" t="s">
        <v>58</v>
      </c>
      <c r="BM37" s="1">
        <v>10.076202</v>
      </c>
      <c r="BN37" s="1">
        <v>27.971536751999999</v>
      </c>
      <c r="BO37" s="1">
        <v>1.7230305420000001</v>
      </c>
      <c r="BP37" s="1">
        <v>0.32243846399999998</v>
      </c>
      <c r="BQ37" s="1">
        <v>2.8213365600000002</v>
      </c>
      <c r="BR37" s="1" t="s">
        <v>17</v>
      </c>
      <c r="BS37" s="1" t="s">
        <v>18</v>
      </c>
      <c r="BT37" s="1">
        <v>7.6476000000000002E-2</v>
      </c>
      <c r="BU37" s="1">
        <v>0</v>
      </c>
      <c r="BV37" s="1">
        <v>0</v>
      </c>
      <c r="BW37" s="1">
        <v>0</v>
      </c>
      <c r="BX37" s="1">
        <v>0</v>
      </c>
      <c r="BY37" s="1" t="s">
        <v>42</v>
      </c>
      <c r="BZ37" s="1" t="s">
        <v>43</v>
      </c>
      <c r="CA37" s="1">
        <v>0.65780700000000003</v>
      </c>
      <c r="CB37" s="1">
        <v>0.19076403</v>
      </c>
      <c r="CC37" s="1">
        <v>2.6312280000000002E-3</v>
      </c>
      <c r="CD37" s="1">
        <v>4.2757455E-2</v>
      </c>
      <c r="CE37" s="1">
        <v>5.9202630000000003E-3</v>
      </c>
      <c r="CF37" s="1" t="s">
        <v>226</v>
      </c>
      <c r="CG37" s="1" t="s">
        <v>227</v>
      </c>
      <c r="CH37" s="1">
        <v>32</v>
      </c>
      <c r="CI37" s="1">
        <v>7.36</v>
      </c>
      <c r="CJ37" s="1">
        <v>0</v>
      </c>
      <c r="CK37" s="1">
        <v>1.28</v>
      </c>
      <c r="CL37" s="1">
        <v>0.96</v>
      </c>
      <c r="CM37" s="1" t="s">
        <v>228</v>
      </c>
      <c r="CN37" s="1" t="s">
        <v>229</v>
      </c>
      <c r="CO37" s="1">
        <v>1.413502</v>
      </c>
      <c r="CP37" s="1">
        <v>0.35337550000000001</v>
      </c>
      <c r="CQ37" s="1">
        <v>9.8945140000000001E-3</v>
      </c>
      <c r="CR37" s="1">
        <v>5.2299574000000001E-2</v>
      </c>
      <c r="CS37" s="1">
        <v>3.6751051999999999E-2</v>
      </c>
      <c r="CT37" s="1" t="s">
        <v>230</v>
      </c>
      <c r="CU37" s="1" t="s">
        <v>231</v>
      </c>
      <c r="CV37" s="1">
        <v>0.28270000000000001</v>
      </c>
      <c r="CW37" s="1">
        <v>0.28552699999999998</v>
      </c>
      <c r="CX37" s="1">
        <v>4.8059000000000001E-3</v>
      </c>
      <c r="CY37" s="1">
        <v>6.7848000000000006E-2</v>
      </c>
      <c r="CZ37" s="1">
        <v>1.6962000000000001E-2</v>
      </c>
      <c r="DA37" s="1" t="s">
        <v>87</v>
      </c>
      <c r="DB37" s="1" t="s">
        <v>88</v>
      </c>
      <c r="DC37" s="1">
        <v>7.0675000000000002E-2</v>
      </c>
      <c r="DD37" s="1">
        <v>1.2014749999999999E-2</v>
      </c>
      <c r="DE37" s="1">
        <v>0</v>
      </c>
      <c r="DF37" s="1">
        <v>3.9578E-3</v>
      </c>
      <c r="DG37" s="1">
        <v>2.8269999999999999E-4</v>
      </c>
      <c r="DH37" s="1" t="s">
        <v>63</v>
      </c>
      <c r="DI37" s="1" t="s">
        <v>64</v>
      </c>
      <c r="DJ37" s="1">
        <v>2.8017509999999999</v>
      </c>
      <c r="DK37" s="1">
        <v>0.67242024</v>
      </c>
      <c r="DL37" s="1">
        <v>0</v>
      </c>
      <c r="DM37" s="1">
        <v>5.6035019999999998E-2</v>
      </c>
      <c r="DN37" s="1">
        <v>0.11207004</v>
      </c>
      <c r="DO37" s="1" t="s">
        <v>89</v>
      </c>
      <c r="DP37" s="1" t="s">
        <v>90</v>
      </c>
      <c r="DQ37" s="1">
        <v>0.28270000000000001</v>
      </c>
      <c r="DR37" s="1">
        <v>0.10488169999999999</v>
      </c>
      <c r="DS37" s="1">
        <v>2.2615999999999999E-3</v>
      </c>
      <c r="DT37" s="1">
        <v>1.8092799999999999E-2</v>
      </c>
      <c r="DU37" s="1">
        <v>8.1983000000000004E-3</v>
      </c>
      <c r="DV37" s="1" t="s">
        <v>65</v>
      </c>
      <c r="DW37" t="s">
        <v>553</v>
      </c>
      <c r="DX37" s="1">
        <v>13.328545</v>
      </c>
      <c r="DY37" s="1">
        <v>31.388723474999999</v>
      </c>
      <c r="DZ37" s="1">
        <v>0.62644161499999995</v>
      </c>
      <c r="EA37" s="1">
        <v>5.558003265</v>
      </c>
      <c r="EB37" s="1">
        <v>0.71974143000000002</v>
      </c>
      <c r="EC37" s="1" t="s">
        <v>66</v>
      </c>
      <c r="ED37" t="s">
        <v>555</v>
      </c>
      <c r="EE37" s="1">
        <v>7.5571520000000003</v>
      </c>
      <c r="EF37" s="1">
        <v>2.1915740800000001</v>
      </c>
      <c r="EG37" s="1">
        <v>1.5114304E-2</v>
      </c>
      <c r="EH37" s="1">
        <v>0.52900064000000002</v>
      </c>
      <c r="EI37" s="1">
        <v>9.8242975999999996E-2</v>
      </c>
    </row>
    <row r="38" spans="1:139" ht="14.25" customHeight="1" x14ac:dyDescent="0.35">
      <c r="A38" s="1" t="s">
        <v>412</v>
      </c>
      <c r="B38" s="2">
        <f t="shared" si="0"/>
        <v>227.29919113699998</v>
      </c>
      <c r="C38" s="2">
        <f t="shared" si="1"/>
        <v>158.000001</v>
      </c>
      <c r="D38" s="2">
        <f t="shared" si="2"/>
        <v>11.448371242</v>
      </c>
      <c r="E38" s="2">
        <f t="shared" si="3"/>
        <v>12.236670683</v>
      </c>
      <c r="F38" s="2">
        <f t="shared" si="4"/>
        <v>18.855256023999999</v>
      </c>
      <c r="G38" s="1" t="s">
        <v>222</v>
      </c>
      <c r="H38" s="1" t="s">
        <v>223</v>
      </c>
      <c r="I38" s="1">
        <v>5.6540090000000003</v>
      </c>
      <c r="J38" s="1">
        <v>6.27594999</v>
      </c>
      <c r="K38" s="1">
        <v>5.0886081E-2</v>
      </c>
      <c r="L38" s="1">
        <v>1.30042207</v>
      </c>
      <c r="M38" s="1">
        <v>0.14700423400000001</v>
      </c>
      <c r="N38" s="1" t="s">
        <v>47</v>
      </c>
      <c r="O38" s="1" t="s">
        <v>48</v>
      </c>
      <c r="P38" s="1">
        <v>52.624572999999998</v>
      </c>
      <c r="Q38" s="1">
        <v>18.418600550000001</v>
      </c>
      <c r="R38" s="1">
        <v>0.210498292</v>
      </c>
      <c r="S38" s="1">
        <v>3.6837201099999999</v>
      </c>
      <c r="T38" s="1">
        <v>1.262989752</v>
      </c>
      <c r="U38" s="1" t="s">
        <v>224</v>
      </c>
      <c r="V38" s="1" t="s">
        <v>225</v>
      </c>
      <c r="W38" s="1">
        <v>1.1308020000000001</v>
      </c>
      <c r="X38" s="1">
        <v>0.18092832</v>
      </c>
      <c r="Y38" s="1">
        <v>1.130802E-3</v>
      </c>
      <c r="Z38" s="1">
        <v>3.8447268E-2</v>
      </c>
      <c r="AA38" s="1">
        <v>7.9156139999999996E-3</v>
      </c>
      <c r="AB38" s="1" t="s">
        <v>77</v>
      </c>
      <c r="AC38" s="1" t="s">
        <v>78</v>
      </c>
      <c r="AD38" s="1">
        <v>0.14135</v>
      </c>
      <c r="AE38" s="1">
        <v>0.21061150000000001</v>
      </c>
      <c r="AF38" s="1">
        <v>7.0675000000000002E-4</v>
      </c>
      <c r="AG38" s="1">
        <v>4.6645499999999999E-2</v>
      </c>
      <c r="AH38" s="1">
        <v>9.0463999999999996E-3</v>
      </c>
      <c r="AI38" s="1" t="s">
        <v>166</v>
      </c>
      <c r="AJ38" s="1" t="s">
        <v>167</v>
      </c>
      <c r="AK38" s="1">
        <v>56.540084999999998</v>
      </c>
      <c r="AL38" s="1">
        <v>100.18903062</v>
      </c>
      <c r="AM38" s="1">
        <v>4.6928270550000004</v>
      </c>
      <c r="AN38" s="1">
        <v>0</v>
      </c>
      <c r="AO38" s="1">
        <v>13.513080315</v>
      </c>
      <c r="AP38" s="1" t="s">
        <v>13</v>
      </c>
      <c r="AQ38" s="1" t="s">
        <v>14</v>
      </c>
      <c r="AR38" s="1">
        <v>4.0711620000000002</v>
      </c>
      <c r="AS38" s="1">
        <v>35.98907208</v>
      </c>
      <c r="AT38" s="1">
        <v>4.0711620000000002</v>
      </c>
      <c r="AU38" s="1">
        <v>0</v>
      </c>
      <c r="AV38" s="1">
        <v>0</v>
      </c>
      <c r="AW38" s="1" t="s">
        <v>162</v>
      </c>
      <c r="AX38" s="1" t="s">
        <v>163</v>
      </c>
      <c r="AY38" s="1">
        <v>0.725109</v>
      </c>
      <c r="AZ38" s="1">
        <v>2.8641805499999999</v>
      </c>
      <c r="BA38" s="1">
        <v>3.6980559000000003E-2</v>
      </c>
      <c r="BB38" s="1">
        <v>0.517002717</v>
      </c>
      <c r="BC38" s="1">
        <v>9.5714387999999997E-2</v>
      </c>
      <c r="BD38" s="1" t="s">
        <v>147</v>
      </c>
      <c r="BE38" s="1" t="s">
        <v>148</v>
      </c>
      <c r="BF38" s="1">
        <v>0.56540100000000004</v>
      </c>
      <c r="BG38" s="1">
        <v>0</v>
      </c>
      <c r="BH38" s="1">
        <v>0</v>
      </c>
      <c r="BI38" s="1">
        <v>0</v>
      </c>
      <c r="BJ38" s="1">
        <v>0</v>
      </c>
      <c r="BK38" s="1" t="s">
        <v>57</v>
      </c>
      <c r="BL38" s="1" t="s">
        <v>58</v>
      </c>
      <c r="BM38" s="1">
        <v>10.076202</v>
      </c>
      <c r="BN38" s="1">
        <v>27.971536751999999</v>
      </c>
      <c r="BO38" s="1">
        <v>1.7230305420000001</v>
      </c>
      <c r="BP38" s="1">
        <v>0.32243846399999998</v>
      </c>
      <c r="BQ38" s="1">
        <v>2.8213365600000002</v>
      </c>
      <c r="BR38" s="1" t="s">
        <v>17</v>
      </c>
      <c r="BS38" s="1" t="s">
        <v>18</v>
      </c>
      <c r="BT38" s="1">
        <v>7.6476000000000002E-2</v>
      </c>
      <c r="BU38" s="1">
        <v>0</v>
      </c>
      <c r="BV38" s="1">
        <v>0</v>
      </c>
      <c r="BW38" s="1">
        <v>0</v>
      </c>
      <c r="BX38" s="1">
        <v>0</v>
      </c>
      <c r="BY38" s="1" t="s">
        <v>42</v>
      </c>
      <c r="BZ38" s="1" t="s">
        <v>43</v>
      </c>
      <c r="CA38" s="1">
        <v>0.65780700000000003</v>
      </c>
      <c r="CB38" s="1">
        <v>0.19076403</v>
      </c>
      <c r="CC38" s="1">
        <v>2.6312280000000002E-3</v>
      </c>
      <c r="CD38" s="1">
        <v>4.2757455E-2</v>
      </c>
      <c r="CE38" s="1">
        <v>5.9202630000000003E-3</v>
      </c>
      <c r="CF38" s="1" t="s">
        <v>228</v>
      </c>
      <c r="CG38" s="1" t="s">
        <v>229</v>
      </c>
      <c r="CH38" s="1">
        <v>1.413502</v>
      </c>
      <c r="CI38" s="1">
        <v>0.35337550000000001</v>
      </c>
      <c r="CJ38" s="1">
        <v>9.8945140000000001E-3</v>
      </c>
      <c r="CK38" s="1">
        <v>5.2299574000000001E-2</v>
      </c>
      <c r="CL38" s="1">
        <v>3.6751051999999999E-2</v>
      </c>
      <c r="CM38" s="1" t="s">
        <v>230</v>
      </c>
      <c r="CN38" s="1" t="s">
        <v>231</v>
      </c>
      <c r="CO38" s="1">
        <v>0.28270000000000001</v>
      </c>
      <c r="CP38" s="1">
        <v>0.28552699999999998</v>
      </c>
      <c r="CQ38" s="1">
        <v>4.8059000000000001E-3</v>
      </c>
      <c r="CR38" s="1">
        <v>6.7848000000000006E-2</v>
      </c>
      <c r="CS38" s="1">
        <v>1.6962000000000001E-2</v>
      </c>
      <c r="CT38" s="1" t="s">
        <v>87</v>
      </c>
      <c r="CU38" s="1" t="s">
        <v>88</v>
      </c>
      <c r="CV38" s="1">
        <v>7.0675000000000002E-2</v>
      </c>
      <c r="CW38" s="1">
        <v>1.2014749999999999E-2</v>
      </c>
      <c r="CX38" s="1">
        <v>0</v>
      </c>
      <c r="CY38" s="1">
        <v>3.9578E-3</v>
      </c>
      <c r="CZ38" s="1">
        <v>2.8269999999999999E-4</v>
      </c>
      <c r="DA38" s="1" t="s">
        <v>63</v>
      </c>
      <c r="DB38" s="1" t="s">
        <v>64</v>
      </c>
      <c r="DC38" s="1">
        <v>2.8017509999999999</v>
      </c>
      <c r="DD38" s="1">
        <v>0.67242024</v>
      </c>
      <c r="DE38" s="1">
        <v>0</v>
      </c>
      <c r="DF38" s="1">
        <v>5.6035019999999998E-2</v>
      </c>
      <c r="DG38" s="1">
        <v>0.11207004</v>
      </c>
      <c r="DH38" s="1" t="s">
        <v>89</v>
      </c>
      <c r="DI38" s="1" t="s">
        <v>90</v>
      </c>
      <c r="DJ38" s="1">
        <v>0.28270000000000001</v>
      </c>
      <c r="DK38" s="1">
        <v>0.10488169999999999</v>
      </c>
      <c r="DL38" s="1">
        <v>2.2615999999999999E-3</v>
      </c>
      <c r="DM38" s="1">
        <v>1.8092799999999999E-2</v>
      </c>
      <c r="DN38" s="1">
        <v>8.1983000000000004E-3</v>
      </c>
      <c r="DO38" s="1" t="s">
        <v>65</v>
      </c>
      <c r="DP38" t="s">
        <v>553</v>
      </c>
      <c r="DQ38" s="1">
        <v>13.328545</v>
      </c>
      <c r="DR38" s="1">
        <v>31.388723474999999</v>
      </c>
      <c r="DS38" s="1">
        <v>0.62644161499999995</v>
      </c>
      <c r="DT38" s="1">
        <v>5.558003265</v>
      </c>
      <c r="DU38" s="1">
        <v>0.71974143000000002</v>
      </c>
      <c r="DV38" s="1" t="s">
        <v>66</v>
      </c>
      <c r="DW38" t="s">
        <v>555</v>
      </c>
      <c r="DX38" s="1">
        <v>7.5571520000000003</v>
      </c>
      <c r="DY38" s="1">
        <v>2.1915740800000001</v>
      </c>
      <c r="DZ38" s="1">
        <v>1.5114304E-2</v>
      </c>
      <c r="EA38" s="1">
        <v>0.52900064000000002</v>
      </c>
      <c r="EB38" s="1">
        <v>9.8242975999999996E-2</v>
      </c>
    </row>
    <row r="39" spans="1:139" ht="14.25" customHeight="1" x14ac:dyDescent="0.35">
      <c r="A39" s="1" t="s">
        <v>325</v>
      </c>
      <c r="B39" s="2">
        <f t="shared" si="0"/>
        <v>114.62087891699998</v>
      </c>
      <c r="C39" s="2">
        <f t="shared" si="1"/>
        <v>91.000001000000026</v>
      </c>
      <c r="D39" s="2">
        <f t="shared" si="2"/>
        <v>6.1204575400000003</v>
      </c>
      <c r="E39" s="2">
        <f t="shared" si="3"/>
        <v>10.703303671</v>
      </c>
      <c r="F39" s="2">
        <f t="shared" si="4"/>
        <v>5.1047074090000004</v>
      </c>
      <c r="G39" s="1" t="s">
        <v>47</v>
      </c>
      <c r="H39" s="1" t="s">
        <v>48</v>
      </c>
      <c r="I39" s="1">
        <v>52.624572999999998</v>
      </c>
      <c r="J39" s="1">
        <v>18.418600550000001</v>
      </c>
      <c r="K39" s="1">
        <v>0.210498292</v>
      </c>
      <c r="L39" s="1">
        <v>3.6837201099999999</v>
      </c>
      <c r="M39" s="1">
        <v>1.262989752</v>
      </c>
      <c r="N39" s="1" t="s">
        <v>13</v>
      </c>
      <c r="O39" s="1" t="s">
        <v>14</v>
      </c>
      <c r="P39" s="1">
        <v>3.5057610000000001</v>
      </c>
      <c r="Q39" s="1">
        <v>30.990927240000001</v>
      </c>
      <c r="R39" s="1">
        <v>3.5057610000000001</v>
      </c>
      <c r="S39" s="1">
        <v>0</v>
      </c>
      <c r="T39" s="1">
        <v>0</v>
      </c>
      <c r="U39" s="1" t="s">
        <v>162</v>
      </c>
      <c r="V39" s="1" t="s">
        <v>163</v>
      </c>
      <c r="W39" s="1">
        <v>0.725109</v>
      </c>
      <c r="X39" s="1">
        <v>2.8641805499999999</v>
      </c>
      <c r="Y39" s="1">
        <v>3.6980559000000003E-2</v>
      </c>
      <c r="Z39" s="1">
        <v>0.517002717</v>
      </c>
      <c r="AA39" s="1">
        <v>9.5714387999999997E-2</v>
      </c>
      <c r="AB39" s="1" t="s">
        <v>57</v>
      </c>
      <c r="AC39" s="1" t="s">
        <v>58</v>
      </c>
      <c r="AD39" s="1">
        <v>10.076202</v>
      </c>
      <c r="AE39" s="1">
        <v>27.971536751999999</v>
      </c>
      <c r="AF39" s="1">
        <v>1.7230305420000001</v>
      </c>
      <c r="AG39" s="1">
        <v>0.32243846399999998</v>
      </c>
      <c r="AH39" s="1">
        <v>2.8213365600000002</v>
      </c>
      <c r="AI39" s="1" t="s">
        <v>17</v>
      </c>
      <c r="AJ39" s="1" t="s">
        <v>18</v>
      </c>
      <c r="AK39" s="1">
        <v>5.8009999999999997E-3</v>
      </c>
      <c r="AL39" s="1">
        <v>0</v>
      </c>
      <c r="AM39" s="1">
        <v>0</v>
      </c>
      <c r="AN39" s="1">
        <v>0</v>
      </c>
      <c r="AO39" s="1">
        <v>0</v>
      </c>
      <c r="AP39" s="1" t="s">
        <v>42</v>
      </c>
      <c r="AQ39" s="1" t="s">
        <v>43</v>
      </c>
      <c r="AR39" s="1">
        <v>0.65780700000000003</v>
      </c>
      <c r="AS39" s="1">
        <v>0.19076403</v>
      </c>
      <c r="AT39" s="1">
        <v>2.6312280000000002E-3</v>
      </c>
      <c r="AU39" s="1">
        <v>4.2757455E-2</v>
      </c>
      <c r="AV39" s="1">
        <v>5.9202630000000003E-3</v>
      </c>
      <c r="AW39" s="1" t="s">
        <v>63</v>
      </c>
      <c r="AX39" s="1" t="s">
        <v>64</v>
      </c>
      <c r="AY39" s="1">
        <v>2.5190510000000002</v>
      </c>
      <c r="AZ39" s="1">
        <v>0.60457223999999998</v>
      </c>
      <c r="BA39" s="1">
        <v>0</v>
      </c>
      <c r="BB39" s="1">
        <v>5.0381019999999999E-2</v>
      </c>
      <c r="BC39" s="1">
        <v>0.10076204</v>
      </c>
      <c r="BD39" s="1" t="s">
        <v>65</v>
      </c>
      <c r="BE39" t="s">
        <v>553</v>
      </c>
      <c r="BF39" s="1">
        <v>13.328545</v>
      </c>
      <c r="BG39" s="1">
        <v>31.388723474999999</v>
      </c>
      <c r="BH39" s="1">
        <v>0.62644161499999995</v>
      </c>
      <c r="BI39" s="1">
        <v>5.558003265</v>
      </c>
      <c r="BJ39" s="1">
        <v>0.71974143000000002</v>
      </c>
      <c r="BK39" s="1" t="s">
        <v>66</v>
      </c>
      <c r="BL39" t="s">
        <v>555</v>
      </c>
      <c r="BM39" s="1">
        <v>7.5571520000000003</v>
      </c>
      <c r="BN39" s="1">
        <v>2.1915740800000001</v>
      </c>
      <c r="BO39" s="1">
        <v>1.5114304E-2</v>
      </c>
      <c r="BP39" s="1">
        <v>0.52900064000000002</v>
      </c>
      <c r="BQ39" s="1">
        <v>9.8242975999999996E-2</v>
      </c>
    </row>
    <row r="40" spans="1:139" ht="14.25" customHeight="1" x14ac:dyDescent="0.35">
      <c r="A40" s="1" t="s">
        <v>426</v>
      </c>
      <c r="B40" s="2">
        <f t="shared" si="0"/>
        <v>30.196070370000001</v>
      </c>
      <c r="C40" s="2">
        <f t="shared" si="1"/>
        <v>55.000000999999997</v>
      </c>
      <c r="D40" s="2">
        <f t="shared" si="2"/>
        <v>1.236821079</v>
      </c>
      <c r="E40" s="2">
        <f t="shared" si="3"/>
        <v>4.2434802820000002</v>
      </c>
      <c r="F40" s="2">
        <f t="shared" si="4"/>
        <v>1.3646244029999999</v>
      </c>
      <c r="G40" s="1" t="s">
        <v>47</v>
      </c>
      <c r="H40" s="1" t="s">
        <v>48</v>
      </c>
      <c r="I40" s="1">
        <v>52.624572999999998</v>
      </c>
      <c r="J40" s="1">
        <v>18.418600550000001</v>
      </c>
      <c r="K40" s="1">
        <v>0.210498292</v>
      </c>
      <c r="L40" s="1">
        <v>3.6837201099999999</v>
      </c>
      <c r="M40" s="1">
        <v>1.262989752</v>
      </c>
      <c r="N40" s="1" t="s">
        <v>13</v>
      </c>
      <c r="O40" s="1" t="s">
        <v>14</v>
      </c>
      <c r="P40" s="1">
        <v>0.986711</v>
      </c>
      <c r="Q40" s="1">
        <v>8.7225252399999995</v>
      </c>
      <c r="R40" s="1">
        <v>0.986711</v>
      </c>
      <c r="S40" s="1">
        <v>0</v>
      </c>
      <c r="T40" s="1">
        <v>0</v>
      </c>
      <c r="U40" s="1" t="s">
        <v>162</v>
      </c>
      <c r="V40" s="1" t="s">
        <v>163</v>
      </c>
      <c r="W40" s="1">
        <v>0.725109</v>
      </c>
      <c r="X40" s="1">
        <v>2.8641805499999999</v>
      </c>
      <c r="Y40" s="1">
        <v>3.6980559000000003E-2</v>
      </c>
      <c r="Z40" s="1">
        <v>0.517002717</v>
      </c>
      <c r="AA40" s="1">
        <v>9.5714387999999997E-2</v>
      </c>
      <c r="AB40" s="1" t="s">
        <v>17</v>
      </c>
      <c r="AC40" s="1" t="s">
        <v>18</v>
      </c>
      <c r="AD40" s="1">
        <v>5.8009999999999997E-3</v>
      </c>
      <c r="AE40" s="1">
        <v>0</v>
      </c>
      <c r="AF40" s="1">
        <v>0</v>
      </c>
      <c r="AG40" s="1">
        <v>0</v>
      </c>
      <c r="AH40" s="1">
        <v>0</v>
      </c>
      <c r="AI40" s="1" t="s">
        <v>42</v>
      </c>
      <c r="AJ40" s="1" t="s">
        <v>43</v>
      </c>
      <c r="AK40" s="1">
        <v>0.65780700000000003</v>
      </c>
      <c r="AL40" s="1">
        <v>0.19076403</v>
      </c>
      <c r="AM40" s="1">
        <v>2.6312280000000002E-3</v>
      </c>
      <c r="AN40" s="1">
        <v>4.2757455E-2</v>
      </c>
      <c r="AO40" s="1">
        <v>5.9202630000000003E-3</v>
      </c>
    </row>
    <row r="41" spans="1:139" ht="14.25" customHeight="1" x14ac:dyDescent="0.35">
      <c r="A41" s="1" t="s">
        <v>73</v>
      </c>
      <c r="B41" s="2">
        <f t="shared" si="0"/>
        <v>625.91</v>
      </c>
      <c r="C41" s="2">
        <f t="shared" si="1"/>
        <v>161</v>
      </c>
      <c r="D41" s="2">
        <f t="shared" si="2"/>
        <v>44.819999999999993</v>
      </c>
      <c r="E41" s="2">
        <f t="shared" si="3"/>
        <v>37.137999999999998</v>
      </c>
      <c r="F41" s="2">
        <f t="shared" si="4"/>
        <v>20.353999999999999</v>
      </c>
      <c r="G41" s="1" t="s">
        <v>69</v>
      </c>
      <c r="H41" s="1" t="s">
        <v>70</v>
      </c>
      <c r="I41" s="1">
        <v>47</v>
      </c>
      <c r="J41" s="1">
        <v>254.27</v>
      </c>
      <c r="K41" s="1">
        <v>19.739999999999998</v>
      </c>
      <c r="L41" s="1">
        <v>0.65800000000000003</v>
      </c>
      <c r="M41" s="1">
        <v>17.39</v>
      </c>
      <c r="N41" s="1" t="s">
        <v>33</v>
      </c>
      <c r="O41" s="1" t="s">
        <v>34</v>
      </c>
      <c r="P41" s="1">
        <v>114</v>
      </c>
      <c r="Q41" s="1">
        <v>371.64</v>
      </c>
      <c r="R41" s="1">
        <v>25.08</v>
      </c>
      <c r="S41" s="1">
        <v>36.479999999999997</v>
      </c>
      <c r="T41" s="1">
        <v>2.964</v>
      </c>
    </row>
    <row r="42" spans="1:139" ht="14.25" customHeight="1" x14ac:dyDescent="0.35">
      <c r="A42" s="1" t="s">
        <v>530</v>
      </c>
      <c r="B42" s="2">
        <f t="shared" si="0"/>
        <v>371.64</v>
      </c>
      <c r="C42" s="2">
        <f t="shared" si="1"/>
        <v>114</v>
      </c>
      <c r="D42" s="2">
        <f t="shared" si="2"/>
        <v>25.08</v>
      </c>
      <c r="E42" s="2">
        <f t="shared" si="3"/>
        <v>36.479999999999997</v>
      </c>
      <c r="F42" s="2">
        <f t="shared" si="4"/>
        <v>2.964</v>
      </c>
      <c r="G42" s="1" t="s">
        <v>33</v>
      </c>
      <c r="H42" s="1" t="s">
        <v>34</v>
      </c>
      <c r="I42" s="1">
        <v>114</v>
      </c>
      <c r="J42" s="1">
        <v>371.64</v>
      </c>
      <c r="K42" s="1">
        <v>25.08</v>
      </c>
      <c r="L42" s="1">
        <v>36.479999999999997</v>
      </c>
      <c r="M42" s="1">
        <v>2.964</v>
      </c>
    </row>
    <row r="43" spans="1:139" ht="14.25" customHeight="1" x14ac:dyDescent="0.35">
      <c r="A43" s="1" t="s">
        <v>138</v>
      </c>
      <c r="B43" s="2">
        <f t="shared" si="0"/>
        <v>321.30287721400003</v>
      </c>
      <c r="C43" s="2">
        <f t="shared" si="1"/>
        <v>192.00000200000002</v>
      </c>
      <c r="D43" s="2">
        <f t="shared" si="2"/>
        <v>17.076414246999999</v>
      </c>
      <c r="E43" s="2">
        <f t="shared" si="3"/>
        <v>7.6355072679999996</v>
      </c>
      <c r="F43" s="2">
        <f t="shared" si="4"/>
        <v>32.217227493000003</v>
      </c>
      <c r="G43" s="1" t="s">
        <v>139</v>
      </c>
      <c r="H43" s="1" t="s">
        <v>140</v>
      </c>
      <c r="I43" s="1">
        <v>21</v>
      </c>
      <c r="J43" s="1">
        <v>2.1</v>
      </c>
      <c r="K43" s="1">
        <v>0</v>
      </c>
      <c r="L43" s="1">
        <v>0.42</v>
      </c>
      <c r="M43" s="1">
        <v>0.21</v>
      </c>
      <c r="N43" s="1" t="s">
        <v>126</v>
      </c>
      <c r="O43" s="1" t="s">
        <v>127</v>
      </c>
      <c r="P43" s="1">
        <v>2.275223</v>
      </c>
      <c r="Q43" s="1">
        <v>0.36403567999999997</v>
      </c>
      <c r="R43" s="1">
        <v>4.5504459999999997E-3</v>
      </c>
      <c r="S43" s="1">
        <v>7.7357581999999994E-2</v>
      </c>
      <c r="T43" s="1">
        <v>1.5926560999999999E-2</v>
      </c>
      <c r="U43" s="1" t="s">
        <v>141</v>
      </c>
      <c r="V43" s="1" t="s">
        <v>142</v>
      </c>
      <c r="W43" s="1">
        <v>2.275223</v>
      </c>
      <c r="X43" s="1">
        <v>0.93284142999999997</v>
      </c>
      <c r="Y43" s="1">
        <v>4.5504459999999997E-3</v>
      </c>
      <c r="Z43" s="1">
        <v>0.22752230000000001</v>
      </c>
      <c r="AA43" s="1">
        <v>2.0477006999999998E-2</v>
      </c>
      <c r="AB43" s="1" t="s">
        <v>95</v>
      </c>
      <c r="AC43" s="1" t="s">
        <v>96</v>
      </c>
      <c r="AD43" s="1">
        <v>2.275223</v>
      </c>
      <c r="AE43" s="1">
        <v>0.91008920000000004</v>
      </c>
      <c r="AF43" s="1">
        <v>2.2752229999999998E-3</v>
      </c>
      <c r="AG43" s="1">
        <v>0.20477007</v>
      </c>
      <c r="AH43" s="1">
        <v>2.5027453000000002E-2</v>
      </c>
      <c r="AI43" s="1" t="s">
        <v>143</v>
      </c>
      <c r="AJ43" s="1" t="s">
        <v>144</v>
      </c>
      <c r="AK43" s="1">
        <v>24</v>
      </c>
      <c r="AL43" s="1">
        <v>19.440000000000001</v>
      </c>
      <c r="AM43" s="1">
        <v>9.6000000000000002E-2</v>
      </c>
      <c r="AN43" s="1">
        <v>3.36</v>
      </c>
      <c r="AO43" s="1">
        <v>1.2</v>
      </c>
      <c r="AP43" s="1" t="s">
        <v>145</v>
      </c>
      <c r="AQ43" s="1" t="s">
        <v>146</v>
      </c>
      <c r="AR43" s="1">
        <v>18.201782000000001</v>
      </c>
      <c r="AS43" s="1">
        <v>8.4092232839999994</v>
      </c>
      <c r="AT43" s="1">
        <v>1.8201782E-2</v>
      </c>
      <c r="AU43" s="1">
        <v>2.0568013660000002</v>
      </c>
      <c r="AV43" s="1">
        <v>1.8201782E-2</v>
      </c>
      <c r="AW43" s="1" t="s">
        <v>147</v>
      </c>
      <c r="AX43" s="1" t="s">
        <v>148</v>
      </c>
      <c r="AY43" s="1">
        <v>1.153254</v>
      </c>
      <c r="AZ43" s="1">
        <v>0</v>
      </c>
      <c r="BA43" s="1">
        <v>0</v>
      </c>
      <c r="BB43" s="1">
        <v>0</v>
      </c>
      <c r="BC43" s="1">
        <v>0</v>
      </c>
      <c r="BD43" s="1" t="s">
        <v>149</v>
      </c>
      <c r="BE43" s="1" t="s">
        <v>150</v>
      </c>
      <c r="BF43" s="1">
        <v>6.9678699999999996</v>
      </c>
      <c r="BG43" s="1">
        <v>18.395176800000002</v>
      </c>
      <c r="BH43" s="1">
        <v>1.0242768900000001</v>
      </c>
      <c r="BI43" s="1">
        <v>1.2890559500000001</v>
      </c>
      <c r="BJ43" s="1">
        <v>1.1496985500000001</v>
      </c>
      <c r="BK43" s="1" t="s">
        <v>17</v>
      </c>
      <c r="BL43" s="1" t="s">
        <v>18</v>
      </c>
      <c r="BM43" s="1">
        <v>9.0287999999999993E-2</v>
      </c>
      <c r="BN43" s="1">
        <v>0</v>
      </c>
      <c r="BO43" s="1">
        <v>0</v>
      </c>
      <c r="BP43" s="1">
        <v>0</v>
      </c>
      <c r="BQ43" s="1">
        <v>0</v>
      </c>
      <c r="BR43" s="1" t="s">
        <v>151</v>
      </c>
      <c r="BS43" s="1" t="s">
        <v>152</v>
      </c>
      <c r="BT43" s="1">
        <v>113.761139</v>
      </c>
      <c r="BU43" s="1">
        <v>270.75151082000002</v>
      </c>
      <c r="BV43" s="1">
        <v>15.92655946</v>
      </c>
      <c r="BW43" s="1">
        <v>0</v>
      </c>
      <c r="BX43" s="1">
        <v>29.57789614</v>
      </c>
    </row>
    <row r="44" spans="1:139" ht="14.25" customHeight="1" x14ac:dyDescent="0.35">
      <c r="A44" s="1" t="s">
        <v>547</v>
      </c>
      <c r="B44" s="2">
        <f t="shared" si="0"/>
        <v>301.86287721400004</v>
      </c>
      <c r="C44" s="2">
        <f t="shared" si="1"/>
        <v>168.00000199999999</v>
      </c>
      <c r="D44" s="2">
        <f t="shared" si="2"/>
        <v>16.980414246999999</v>
      </c>
      <c r="E44" s="2">
        <f t="shared" si="3"/>
        <v>4.2755072680000001</v>
      </c>
      <c r="F44" s="2">
        <f t="shared" si="4"/>
        <v>31.017227493</v>
      </c>
      <c r="G44" s="1" t="s">
        <v>139</v>
      </c>
      <c r="H44" s="1" t="s">
        <v>140</v>
      </c>
      <c r="I44" s="1">
        <v>21</v>
      </c>
      <c r="J44" s="1">
        <v>2.1</v>
      </c>
      <c r="K44" s="1">
        <v>0</v>
      </c>
      <c r="L44" s="1">
        <v>0.42</v>
      </c>
      <c r="M44" s="1">
        <v>0.21</v>
      </c>
      <c r="N44" s="1" t="s">
        <v>126</v>
      </c>
      <c r="O44" s="1" t="s">
        <v>127</v>
      </c>
      <c r="P44" s="1">
        <v>2.275223</v>
      </c>
      <c r="Q44" s="1">
        <v>0.36403567999999997</v>
      </c>
      <c r="R44" s="1">
        <v>4.5504459999999997E-3</v>
      </c>
      <c r="S44" s="1">
        <v>7.7357581999999994E-2</v>
      </c>
      <c r="T44" s="1">
        <v>1.5926560999999999E-2</v>
      </c>
      <c r="U44" s="1" t="s">
        <v>141</v>
      </c>
      <c r="V44" s="1" t="s">
        <v>142</v>
      </c>
      <c r="W44" s="1">
        <v>2.275223</v>
      </c>
      <c r="X44" s="1">
        <v>0.93284142999999997</v>
      </c>
      <c r="Y44" s="1">
        <v>4.5504459999999997E-3</v>
      </c>
      <c r="Z44" s="1">
        <v>0.22752230000000001</v>
      </c>
      <c r="AA44" s="1">
        <v>2.0477006999999998E-2</v>
      </c>
      <c r="AB44" s="1" t="s">
        <v>95</v>
      </c>
      <c r="AC44" s="1" t="s">
        <v>96</v>
      </c>
      <c r="AD44" s="1">
        <v>2.275223</v>
      </c>
      <c r="AE44" s="1">
        <v>0.91008920000000004</v>
      </c>
      <c r="AF44" s="1">
        <v>2.2752229999999998E-3</v>
      </c>
      <c r="AG44" s="1">
        <v>0.20477007</v>
      </c>
      <c r="AH44" s="1">
        <v>2.5027453000000002E-2</v>
      </c>
      <c r="AI44" s="1" t="s">
        <v>145</v>
      </c>
      <c r="AJ44" s="1" t="s">
        <v>146</v>
      </c>
      <c r="AK44" s="1">
        <v>18.201782000000001</v>
      </c>
      <c r="AL44" s="1">
        <v>8.4092232839999994</v>
      </c>
      <c r="AM44" s="1">
        <v>1.8201782E-2</v>
      </c>
      <c r="AN44" s="1">
        <v>2.0568013660000002</v>
      </c>
      <c r="AO44" s="1">
        <v>1.8201782E-2</v>
      </c>
      <c r="AP44" s="1" t="s">
        <v>147</v>
      </c>
      <c r="AQ44" s="1" t="s">
        <v>148</v>
      </c>
      <c r="AR44" s="1">
        <v>1.153254</v>
      </c>
      <c r="AS44" s="1">
        <v>0</v>
      </c>
      <c r="AT44" s="1">
        <v>0</v>
      </c>
      <c r="AU44" s="1">
        <v>0</v>
      </c>
      <c r="AV44" s="1">
        <v>0</v>
      </c>
      <c r="AW44" s="1" t="s">
        <v>149</v>
      </c>
      <c r="AX44" s="1" t="s">
        <v>150</v>
      </c>
      <c r="AY44" s="1">
        <v>6.9678699999999996</v>
      </c>
      <c r="AZ44" s="1">
        <v>18.395176800000002</v>
      </c>
      <c r="BA44" s="1">
        <v>1.0242768900000001</v>
      </c>
      <c r="BB44" s="1">
        <v>1.2890559500000001</v>
      </c>
      <c r="BC44" s="1">
        <v>1.1496985500000001</v>
      </c>
      <c r="BD44" s="1" t="s">
        <v>17</v>
      </c>
      <c r="BE44" s="1" t="s">
        <v>18</v>
      </c>
      <c r="BF44" s="1">
        <v>9.0287999999999993E-2</v>
      </c>
      <c r="BG44" s="1">
        <v>0</v>
      </c>
      <c r="BH44" s="1">
        <v>0</v>
      </c>
      <c r="BI44" s="1">
        <v>0</v>
      </c>
      <c r="BJ44" s="1">
        <v>0</v>
      </c>
      <c r="BK44" s="1" t="s">
        <v>151</v>
      </c>
      <c r="BL44" s="1" t="s">
        <v>152</v>
      </c>
      <c r="BM44" s="1">
        <v>113.761139</v>
      </c>
      <c r="BN44" s="1">
        <v>270.75151082000002</v>
      </c>
      <c r="BO44" s="1">
        <v>15.92655946</v>
      </c>
      <c r="BP44" s="1">
        <v>0</v>
      </c>
      <c r="BQ44" s="1">
        <v>29.57789614</v>
      </c>
    </row>
    <row r="45" spans="1:139" ht="14.25" customHeight="1" x14ac:dyDescent="0.35">
      <c r="A45" s="1" t="s">
        <v>327</v>
      </c>
      <c r="B45" s="2">
        <f t="shared" si="0"/>
        <v>299.76287721400001</v>
      </c>
      <c r="C45" s="2">
        <f t="shared" si="1"/>
        <v>147.00000199999999</v>
      </c>
      <c r="D45" s="2">
        <f t="shared" si="2"/>
        <v>16.980414246999999</v>
      </c>
      <c r="E45" s="2">
        <f t="shared" si="3"/>
        <v>3.8555072680000002</v>
      </c>
      <c r="F45" s="2">
        <f t="shared" si="4"/>
        <v>30.807227492999999</v>
      </c>
      <c r="G45" s="1" t="s">
        <v>126</v>
      </c>
      <c r="H45" s="1" t="s">
        <v>127</v>
      </c>
      <c r="I45" s="1">
        <v>2.275223</v>
      </c>
      <c r="J45" s="1">
        <v>0.36403567999999997</v>
      </c>
      <c r="K45" s="1">
        <v>4.5504459999999997E-3</v>
      </c>
      <c r="L45" s="1">
        <v>7.7357581999999994E-2</v>
      </c>
      <c r="M45" s="1">
        <v>1.5926560999999999E-2</v>
      </c>
      <c r="N45" s="1" t="s">
        <v>141</v>
      </c>
      <c r="O45" s="1" t="s">
        <v>142</v>
      </c>
      <c r="P45" s="1">
        <v>2.275223</v>
      </c>
      <c r="Q45" s="1">
        <v>0.93284142999999997</v>
      </c>
      <c r="R45" s="1">
        <v>4.5504459999999997E-3</v>
      </c>
      <c r="S45" s="1">
        <v>0.22752230000000001</v>
      </c>
      <c r="T45" s="1">
        <v>2.0477006999999998E-2</v>
      </c>
      <c r="U45" s="1" t="s">
        <v>95</v>
      </c>
      <c r="V45" s="1" t="s">
        <v>96</v>
      </c>
      <c r="W45" s="1">
        <v>2.275223</v>
      </c>
      <c r="X45" s="1">
        <v>0.91008920000000004</v>
      </c>
      <c r="Y45" s="1">
        <v>2.2752229999999998E-3</v>
      </c>
      <c r="Z45" s="1">
        <v>0.20477007</v>
      </c>
      <c r="AA45" s="1">
        <v>2.5027453000000002E-2</v>
      </c>
      <c r="AB45" s="1" t="s">
        <v>145</v>
      </c>
      <c r="AC45" s="1" t="s">
        <v>146</v>
      </c>
      <c r="AD45" s="1">
        <v>18.201782000000001</v>
      </c>
      <c r="AE45" s="1">
        <v>8.4092232839999994</v>
      </c>
      <c r="AF45" s="1">
        <v>1.8201782E-2</v>
      </c>
      <c r="AG45" s="1">
        <v>2.0568013660000002</v>
      </c>
      <c r="AH45" s="1">
        <v>1.8201782E-2</v>
      </c>
      <c r="AI45" s="1" t="s">
        <v>147</v>
      </c>
      <c r="AJ45" s="1" t="s">
        <v>148</v>
      </c>
      <c r="AK45" s="1">
        <v>1.153254</v>
      </c>
      <c r="AL45" s="1">
        <v>0</v>
      </c>
      <c r="AM45" s="1">
        <v>0</v>
      </c>
      <c r="AN45" s="1">
        <v>0</v>
      </c>
      <c r="AO45" s="1">
        <v>0</v>
      </c>
      <c r="AP45" s="1" t="s">
        <v>149</v>
      </c>
      <c r="AQ45" s="1" t="s">
        <v>150</v>
      </c>
      <c r="AR45" s="1">
        <v>6.9678699999999996</v>
      </c>
      <c r="AS45" s="1">
        <v>18.395176800000002</v>
      </c>
      <c r="AT45" s="1">
        <v>1.0242768900000001</v>
      </c>
      <c r="AU45" s="1">
        <v>1.2890559500000001</v>
      </c>
      <c r="AV45" s="1">
        <v>1.1496985500000001</v>
      </c>
      <c r="AW45" s="1" t="s">
        <v>17</v>
      </c>
      <c r="AX45" s="1" t="s">
        <v>18</v>
      </c>
      <c r="AY45" s="1">
        <v>9.0287999999999993E-2</v>
      </c>
      <c r="AZ45" s="1">
        <v>0</v>
      </c>
      <c r="BA45" s="1">
        <v>0</v>
      </c>
      <c r="BB45" s="1">
        <v>0</v>
      </c>
      <c r="BC45" s="1">
        <v>0</v>
      </c>
      <c r="BD45" s="1" t="s">
        <v>151</v>
      </c>
      <c r="BE45" s="1" t="s">
        <v>152</v>
      </c>
      <c r="BF45" s="1">
        <v>113.761139</v>
      </c>
      <c r="BG45" s="1">
        <v>270.75151082000002</v>
      </c>
      <c r="BH45" s="1">
        <v>15.92655946</v>
      </c>
      <c r="BI45" s="1">
        <v>0</v>
      </c>
      <c r="BJ45" s="1">
        <v>29.57789614</v>
      </c>
    </row>
    <row r="46" spans="1:139" ht="14.25" customHeight="1" x14ac:dyDescent="0.35">
      <c r="A46" s="1" t="s">
        <v>270</v>
      </c>
      <c r="B46" s="2">
        <f t="shared" si="0"/>
        <v>207.63000000000002</v>
      </c>
      <c r="C46" s="2">
        <f t="shared" si="1"/>
        <v>162</v>
      </c>
      <c r="D46" s="2">
        <f t="shared" si="2"/>
        <v>14.904</v>
      </c>
      <c r="E46" s="2">
        <f t="shared" si="3"/>
        <v>3.9420000000000002</v>
      </c>
      <c r="F46" s="2">
        <f t="shared" si="4"/>
        <v>13.904999999999999</v>
      </c>
      <c r="G46" s="1" t="s">
        <v>30</v>
      </c>
      <c r="H46" s="1" t="s">
        <v>31</v>
      </c>
      <c r="I46" s="1">
        <v>135</v>
      </c>
      <c r="J46" s="1">
        <v>199.8</v>
      </c>
      <c r="K46" s="1">
        <v>14.85</v>
      </c>
      <c r="L46" s="1">
        <v>2.16</v>
      </c>
      <c r="M46" s="1">
        <v>13.5</v>
      </c>
      <c r="N46" s="1" t="s">
        <v>37</v>
      </c>
      <c r="O46" s="1" t="s">
        <v>38</v>
      </c>
      <c r="P46" s="1">
        <v>27</v>
      </c>
      <c r="Q46" s="1">
        <v>7.83</v>
      </c>
      <c r="R46" s="1">
        <v>5.3999999999999999E-2</v>
      </c>
      <c r="S46" s="1">
        <v>1.782</v>
      </c>
      <c r="T46" s="1">
        <v>0.40500000000000003</v>
      </c>
    </row>
    <row r="47" spans="1:139" ht="14.25" customHeight="1" x14ac:dyDescent="0.35">
      <c r="A47" s="1" t="s">
        <v>502</v>
      </c>
      <c r="B47" s="2">
        <f t="shared" si="0"/>
        <v>94.163960529999997</v>
      </c>
      <c r="C47" s="2">
        <f t="shared" si="1"/>
        <v>91.000000999999997</v>
      </c>
      <c r="D47" s="2">
        <f t="shared" si="2"/>
        <v>2.0963909859999998</v>
      </c>
      <c r="E47" s="2">
        <f t="shared" si="3"/>
        <v>16.272545496999999</v>
      </c>
      <c r="F47" s="2">
        <f t="shared" si="4"/>
        <v>3.2910928560000001</v>
      </c>
      <c r="G47" s="1" t="s">
        <v>414</v>
      </c>
      <c r="H47" s="1" t="s">
        <v>415</v>
      </c>
      <c r="I47" s="1">
        <v>14.304625</v>
      </c>
      <c r="J47" s="1">
        <v>12.731116249999999</v>
      </c>
      <c r="K47" s="1">
        <v>4.2913874999999997E-2</v>
      </c>
      <c r="L47" s="1">
        <v>3.2900637499999998</v>
      </c>
      <c r="M47" s="1">
        <v>0.157350875</v>
      </c>
      <c r="N47" s="1" t="s">
        <v>503</v>
      </c>
      <c r="O47" s="1" t="s">
        <v>504</v>
      </c>
      <c r="P47" s="1">
        <v>15.980589</v>
      </c>
      <c r="Q47" s="1">
        <v>62.164491210000001</v>
      </c>
      <c r="R47" s="1">
        <v>1.1026606409999999</v>
      </c>
      <c r="S47" s="1">
        <v>10.595130507</v>
      </c>
      <c r="T47" s="1">
        <v>2.7007195409999998</v>
      </c>
      <c r="U47" s="1" t="s">
        <v>505</v>
      </c>
      <c r="V47" s="1" t="s">
        <v>506</v>
      </c>
      <c r="W47" s="1">
        <v>59.569225000000003</v>
      </c>
      <c r="X47" s="1">
        <v>13.700921749999999</v>
      </c>
      <c r="Y47" s="1">
        <v>0.59569225000000003</v>
      </c>
      <c r="Z47" s="1">
        <v>1.9062152000000001</v>
      </c>
      <c r="AA47" s="1">
        <v>0.23827690000000001</v>
      </c>
      <c r="AB47" s="1" t="s">
        <v>189</v>
      </c>
      <c r="AC47" s="1" t="s">
        <v>190</v>
      </c>
      <c r="AD47" s="1">
        <v>1.145562</v>
      </c>
      <c r="AE47" s="1">
        <v>5.5674313199999999</v>
      </c>
      <c r="AF47" s="1">
        <v>0.35512421999999999</v>
      </c>
      <c r="AG47" s="1">
        <v>0.48113603999999999</v>
      </c>
      <c r="AH47" s="1">
        <v>0.19474553999999999</v>
      </c>
    </row>
    <row r="48" spans="1:139" ht="14.25" customHeight="1" x14ac:dyDescent="0.35">
      <c r="A48" s="1" t="s">
        <v>369</v>
      </c>
      <c r="B48" s="2">
        <f t="shared" si="0"/>
        <v>588.25</v>
      </c>
      <c r="C48" s="2">
        <f t="shared" si="1"/>
        <v>160</v>
      </c>
      <c r="D48" s="2">
        <f t="shared" si="2"/>
        <v>41.4</v>
      </c>
      <c r="E48" s="2">
        <f t="shared" si="3"/>
        <v>41.713999999999999</v>
      </c>
      <c r="F48" s="2">
        <f t="shared" si="4"/>
        <v>14.824000000000002</v>
      </c>
      <c r="G48" s="1" t="s">
        <v>69</v>
      </c>
      <c r="H48" s="1" t="s">
        <v>70</v>
      </c>
      <c r="I48" s="1">
        <v>31</v>
      </c>
      <c r="J48" s="1">
        <v>167.71</v>
      </c>
      <c r="K48" s="1">
        <v>13.02</v>
      </c>
      <c r="L48" s="1">
        <v>0.434</v>
      </c>
      <c r="M48" s="1">
        <v>11.47</v>
      </c>
      <c r="N48" s="1" t="s">
        <v>33</v>
      </c>
      <c r="O48" s="1" t="s">
        <v>34</v>
      </c>
      <c r="P48" s="1">
        <v>129</v>
      </c>
      <c r="Q48" s="1">
        <v>420.54</v>
      </c>
      <c r="R48" s="1">
        <v>28.38</v>
      </c>
      <c r="S48" s="1">
        <v>41.28</v>
      </c>
      <c r="T48" s="1">
        <v>3.3540000000000001</v>
      </c>
    </row>
    <row r="49" spans="1:125" ht="14.25" customHeight="1" x14ac:dyDescent="0.35">
      <c r="A49" s="1" t="s">
        <v>509</v>
      </c>
      <c r="B49" s="2">
        <f t="shared" si="0"/>
        <v>420.54</v>
      </c>
      <c r="C49" s="2">
        <f t="shared" si="1"/>
        <v>129</v>
      </c>
      <c r="D49" s="2">
        <f t="shared" si="2"/>
        <v>28.38</v>
      </c>
      <c r="E49" s="2">
        <f t="shared" si="3"/>
        <v>41.28</v>
      </c>
      <c r="F49" s="2">
        <f t="shared" si="4"/>
        <v>3.3540000000000001</v>
      </c>
      <c r="G49" s="1" t="s">
        <v>33</v>
      </c>
      <c r="H49" s="1" t="s">
        <v>34</v>
      </c>
      <c r="I49" s="1">
        <v>129</v>
      </c>
      <c r="J49" s="1">
        <v>420.54</v>
      </c>
      <c r="K49" s="1">
        <v>28.38</v>
      </c>
      <c r="L49" s="1">
        <v>41.28</v>
      </c>
      <c r="M49" s="1">
        <v>3.3540000000000001</v>
      </c>
    </row>
    <row r="50" spans="1:125" ht="14.25" customHeight="1" x14ac:dyDescent="0.35">
      <c r="A50" s="1" t="s">
        <v>309</v>
      </c>
      <c r="B50" s="2">
        <f t="shared" si="0"/>
        <v>156.4</v>
      </c>
      <c r="C50" s="2">
        <f t="shared" si="1"/>
        <v>68</v>
      </c>
      <c r="D50" s="2">
        <f t="shared" si="2"/>
        <v>3.6720000000000002</v>
      </c>
      <c r="E50" s="2">
        <f t="shared" si="3"/>
        <v>26.52</v>
      </c>
      <c r="F50" s="2">
        <f t="shared" si="4"/>
        <v>4.2160000000000002</v>
      </c>
      <c r="G50" s="1" t="s">
        <v>135</v>
      </c>
      <c r="H50" s="1" t="s">
        <v>136</v>
      </c>
      <c r="I50" s="1">
        <v>68</v>
      </c>
      <c r="J50" s="1">
        <v>156.4</v>
      </c>
      <c r="K50" s="1">
        <v>3.6720000000000002</v>
      </c>
      <c r="L50" s="1">
        <v>26.52</v>
      </c>
      <c r="M50" s="1">
        <v>4.2160000000000002</v>
      </c>
    </row>
    <row r="51" spans="1:125" ht="14.25" customHeight="1" x14ac:dyDescent="0.35">
      <c r="A51" s="1" t="s">
        <v>551</v>
      </c>
      <c r="B51" s="2">
        <f t="shared" si="0"/>
        <v>495.65999999999997</v>
      </c>
      <c r="C51" s="2">
        <f t="shared" si="1"/>
        <v>329</v>
      </c>
      <c r="D51" s="2">
        <f t="shared" si="2"/>
        <v>28.534000000000002</v>
      </c>
      <c r="E51" s="2">
        <f t="shared" si="3"/>
        <v>39.015999999999998</v>
      </c>
      <c r="F51" s="2">
        <f t="shared" si="4"/>
        <v>19.478000000000002</v>
      </c>
      <c r="G51" s="1" t="s">
        <v>30</v>
      </c>
      <c r="H51" s="1" t="s">
        <v>31</v>
      </c>
      <c r="I51" s="1">
        <v>111</v>
      </c>
      <c r="J51" s="1">
        <v>164.28</v>
      </c>
      <c r="K51" s="1">
        <v>12.21</v>
      </c>
      <c r="L51" s="1">
        <v>1.776</v>
      </c>
      <c r="M51" s="1">
        <v>11.1</v>
      </c>
      <c r="N51" s="1" t="s">
        <v>27</v>
      </c>
      <c r="O51" s="1" t="s">
        <v>28</v>
      </c>
      <c r="P51" s="1">
        <v>118</v>
      </c>
      <c r="Q51" s="1">
        <v>166.38</v>
      </c>
      <c r="R51" s="1">
        <v>8.0239999999999991</v>
      </c>
      <c r="S51" s="1">
        <v>21.24</v>
      </c>
      <c r="T51" s="1">
        <v>2.4780000000000002</v>
      </c>
      <c r="U51" s="1" t="s">
        <v>527</v>
      </c>
      <c r="V51" s="1" t="s">
        <v>528</v>
      </c>
      <c r="W51" s="1">
        <v>100</v>
      </c>
      <c r="X51" s="1">
        <v>165</v>
      </c>
      <c r="Y51" s="1">
        <v>8.3000000000000007</v>
      </c>
      <c r="Z51" s="1">
        <v>16</v>
      </c>
      <c r="AA51" s="1">
        <v>5.9</v>
      </c>
    </row>
    <row r="52" spans="1:125" ht="14.25" customHeight="1" x14ac:dyDescent="0.35">
      <c r="A52" s="1" t="s">
        <v>526</v>
      </c>
      <c r="B52" s="2">
        <f t="shared" si="0"/>
        <v>329.28</v>
      </c>
      <c r="C52" s="2">
        <f t="shared" si="1"/>
        <v>211</v>
      </c>
      <c r="D52" s="2">
        <f t="shared" si="2"/>
        <v>20.51</v>
      </c>
      <c r="E52" s="2">
        <f t="shared" si="3"/>
        <v>17.776</v>
      </c>
      <c r="F52" s="2">
        <f t="shared" si="4"/>
        <v>17</v>
      </c>
      <c r="G52" s="1" t="s">
        <v>30</v>
      </c>
      <c r="H52" s="1" t="s">
        <v>31</v>
      </c>
      <c r="I52" s="1">
        <v>111</v>
      </c>
      <c r="J52" s="1">
        <v>164.28</v>
      </c>
      <c r="K52" s="1">
        <v>12.21</v>
      </c>
      <c r="L52" s="1">
        <v>1.776</v>
      </c>
      <c r="M52" s="1">
        <v>11.1</v>
      </c>
      <c r="N52" s="1" t="s">
        <v>527</v>
      </c>
      <c r="O52" s="1" t="s">
        <v>528</v>
      </c>
      <c r="P52" s="1">
        <v>100</v>
      </c>
      <c r="Q52" s="1">
        <v>165</v>
      </c>
      <c r="R52" s="1">
        <v>8.3000000000000007</v>
      </c>
      <c r="S52" s="1">
        <v>16</v>
      </c>
      <c r="T52" s="1">
        <v>5.9</v>
      </c>
    </row>
    <row r="53" spans="1:125" ht="14.25" customHeight="1" x14ac:dyDescent="0.35">
      <c r="A53" s="1" t="s">
        <v>239</v>
      </c>
      <c r="B53" s="2">
        <f t="shared" si="0"/>
        <v>164.28</v>
      </c>
      <c r="C53" s="2">
        <f t="shared" si="1"/>
        <v>111</v>
      </c>
      <c r="D53" s="2">
        <f t="shared" si="2"/>
        <v>12.21</v>
      </c>
      <c r="E53" s="2">
        <f t="shared" si="3"/>
        <v>1.776</v>
      </c>
      <c r="F53" s="2">
        <f t="shared" si="4"/>
        <v>11.1</v>
      </c>
      <c r="G53" s="1" t="s">
        <v>30</v>
      </c>
      <c r="H53" s="1" t="s">
        <v>31</v>
      </c>
      <c r="I53" s="1">
        <v>111</v>
      </c>
      <c r="J53" s="1">
        <v>164.28</v>
      </c>
      <c r="K53" s="1">
        <v>12.21</v>
      </c>
      <c r="L53" s="1">
        <v>1.776</v>
      </c>
      <c r="M53" s="1">
        <v>11.1</v>
      </c>
    </row>
    <row r="54" spans="1:125" ht="14.25" customHeight="1" x14ac:dyDescent="0.35">
      <c r="A54" s="1" t="s">
        <v>540</v>
      </c>
      <c r="B54" s="2">
        <f t="shared" si="0"/>
        <v>234.328</v>
      </c>
      <c r="C54" s="2">
        <f t="shared" si="1"/>
        <v>68</v>
      </c>
      <c r="D54" s="2">
        <f t="shared" si="2"/>
        <v>18.564</v>
      </c>
      <c r="E54" s="2">
        <f t="shared" si="3"/>
        <v>2.8559999999999999</v>
      </c>
      <c r="F54" s="2">
        <f t="shared" si="4"/>
        <v>13.124000000000001</v>
      </c>
      <c r="G54" s="1" t="s">
        <v>49</v>
      </c>
      <c r="H54" s="1" t="s">
        <v>50</v>
      </c>
      <c r="I54" s="1">
        <v>68</v>
      </c>
      <c r="J54" s="1">
        <v>234.328</v>
      </c>
      <c r="K54" s="1">
        <v>18.564</v>
      </c>
      <c r="L54" s="1">
        <v>2.8559999999999999</v>
      </c>
      <c r="M54" s="1">
        <v>13.124000000000001</v>
      </c>
    </row>
    <row r="55" spans="1:125" ht="14.25" customHeight="1" x14ac:dyDescent="0.35">
      <c r="A55" s="1" t="s">
        <v>240</v>
      </c>
      <c r="B55" s="2">
        <f t="shared" si="0"/>
        <v>93.033714650999983</v>
      </c>
      <c r="C55" s="2">
        <f t="shared" si="1"/>
        <v>41.999997999999998</v>
      </c>
      <c r="D55" s="3">
        <f t="shared" si="2"/>
        <v>0.89462162999999995</v>
      </c>
      <c r="E55" s="2">
        <f t="shared" si="3"/>
        <v>17.965692751999995</v>
      </c>
      <c r="F55" s="3">
        <f t="shared" si="4"/>
        <v>3.1000989380000004</v>
      </c>
      <c r="G55" s="1" t="s">
        <v>139</v>
      </c>
      <c r="H55" s="1" t="s">
        <v>140</v>
      </c>
      <c r="I55" s="1">
        <v>0.11812</v>
      </c>
      <c r="J55" s="1">
        <v>1.1812E-2</v>
      </c>
      <c r="K55" s="1">
        <v>0</v>
      </c>
      <c r="L55" s="1">
        <v>2.3624000000000002E-3</v>
      </c>
      <c r="M55" s="1">
        <v>1.1812000000000001E-3</v>
      </c>
      <c r="N55" s="1" t="s">
        <v>241</v>
      </c>
      <c r="O55" s="1" t="s">
        <v>242</v>
      </c>
      <c r="P55" s="1">
        <v>1.754926</v>
      </c>
      <c r="Q55" s="1">
        <v>1.6847289599999999</v>
      </c>
      <c r="R55" s="1">
        <v>2.6323889999999999E-2</v>
      </c>
      <c r="S55" s="1">
        <v>0.36853446000000001</v>
      </c>
      <c r="T55" s="1">
        <v>5.9667484E-2</v>
      </c>
      <c r="U55" s="1" t="s">
        <v>243</v>
      </c>
      <c r="V55" s="1" t="s">
        <v>244</v>
      </c>
      <c r="W55" s="1">
        <v>2.6998859999999998</v>
      </c>
      <c r="X55" s="1">
        <v>4.1119263779999997</v>
      </c>
      <c r="Y55" s="1">
        <v>0.26188894200000001</v>
      </c>
      <c r="Z55" s="1">
        <v>0.39958312800000001</v>
      </c>
      <c r="AA55" s="1">
        <v>2.699886E-2</v>
      </c>
      <c r="AB55" s="1" t="s">
        <v>95</v>
      </c>
      <c r="AC55" s="1" t="s">
        <v>96</v>
      </c>
      <c r="AD55" s="1">
        <v>0.23624000000000001</v>
      </c>
      <c r="AE55" s="1">
        <v>9.4495999999999997E-2</v>
      </c>
      <c r="AF55" s="1">
        <v>2.3624E-4</v>
      </c>
      <c r="AG55" s="1">
        <v>2.1261599999999999E-2</v>
      </c>
      <c r="AH55" s="1">
        <v>2.5986400000000002E-3</v>
      </c>
      <c r="AI55" s="1" t="s">
        <v>77</v>
      </c>
      <c r="AJ55" s="1" t="s">
        <v>78</v>
      </c>
      <c r="AK55" s="1">
        <v>3.0428E-2</v>
      </c>
      <c r="AL55" s="1">
        <v>4.5337719999999998E-2</v>
      </c>
      <c r="AM55" s="1">
        <v>1.5213999999999999E-4</v>
      </c>
      <c r="AN55" s="1">
        <v>1.004124E-2</v>
      </c>
      <c r="AO55" s="1">
        <v>1.947392E-3</v>
      </c>
      <c r="AP55" s="1" t="s">
        <v>154</v>
      </c>
      <c r="AQ55" s="1" t="s">
        <v>155</v>
      </c>
      <c r="AR55" s="1">
        <v>0.290238</v>
      </c>
      <c r="AS55" s="1">
        <v>0.45132009000000001</v>
      </c>
      <c r="AT55" s="1">
        <v>3.047499E-2</v>
      </c>
      <c r="AU55" s="1">
        <v>3.4828559999999999E-3</v>
      </c>
      <c r="AV55" s="1">
        <v>3.6279749999999999E-2</v>
      </c>
      <c r="AW55" s="1" t="s">
        <v>245</v>
      </c>
      <c r="AX55" s="1" t="s">
        <v>246</v>
      </c>
      <c r="AY55" s="1">
        <v>0.74246900000000005</v>
      </c>
      <c r="AZ55" s="1">
        <v>2.7471353000000001</v>
      </c>
      <c r="BA55" s="1">
        <v>1.3364442000000001E-2</v>
      </c>
      <c r="BB55" s="1">
        <v>0.58877791700000004</v>
      </c>
      <c r="BC55" s="1">
        <v>5.1972829999999998E-2</v>
      </c>
      <c r="BD55" s="1" t="s">
        <v>17</v>
      </c>
      <c r="BE55" s="1" t="s">
        <v>18</v>
      </c>
      <c r="BF55" s="1">
        <v>2.0285000000000001E-2</v>
      </c>
      <c r="BG55" s="1">
        <v>0</v>
      </c>
      <c r="BH55" s="1">
        <v>0</v>
      </c>
      <c r="BI55" s="1">
        <v>0</v>
      </c>
      <c r="BJ55" s="1">
        <v>0</v>
      </c>
      <c r="BK55" s="1" t="s">
        <v>114</v>
      </c>
      <c r="BL55" s="1" t="s">
        <v>115</v>
      </c>
      <c r="BM55" s="1">
        <v>4.7619999999999997E-3</v>
      </c>
      <c r="BN55" s="1">
        <v>1.9047999999999999E-3</v>
      </c>
      <c r="BO55" s="4">
        <v>9.5240000000000006E-6</v>
      </c>
      <c r="BP55" s="1">
        <v>4.4286599999999998E-4</v>
      </c>
      <c r="BQ55" s="4">
        <v>9.5240000000000003E-5</v>
      </c>
      <c r="BR55" s="1" t="s">
        <v>247</v>
      </c>
      <c r="BS55" s="1" t="s">
        <v>248</v>
      </c>
      <c r="BT55" s="1">
        <v>2.6998859999999998</v>
      </c>
      <c r="BU55" s="1">
        <v>1.6361309159999999</v>
      </c>
      <c r="BV55" s="1">
        <v>1.0799543999999999E-2</v>
      </c>
      <c r="BW55" s="1">
        <v>0.40498289999999998</v>
      </c>
      <c r="BX55" s="1">
        <v>2.1599087999999999E-2</v>
      </c>
      <c r="BY55" s="1" t="s">
        <v>249</v>
      </c>
      <c r="BZ55" s="1" t="s">
        <v>250</v>
      </c>
      <c r="CA55" s="1">
        <v>28.570723999999998</v>
      </c>
      <c r="CB55" s="1">
        <v>78.569490999999999</v>
      </c>
      <c r="CC55" s="1">
        <v>0.34284868800000001</v>
      </c>
      <c r="CD55" s="1">
        <v>15.99960544</v>
      </c>
      <c r="CE55" s="1">
        <v>2.5999358840000002</v>
      </c>
      <c r="CF55" s="1" t="s">
        <v>251</v>
      </c>
      <c r="CG55" s="1" t="s">
        <v>252</v>
      </c>
      <c r="CH55" s="1">
        <v>1.3161940000000001</v>
      </c>
      <c r="CI55" s="1">
        <v>0.1974291</v>
      </c>
      <c r="CJ55" s="1">
        <v>5.2647759999999997E-3</v>
      </c>
      <c r="CK55" s="1">
        <v>3.5537237999999999E-2</v>
      </c>
      <c r="CL55" s="1">
        <v>1.4478134E-2</v>
      </c>
      <c r="CM55" s="1" t="s">
        <v>253</v>
      </c>
      <c r="CN55" s="1" t="s">
        <v>254</v>
      </c>
      <c r="CO55" s="1">
        <v>0.67497099999999999</v>
      </c>
      <c r="CP55" s="1">
        <v>0.34423521000000001</v>
      </c>
      <c r="CQ55" s="1">
        <v>1.2824449E-2</v>
      </c>
      <c r="CR55" s="1">
        <v>3.3748550000000002E-2</v>
      </c>
      <c r="CS55" s="1">
        <v>2.3623985E-2</v>
      </c>
      <c r="CT55" s="1" t="s">
        <v>172</v>
      </c>
      <c r="CU55" s="1" t="s">
        <v>173</v>
      </c>
      <c r="CV55" s="1">
        <v>3.3749000000000001E-2</v>
      </c>
      <c r="CW55" s="1">
        <v>7.6947719999999999E-3</v>
      </c>
      <c r="CX55" s="1">
        <v>1.6874500000000001E-4</v>
      </c>
      <c r="CY55" s="1">
        <v>1.248713E-3</v>
      </c>
      <c r="CZ55" s="1">
        <v>7.4247799999999997E-4</v>
      </c>
      <c r="DA55" s="1" t="s">
        <v>89</v>
      </c>
      <c r="DB55" s="1" t="s">
        <v>90</v>
      </c>
      <c r="DC55" s="1">
        <v>5.3237E-2</v>
      </c>
      <c r="DD55" s="1">
        <v>1.9750927000000001E-2</v>
      </c>
      <c r="DE55" s="1">
        <v>4.2589599999999999E-4</v>
      </c>
      <c r="DF55" s="1">
        <v>3.4071679999999999E-3</v>
      </c>
      <c r="DG55" s="1">
        <v>1.5438730000000001E-3</v>
      </c>
      <c r="DH55" s="1" t="s">
        <v>101</v>
      </c>
      <c r="DI55" s="1" t="s">
        <v>102</v>
      </c>
      <c r="DJ55" s="1">
        <v>2.574341</v>
      </c>
      <c r="DK55" s="1">
        <v>1.51886119</v>
      </c>
      <c r="DL55" s="1">
        <v>1.0297364E-2</v>
      </c>
      <c r="DM55" s="1">
        <v>9.2676276000000002E-2</v>
      </c>
      <c r="DN55" s="1">
        <v>0.2574341</v>
      </c>
      <c r="DO55" s="1" t="s">
        <v>176</v>
      </c>
      <c r="DP55" t="s">
        <v>557</v>
      </c>
      <c r="DQ55" s="1">
        <v>0.17954200000000001</v>
      </c>
      <c r="DR55" s="1">
        <v>1.5914602879999999</v>
      </c>
      <c r="DS55" s="1">
        <v>0.17954200000000001</v>
      </c>
      <c r="DT55" s="1">
        <v>0</v>
      </c>
      <c r="DU55" s="1">
        <v>0</v>
      </c>
    </row>
    <row r="56" spans="1:125" ht="14.25" customHeight="1" x14ac:dyDescent="0.35">
      <c r="A56" s="1" t="s">
        <v>461</v>
      </c>
      <c r="B56" s="2">
        <f t="shared" si="0"/>
        <v>76.819999999999993</v>
      </c>
      <c r="C56" s="2">
        <f t="shared" si="1"/>
        <v>113</v>
      </c>
      <c r="D56" s="2">
        <f t="shared" si="2"/>
        <v>4.032</v>
      </c>
      <c r="E56" s="2">
        <f t="shared" si="3"/>
        <v>7.3</v>
      </c>
      <c r="F56" s="2">
        <f t="shared" si="4"/>
        <v>4.0280000000000005</v>
      </c>
      <c r="G56" s="1" t="s">
        <v>139</v>
      </c>
      <c r="H56" s="1" t="s">
        <v>140</v>
      </c>
      <c r="I56" s="1">
        <v>71</v>
      </c>
      <c r="J56" s="1">
        <v>7.1</v>
      </c>
      <c r="K56" s="1">
        <v>0</v>
      </c>
      <c r="L56" s="1">
        <v>1.42</v>
      </c>
      <c r="M56" s="1">
        <v>0.71</v>
      </c>
      <c r="N56" s="1" t="s">
        <v>24</v>
      </c>
      <c r="O56" s="1" t="s">
        <v>25</v>
      </c>
      <c r="P56" s="1">
        <v>42</v>
      </c>
      <c r="Q56" s="1">
        <v>69.72</v>
      </c>
      <c r="R56" s="1">
        <v>4.032</v>
      </c>
      <c r="S56" s="1">
        <v>5.88</v>
      </c>
      <c r="T56" s="1">
        <v>3.3180000000000001</v>
      </c>
    </row>
    <row r="57" spans="1:125" ht="14.25" customHeight="1" x14ac:dyDescent="0.35">
      <c r="A57" s="1" t="s">
        <v>233</v>
      </c>
      <c r="B57" s="2">
        <f t="shared" si="0"/>
        <v>7.1</v>
      </c>
      <c r="C57" s="2">
        <f t="shared" si="1"/>
        <v>71</v>
      </c>
      <c r="D57" s="2">
        <f t="shared" si="2"/>
        <v>0</v>
      </c>
      <c r="E57" s="2">
        <f t="shared" si="3"/>
        <v>1.42</v>
      </c>
      <c r="F57" s="2">
        <f t="shared" si="4"/>
        <v>0.71</v>
      </c>
      <c r="G57" s="1" t="s">
        <v>139</v>
      </c>
      <c r="H57" s="1" t="s">
        <v>140</v>
      </c>
      <c r="I57" s="1">
        <v>71</v>
      </c>
      <c r="J57" s="1">
        <v>7.1</v>
      </c>
      <c r="K57" s="1">
        <v>0</v>
      </c>
      <c r="L57" s="1">
        <v>1.42</v>
      </c>
      <c r="M57" s="1">
        <v>0.71</v>
      </c>
    </row>
    <row r="58" spans="1:125" ht="14.25" customHeight="1" x14ac:dyDescent="0.35">
      <c r="A58" s="1" t="s">
        <v>427</v>
      </c>
      <c r="B58" s="2">
        <f t="shared" si="0"/>
        <v>485.74</v>
      </c>
      <c r="C58" s="2">
        <f t="shared" si="1"/>
        <v>149</v>
      </c>
      <c r="D58" s="2">
        <f t="shared" si="2"/>
        <v>32.78</v>
      </c>
      <c r="E58" s="2">
        <f t="shared" si="3"/>
        <v>47.68</v>
      </c>
      <c r="F58" s="2">
        <f t="shared" si="4"/>
        <v>3.8740000000000001</v>
      </c>
      <c r="G58" s="1" t="s">
        <v>33</v>
      </c>
      <c r="H58" s="1" t="s">
        <v>34</v>
      </c>
      <c r="I58" s="1">
        <v>149</v>
      </c>
      <c r="J58" s="1">
        <v>485.74</v>
      </c>
      <c r="K58" s="1">
        <v>32.78</v>
      </c>
      <c r="L58" s="1">
        <v>47.68</v>
      </c>
      <c r="M58" s="1">
        <v>3.8740000000000001</v>
      </c>
    </row>
    <row r="59" spans="1:125" ht="14.25" customHeight="1" x14ac:dyDescent="0.35">
      <c r="A59" s="1" t="s">
        <v>357</v>
      </c>
      <c r="B59" s="2">
        <f t="shared" si="0"/>
        <v>132.67102500999999</v>
      </c>
      <c r="C59" s="2">
        <f t="shared" si="1"/>
        <v>108.99999899999999</v>
      </c>
      <c r="D59" s="2">
        <f t="shared" si="2"/>
        <v>7.4815199260000007</v>
      </c>
      <c r="E59" s="2">
        <f t="shared" si="3"/>
        <v>13.964015576</v>
      </c>
      <c r="F59" s="2">
        <f t="shared" si="4"/>
        <v>3.5085984360000002</v>
      </c>
      <c r="G59" s="1" t="s">
        <v>40</v>
      </c>
      <c r="H59" s="1" t="s">
        <v>41</v>
      </c>
      <c r="I59" s="1">
        <v>6.0078740000000002</v>
      </c>
      <c r="J59" s="1">
        <v>1.5019685</v>
      </c>
      <c r="K59" s="1">
        <v>1.8023622E-2</v>
      </c>
      <c r="L59" s="1">
        <v>0.30039369999999999</v>
      </c>
      <c r="M59" s="1">
        <v>0.108141732</v>
      </c>
      <c r="N59" s="1" t="s">
        <v>47</v>
      </c>
      <c r="O59" s="1" t="s">
        <v>48</v>
      </c>
      <c r="P59" s="1">
        <v>10.299212000000001</v>
      </c>
      <c r="Q59" s="1">
        <v>3.6047242000000002</v>
      </c>
      <c r="R59" s="1">
        <v>4.1196848000000001E-2</v>
      </c>
      <c r="S59" s="1">
        <v>0.72094484000000003</v>
      </c>
      <c r="T59" s="1">
        <v>0.24718108799999999</v>
      </c>
      <c r="U59" s="1" t="s">
        <v>9</v>
      </c>
      <c r="V59" s="1" t="s">
        <v>10</v>
      </c>
      <c r="W59" s="1">
        <v>13.732284</v>
      </c>
      <c r="X59" s="1">
        <v>21.971654399999998</v>
      </c>
      <c r="Y59" s="1">
        <v>2.0598426000000001</v>
      </c>
      <c r="Z59" s="1">
        <v>1.23590556</v>
      </c>
      <c r="AA59" s="1">
        <v>0.27464568</v>
      </c>
      <c r="AB59" s="1" t="s">
        <v>358</v>
      </c>
      <c r="AC59" s="1" t="s">
        <v>359</v>
      </c>
      <c r="AD59" s="1">
        <v>6.866142</v>
      </c>
      <c r="AE59" s="1">
        <v>3.3644095799999998</v>
      </c>
      <c r="AF59" s="1">
        <v>4.8062993999999998E-2</v>
      </c>
      <c r="AG59" s="1">
        <v>0.61795277999999998</v>
      </c>
      <c r="AH59" s="1">
        <v>0.22658268600000001</v>
      </c>
      <c r="AI59" s="1" t="s">
        <v>360</v>
      </c>
      <c r="AJ59" s="1" t="s">
        <v>361</v>
      </c>
      <c r="AK59" s="1">
        <v>12.015748</v>
      </c>
      <c r="AL59" s="1">
        <v>17.122440900000001</v>
      </c>
      <c r="AM59" s="1">
        <v>1.105448816</v>
      </c>
      <c r="AN59" s="1">
        <v>9.6125983999999998E-2</v>
      </c>
      <c r="AO59" s="1">
        <v>1.5019685</v>
      </c>
      <c r="AP59" s="1" t="s">
        <v>362</v>
      </c>
      <c r="AQ59" s="1" t="s">
        <v>363</v>
      </c>
      <c r="AR59" s="1">
        <v>6.866142</v>
      </c>
      <c r="AS59" s="1">
        <v>31.961891009999999</v>
      </c>
      <c r="AT59" s="1">
        <v>3.5566615559999999</v>
      </c>
      <c r="AU59" s="1">
        <v>0.17851969200000001</v>
      </c>
      <c r="AV59" s="1">
        <v>0</v>
      </c>
      <c r="AW59" s="1" t="s">
        <v>268</v>
      </c>
      <c r="AX59" s="1" t="s">
        <v>269</v>
      </c>
      <c r="AY59" s="1">
        <v>49.779525999999997</v>
      </c>
      <c r="AZ59" s="1">
        <v>37.83243976</v>
      </c>
      <c r="BA59" s="1">
        <v>0</v>
      </c>
      <c r="BB59" s="1">
        <v>8.9603146799999998</v>
      </c>
      <c r="BC59" s="1">
        <v>0.49779526000000002</v>
      </c>
      <c r="BD59" s="1" t="s">
        <v>21</v>
      </c>
      <c r="BE59" s="1" t="s">
        <v>22</v>
      </c>
      <c r="BF59" s="1">
        <v>3.433071</v>
      </c>
      <c r="BG59" s="1">
        <v>15.31149666</v>
      </c>
      <c r="BH59" s="1">
        <v>0.65228348999999997</v>
      </c>
      <c r="BI59" s="1">
        <v>1.8538583399999999</v>
      </c>
      <c r="BJ59" s="1">
        <v>0.65228348999999997</v>
      </c>
    </row>
    <row r="60" spans="1:125" ht="14.25" customHeight="1" x14ac:dyDescent="0.35">
      <c r="A60" s="1" t="s">
        <v>274</v>
      </c>
      <c r="B60" s="2">
        <f t="shared" si="0"/>
        <v>253.06850595399999</v>
      </c>
      <c r="C60" s="2">
        <f t="shared" si="1"/>
        <v>144.99999400000002</v>
      </c>
      <c r="D60" s="2">
        <f t="shared" si="2"/>
        <v>14.671488598</v>
      </c>
      <c r="E60" s="2">
        <f t="shared" si="3"/>
        <v>11.491882958000001</v>
      </c>
      <c r="F60" s="2">
        <f t="shared" si="4"/>
        <v>19.076248649</v>
      </c>
      <c r="G60" s="1" t="s">
        <v>258</v>
      </c>
      <c r="H60" s="1" t="s">
        <v>259</v>
      </c>
      <c r="I60" s="1">
        <v>56.143371999999999</v>
      </c>
      <c r="J60" s="1">
        <v>43.23039644</v>
      </c>
      <c r="K60" s="1">
        <v>5.6143371999999997E-2</v>
      </c>
      <c r="L60" s="1">
        <v>9.5443732400000005</v>
      </c>
      <c r="M60" s="1">
        <v>1.12286744</v>
      </c>
      <c r="N60" s="1" t="s">
        <v>275</v>
      </c>
      <c r="O60" s="1" t="s">
        <v>276</v>
      </c>
      <c r="P60" s="1">
        <v>70.179214000000002</v>
      </c>
      <c r="Q60" s="1">
        <v>190.18566994</v>
      </c>
      <c r="R60" s="1">
        <v>13.334050660000001</v>
      </c>
      <c r="S60" s="1">
        <v>0</v>
      </c>
      <c r="T60" s="1">
        <v>17.5448035</v>
      </c>
      <c r="U60" s="1" t="s">
        <v>77</v>
      </c>
      <c r="V60" s="1" t="s">
        <v>78</v>
      </c>
      <c r="W60" s="1">
        <v>3.094376</v>
      </c>
      <c r="X60" s="1">
        <v>4.6106202400000003</v>
      </c>
      <c r="Y60" s="1">
        <v>1.547188E-2</v>
      </c>
      <c r="Z60" s="1">
        <v>1.02114408</v>
      </c>
      <c r="AA60" s="1">
        <v>0.19804006399999999</v>
      </c>
      <c r="AB60" s="1" t="s">
        <v>17</v>
      </c>
      <c r="AC60" s="1" t="s">
        <v>18</v>
      </c>
      <c r="AD60" s="1">
        <v>0.30943799999999999</v>
      </c>
      <c r="AE60" s="1">
        <v>0</v>
      </c>
      <c r="AF60" s="1">
        <v>0</v>
      </c>
      <c r="AG60" s="1">
        <v>0</v>
      </c>
      <c r="AH60" s="1">
        <v>0</v>
      </c>
      <c r="AI60" s="1" t="s">
        <v>37</v>
      </c>
      <c r="AJ60" s="1" t="s">
        <v>38</v>
      </c>
      <c r="AK60" s="1">
        <v>14.035843</v>
      </c>
      <c r="AL60" s="1">
        <v>4.0703944700000001</v>
      </c>
      <c r="AM60" s="1">
        <v>2.8071685999999998E-2</v>
      </c>
      <c r="AN60" s="1">
        <v>0.92636563800000005</v>
      </c>
      <c r="AO60" s="1">
        <v>0.210537645</v>
      </c>
      <c r="AP60" s="1" t="s">
        <v>176</v>
      </c>
      <c r="AQ60" t="s">
        <v>557</v>
      </c>
      <c r="AR60" s="1">
        <v>1.237751</v>
      </c>
      <c r="AS60" s="1">
        <v>10.971424863999999</v>
      </c>
      <c r="AT60" s="1">
        <v>1.237751</v>
      </c>
      <c r="AU60" s="1">
        <v>0</v>
      </c>
      <c r="AV60" s="1">
        <v>0</v>
      </c>
    </row>
    <row r="61" spans="1:125" ht="14.25" customHeight="1" x14ac:dyDescent="0.35">
      <c r="A61" s="1" t="s">
        <v>343</v>
      </c>
      <c r="B61" s="2">
        <f t="shared" si="0"/>
        <v>238.71340763399999</v>
      </c>
      <c r="C61" s="2">
        <f t="shared" si="1"/>
        <v>274.999999</v>
      </c>
      <c r="D61" s="2">
        <f t="shared" si="2"/>
        <v>9.8371661160000006</v>
      </c>
      <c r="E61" s="2">
        <f t="shared" si="3"/>
        <v>25.496572066000002</v>
      </c>
      <c r="F61" s="2">
        <f t="shared" si="4"/>
        <v>14.005625229999998</v>
      </c>
      <c r="G61" s="1" t="s">
        <v>258</v>
      </c>
      <c r="H61" s="1" t="s">
        <v>259</v>
      </c>
      <c r="I61" s="1">
        <v>78.600723000000002</v>
      </c>
      <c r="J61" s="1">
        <v>60.522556710000003</v>
      </c>
      <c r="K61" s="1">
        <v>7.8600722999999997E-2</v>
      </c>
      <c r="L61" s="1">
        <v>13.36212291</v>
      </c>
      <c r="M61" s="1">
        <v>1.5720144599999999</v>
      </c>
      <c r="N61" s="1" t="s">
        <v>40</v>
      </c>
      <c r="O61" s="1" t="s">
        <v>41</v>
      </c>
      <c r="P61" s="1">
        <v>72</v>
      </c>
      <c r="Q61" s="1">
        <v>18</v>
      </c>
      <c r="R61" s="1">
        <v>0.216</v>
      </c>
      <c r="S61" s="1">
        <v>3.6</v>
      </c>
      <c r="T61" s="1">
        <v>1.296</v>
      </c>
      <c r="U61" s="1" t="s">
        <v>275</v>
      </c>
      <c r="V61" s="1" t="s">
        <v>276</v>
      </c>
      <c r="W61" s="1">
        <v>40.171551000000001</v>
      </c>
      <c r="X61" s="1">
        <v>108.86490320999999</v>
      </c>
      <c r="Y61" s="1">
        <v>7.6325946900000003</v>
      </c>
      <c r="Z61" s="1">
        <v>0</v>
      </c>
      <c r="AA61" s="1">
        <v>10.04288775</v>
      </c>
      <c r="AB61" s="1" t="s">
        <v>141</v>
      </c>
      <c r="AC61" s="1" t="s">
        <v>142</v>
      </c>
      <c r="AD61" s="1">
        <v>58.079352999999998</v>
      </c>
      <c r="AE61" s="1">
        <v>23.812534729999999</v>
      </c>
      <c r="AF61" s="1">
        <v>0.116158706</v>
      </c>
      <c r="AG61" s="1">
        <v>5.8079352999999996</v>
      </c>
      <c r="AH61" s="1">
        <v>0.522714177</v>
      </c>
      <c r="AI61" s="1" t="s">
        <v>77</v>
      </c>
      <c r="AJ61" s="1" t="s">
        <v>78</v>
      </c>
      <c r="AK61" s="1">
        <v>4.3321269999999998</v>
      </c>
      <c r="AL61" s="1">
        <v>6.4548692299999999</v>
      </c>
      <c r="AM61" s="1">
        <v>2.1660635000000001E-2</v>
      </c>
      <c r="AN61" s="1">
        <v>1.4296019099999999</v>
      </c>
      <c r="AO61" s="1">
        <v>0.27725612799999999</v>
      </c>
      <c r="AP61" s="1" t="s">
        <v>17</v>
      </c>
      <c r="AQ61" s="1" t="s">
        <v>18</v>
      </c>
      <c r="AR61" s="1">
        <v>0.43321300000000001</v>
      </c>
      <c r="AS61" s="1">
        <v>0</v>
      </c>
      <c r="AT61" s="1">
        <v>0</v>
      </c>
      <c r="AU61" s="1">
        <v>0</v>
      </c>
      <c r="AV61" s="1">
        <v>0</v>
      </c>
      <c r="AW61" s="1" t="s">
        <v>37</v>
      </c>
      <c r="AX61" s="1" t="s">
        <v>38</v>
      </c>
      <c r="AY61" s="1">
        <v>19.650181</v>
      </c>
      <c r="AZ61" s="1">
        <v>5.69855249</v>
      </c>
      <c r="BA61" s="1">
        <v>3.9300361999999998E-2</v>
      </c>
      <c r="BB61" s="1">
        <v>1.296911946</v>
      </c>
      <c r="BC61" s="1">
        <v>0.294752715</v>
      </c>
      <c r="BD61" s="1" t="s">
        <v>176</v>
      </c>
      <c r="BE61" t="s">
        <v>557</v>
      </c>
      <c r="BF61" s="1">
        <v>1.7328509999999999</v>
      </c>
      <c r="BG61" s="1">
        <v>15.359991264</v>
      </c>
      <c r="BH61" s="1">
        <v>1.7328509999999999</v>
      </c>
      <c r="BI61" s="1">
        <v>0</v>
      </c>
      <c r="BJ61" s="1">
        <v>0</v>
      </c>
    </row>
    <row r="62" spans="1:125" ht="14.25" customHeight="1" x14ac:dyDescent="0.35">
      <c r="A62" s="1" t="s">
        <v>377</v>
      </c>
      <c r="B62" s="2">
        <f t="shared" si="0"/>
        <v>220.71340763399999</v>
      </c>
      <c r="C62" s="2">
        <f t="shared" si="1"/>
        <v>202.99999900000003</v>
      </c>
      <c r="D62" s="2">
        <f t="shared" si="2"/>
        <v>9.6211661159999995</v>
      </c>
      <c r="E62" s="2">
        <f t="shared" si="3"/>
        <v>21.896572066000001</v>
      </c>
      <c r="F62" s="2">
        <f t="shared" si="4"/>
        <v>12.709625229999999</v>
      </c>
      <c r="G62" s="1" t="s">
        <v>258</v>
      </c>
      <c r="H62" s="1" t="s">
        <v>259</v>
      </c>
      <c r="I62" s="1">
        <v>78.600723000000002</v>
      </c>
      <c r="J62" s="1">
        <v>60.522556710000003</v>
      </c>
      <c r="K62" s="1">
        <v>7.8600722999999997E-2</v>
      </c>
      <c r="L62" s="1">
        <v>13.36212291</v>
      </c>
      <c r="M62" s="1">
        <v>1.5720144599999999</v>
      </c>
      <c r="N62" s="1" t="s">
        <v>275</v>
      </c>
      <c r="O62" s="1" t="s">
        <v>276</v>
      </c>
      <c r="P62" s="1">
        <v>40.171551000000001</v>
      </c>
      <c r="Q62" s="1">
        <v>108.86490320999999</v>
      </c>
      <c r="R62" s="1">
        <v>7.6325946900000003</v>
      </c>
      <c r="S62" s="1">
        <v>0</v>
      </c>
      <c r="T62" s="1">
        <v>10.04288775</v>
      </c>
      <c r="U62" s="1" t="s">
        <v>141</v>
      </c>
      <c r="V62" s="1" t="s">
        <v>142</v>
      </c>
      <c r="W62" s="1">
        <v>58.079352999999998</v>
      </c>
      <c r="X62" s="1">
        <v>23.812534729999999</v>
      </c>
      <c r="Y62" s="1">
        <v>0.116158706</v>
      </c>
      <c r="Z62" s="1">
        <v>5.8079352999999996</v>
      </c>
      <c r="AA62" s="1">
        <v>0.522714177</v>
      </c>
      <c r="AB62" s="1" t="s">
        <v>77</v>
      </c>
      <c r="AC62" s="1" t="s">
        <v>78</v>
      </c>
      <c r="AD62" s="1">
        <v>4.3321269999999998</v>
      </c>
      <c r="AE62" s="1">
        <v>6.4548692299999999</v>
      </c>
      <c r="AF62" s="1">
        <v>2.1660635000000001E-2</v>
      </c>
      <c r="AG62" s="1">
        <v>1.4296019099999999</v>
      </c>
      <c r="AH62" s="1">
        <v>0.27725612799999999</v>
      </c>
      <c r="AI62" s="1" t="s">
        <v>17</v>
      </c>
      <c r="AJ62" s="1" t="s">
        <v>18</v>
      </c>
      <c r="AK62" s="1">
        <v>0.43321300000000001</v>
      </c>
      <c r="AL62" s="1">
        <v>0</v>
      </c>
      <c r="AM62" s="1">
        <v>0</v>
      </c>
      <c r="AN62" s="1">
        <v>0</v>
      </c>
      <c r="AO62" s="1">
        <v>0</v>
      </c>
      <c r="AP62" s="1" t="s">
        <v>37</v>
      </c>
      <c r="AQ62" s="1" t="s">
        <v>38</v>
      </c>
      <c r="AR62" s="1">
        <v>19.650181</v>
      </c>
      <c r="AS62" s="1">
        <v>5.69855249</v>
      </c>
      <c r="AT62" s="1">
        <v>3.9300361999999998E-2</v>
      </c>
      <c r="AU62" s="1">
        <v>1.296911946</v>
      </c>
      <c r="AV62" s="1">
        <v>0.294752715</v>
      </c>
      <c r="AW62" s="1" t="s">
        <v>176</v>
      </c>
      <c r="AX62" t="s">
        <v>557</v>
      </c>
      <c r="AY62" s="1">
        <v>1.7328509999999999</v>
      </c>
      <c r="AZ62" s="1">
        <v>15.359991264</v>
      </c>
      <c r="BA62" s="1">
        <v>1.7328509999999999</v>
      </c>
      <c r="BB62" s="1">
        <v>0</v>
      </c>
      <c r="BC62" s="1">
        <v>0</v>
      </c>
    </row>
    <row r="63" spans="1:125" ht="14.25" customHeight="1" x14ac:dyDescent="0.35">
      <c r="A63" s="1" t="s">
        <v>498</v>
      </c>
      <c r="B63" s="2">
        <f t="shared" si="0"/>
        <v>144.85990036000001</v>
      </c>
      <c r="C63" s="2">
        <f t="shared" si="1"/>
        <v>82.999997000000022</v>
      </c>
      <c r="D63" s="2">
        <f t="shared" si="2"/>
        <v>8.398161871000001</v>
      </c>
      <c r="E63" s="2">
        <f t="shared" si="3"/>
        <v>6.5781125500000002</v>
      </c>
      <c r="F63" s="2">
        <f t="shared" si="4"/>
        <v>10.919508116000001</v>
      </c>
      <c r="G63" s="1" t="s">
        <v>258</v>
      </c>
      <c r="H63" s="1" t="s">
        <v>259</v>
      </c>
      <c r="I63" s="1">
        <v>32.137241000000003</v>
      </c>
      <c r="J63" s="1">
        <v>24.74567557</v>
      </c>
      <c r="K63" s="1">
        <v>3.2137240999999997E-2</v>
      </c>
      <c r="L63" s="1">
        <v>5.4633309700000003</v>
      </c>
      <c r="M63" s="1">
        <v>0.64274481999999999</v>
      </c>
      <c r="N63" s="1" t="s">
        <v>275</v>
      </c>
      <c r="O63" s="1" t="s">
        <v>276</v>
      </c>
      <c r="P63" s="1">
        <v>40.171551000000001</v>
      </c>
      <c r="Q63" s="1">
        <v>108.86490320999999</v>
      </c>
      <c r="R63" s="1">
        <v>7.6325946900000003</v>
      </c>
      <c r="S63" s="1">
        <v>0</v>
      </c>
      <c r="T63" s="1">
        <v>10.04288775</v>
      </c>
      <c r="U63" s="1" t="s">
        <v>77</v>
      </c>
      <c r="V63" s="1" t="s">
        <v>78</v>
      </c>
      <c r="W63" s="1">
        <v>1.7712639999999999</v>
      </c>
      <c r="X63" s="1">
        <v>2.6391833600000001</v>
      </c>
      <c r="Y63" s="1">
        <v>8.8563200000000009E-3</v>
      </c>
      <c r="Z63" s="1">
        <v>0.58451712</v>
      </c>
      <c r="AA63" s="1">
        <v>0.113360896</v>
      </c>
      <c r="AB63" s="1" t="s">
        <v>17</v>
      </c>
      <c r="AC63" s="1" t="s">
        <v>18</v>
      </c>
      <c r="AD63" s="1">
        <v>0.17712600000000001</v>
      </c>
      <c r="AE63" s="1">
        <v>0</v>
      </c>
      <c r="AF63" s="1">
        <v>0</v>
      </c>
      <c r="AG63" s="1">
        <v>0</v>
      </c>
      <c r="AH63" s="1">
        <v>0</v>
      </c>
      <c r="AI63" s="1" t="s">
        <v>37</v>
      </c>
      <c r="AJ63" s="1" t="s">
        <v>38</v>
      </c>
      <c r="AK63" s="1">
        <v>8.0343099999999996</v>
      </c>
      <c r="AL63" s="1">
        <v>2.3299498999999999</v>
      </c>
      <c r="AM63" s="1">
        <v>1.6068619999999999E-2</v>
      </c>
      <c r="AN63" s="1">
        <v>0.53026446000000005</v>
      </c>
      <c r="AO63" s="1">
        <v>0.12051465</v>
      </c>
      <c r="AP63" s="1" t="s">
        <v>176</v>
      </c>
      <c r="AQ63" t="s">
        <v>557</v>
      </c>
      <c r="AR63" s="1">
        <v>0.70850500000000005</v>
      </c>
      <c r="AS63" s="1">
        <v>6.2801883199999997</v>
      </c>
      <c r="AT63" s="1">
        <v>0.70850500000000005</v>
      </c>
      <c r="AU63" s="1">
        <v>0</v>
      </c>
      <c r="AV63" s="1">
        <v>0</v>
      </c>
    </row>
    <row r="64" spans="1:125" ht="14.25" customHeight="1" x14ac:dyDescent="0.35">
      <c r="A64" s="1" t="s">
        <v>218</v>
      </c>
      <c r="B64" s="2">
        <f t="shared" si="0"/>
        <v>80</v>
      </c>
      <c r="C64" s="2">
        <f t="shared" si="1"/>
        <v>50</v>
      </c>
      <c r="D64" s="2">
        <f t="shared" si="2"/>
        <v>5</v>
      </c>
      <c r="E64" s="2">
        <f t="shared" si="3"/>
        <v>1.5</v>
      </c>
      <c r="F64" s="2">
        <f t="shared" si="4"/>
        <v>7</v>
      </c>
      <c r="G64" s="1" t="s">
        <v>219</v>
      </c>
      <c r="H64" s="1" t="s">
        <v>220</v>
      </c>
      <c r="I64" s="1">
        <v>50</v>
      </c>
      <c r="J64" s="1">
        <v>80</v>
      </c>
      <c r="K64" s="1">
        <v>5</v>
      </c>
      <c r="L64" s="1">
        <v>1.5</v>
      </c>
      <c r="M64" s="1">
        <v>7</v>
      </c>
    </row>
    <row r="65" spans="1:69" ht="14.25" customHeight="1" x14ac:dyDescent="0.35">
      <c r="A65" s="1" t="s">
        <v>475</v>
      </c>
      <c r="B65" s="2">
        <f t="shared" si="0"/>
        <v>271.64811443000002</v>
      </c>
      <c r="C65" s="2">
        <f t="shared" si="1"/>
        <v>161.00000599999998</v>
      </c>
      <c r="D65" s="3">
        <f t="shared" si="2"/>
        <v>7.3584139979999996</v>
      </c>
      <c r="E65" s="2">
        <f t="shared" si="3"/>
        <v>0.392612022</v>
      </c>
      <c r="F65" s="3">
        <f t="shared" si="4"/>
        <v>47.795006175000005</v>
      </c>
      <c r="G65" s="1" t="s">
        <v>222</v>
      </c>
      <c r="H65" s="1" t="s">
        <v>223</v>
      </c>
      <c r="I65" s="1">
        <v>1.059E-3</v>
      </c>
      <c r="J65" s="1">
        <v>1.17549E-3</v>
      </c>
      <c r="K65" s="4">
        <v>9.5310000000000007E-6</v>
      </c>
      <c r="L65" s="1">
        <v>2.4357E-4</v>
      </c>
      <c r="M65" s="4">
        <v>2.7534000000000001E-5</v>
      </c>
      <c r="N65" s="1" t="s">
        <v>200</v>
      </c>
      <c r="O65" s="1" t="s">
        <v>201</v>
      </c>
      <c r="P65" s="1">
        <v>1.059E-3</v>
      </c>
      <c r="Q65" s="1">
        <v>1.3767E-3</v>
      </c>
      <c r="R65" s="4">
        <v>3.1769999999999998E-6</v>
      </c>
      <c r="S65" s="1">
        <v>2.9651999999999999E-4</v>
      </c>
      <c r="T65" s="4">
        <v>2.8592999999999999E-5</v>
      </c>
      <c r="U65" s="1" t="s">
        <v>47</v>
      </c>
      <c r="V65" s="1" t="s">
        <v>48</v>
      </c>
      <c r="W65" s="1">
        <v>3.8437130000000002</v>
      </c>
      <c r="X65" s="1">
        <v>1.34529955</v>
      </c>
      <c r="Y65" s="1">
        <v>1.5374852E-2</v>
      </c>
      <c r="Z65" s="1">
        <v>0.26905991000000001</v>
      </c>
      <c r="AA65" s="1">
        <v>9.2249111999999994E-2</v>
      </c>
      <c r="AB65" s="1" t="s">
        <v>108</v>
      </c>
      <c r="AC65" s="1" t="s">
        <v>109</v>
      </c>
      <c r="AD65" s="1">
        <v>153.74850499999999</v>
      </c>
      <c r="AE65" s="1">
        <v>253.68503325</v>
      </c>
      <c r="AF65" s="1">
        <v>5.5349461800000004</v>
      </c>
      <c r="AG65" s="1">
        <v>0</v>
      </c>
      <c r="AH65" s="1">
        <v>47.662036550000003</v>
      </c>
      <c r="AI65" s="1" t="s">
        <v>112</v>
      </c>
      <c r="AJ65" s="1" t="s">
        <v>113</v>
      </c>
      <c r="AK65" s="1">
        <v>0.240232</v>
      </c>
      <c r="AL65" s="1">
        <v>5.5253360000000001E-2</v>
      </c>
      <c r="AM65" s="1">
        <v>9.60928E-4</v>
      </c>
      <c r="AN65" s="1">
        <v>8.6483519999999998E-3</v>
      </c>
      <c r="AO65" s="1">
        <v>6.9667280000000002E-3</v>
      </c>
      <c r="AP65" s="1" t="s">
        <v>17</v>
      </c>
      <c r="AQ65" s="1" t="s">
        <v>18</v>
      </c>
      <c r="AR65" s="1">
        <v>3.5590999999999998E-2</v>
      </c>
      <c r="AS65" s="1">
        <v>0</v>
      </c>
      <c r="AT65" s="1">
        <v>0</v>
      </c>
      <c r="AU65" s="1">
        <v>0</v>
      </c>
      <c r="AV65" s="1">
        <v>0</v>
      </c>
      <c r="AW65" s="1" t="s">
        <v>476</v>
      </c>
      <c r="AX65" s="1" t="s">
        <v>477</v>
      </c>
      <c r="AY65" s="1">
        <v>0.240232</v>
      </c>
      <c r="AZ65" s="1">
        <v>0.21380647999999999</v>
      </c>
      <c r="BA65" s="1">
        <v>0</v>
      </c>
      <c r="BB65" s="1">
        <v>3.8437119999999998E-2</v>
      </c>
      <c r="BC65" s="1">
        <v>1.4173688E-2</v>
      </c>
      <c r="BD65" s="1" t="s">
        <v>478</v>
      </c>
      <c r="BE65" s="1" t="s">
        <v>479</v>
      </c>
      <c r="BF65" s="1">
        <v>1.084665</v>
      </c>
      <c r="BG65" s="1">
        <v>0.34709279999999998</v>
      </c>
      <c r="BH65" s="1">
        <v>2.1693300000000001E-3</v>
      </c>
      <c r="BI65" s="1">
        <v>7.5926549999999995E-2</v>
      </c>
      <c r="BJ65" s="1">
        <v>1.9523970000000002E-2</v>
      </c>
      <c r="BK65" s="1" t="s">
        <v>176</v>
      </c>
      <c r="BL65" t="s">
        <v>557</v>
      </c>
      <c r="BM65" s="1">
        <v>1.8049500000000001</v>
      </c>
      <c r="BN65" s="1">
        <v>15.999076799999999</v>
      </c>
      <c r="BO65" s="1">
        <v>1.8049500000000001</v>
      </c>
      <c r="BP65" s="1">
        <v>0</v>
      </c>
      <c r="BQ65" s="1">
        <v>0</v>
      </c>
    </row>
    <row r="66" spans="1:69" ht="14.25" customHeight="1" x14ac:dyDescent="0.35">
      <c r="A66" s="1" t="s">
        <v>333</v>
      </c>
      <c r="B66" s="2">
        <f t="shared" ref="B66:B129" si="5">J66+Q66+X66+AE66+AL66+AS66+AZ66+BG66+BN66+BU66+CB66+CI66+CP66+CW66+DD66+DK66+DR66+DY66+EF66+EM66+ET66</f>
        <v>216.28542889200003</v>
      </c>
      <c r="C66" s="2">
        <f t="shared" ref="C66:C129" si="6">I66+P66+W66+AD66+AK66+AR66+AY66+BF66+BM66+BT66+CA66+CH66+CO66+CV66+DC66+DJ66+DQ66+DX66+EE66+EL66+ES66</f>
        <v>121.99999600000001</v>
      </c>
      <c r="D66" s="2">
        <f t="shared" ref="D66:D129" si="7">K66+R66+Y66+AF66+AM66+AT66+BA66+BH66+BO66+BV66+CC66+CJ66+CQ66+CX66+DE66+DL66+DS66+DZ66+EG66+EN66+EU66</f>
        <v>2.7508532639999999</v>
      </c>
      <c r="E66" s="2">
        <f t="shared" ref="E66:E129" si="8">L66+S66+Z66+AG66+AN66+AU66+BB66+BI66+BP66+BW66+CD66+CK66+CR66+CY66+DF66+DM66+DT66+EA66+EH66+EO66+EV66</f>
        <v>41.031467020000001</v>
      </c>
      <c r="F66" s="2">
        <f t="shared" ref="F66:F129" si="9">M66+T66+AA66+AH66+AO66+AV66+BC66+BJ66+BQ66+BX66+CE66+CL66+CS66+CZ66+DG66+DN66+DU66+EB66+EI66+EP66+EW66</f>
        <v>6.6652933299999999</v>
      </c>
      <c r="G66" s="1" t="s">
        <v>40</v>
      </c>
      <c r="H66" s="1" t="s">
        <v>41</v>
      </c>
      <c r="I66" s="1">
        <v>35.600002000000003</v>
      </c>
      <c r="J66" s="1">
        <v>8.9000005000000009</v>
      </c>
      <c r="K66" s="1">
        <v>0.106800006</v>
      </c>
      <c r="L66" s="1">
        <v>1.7800001000000001</v>
      </c>
      <c r="M66" s="1">
        <v>0.64080003600000002</v>
      </c>
      <c r="N66" s="1" t="s">
        <v>334</v>
      </c>
      <c r="O66" s="1" t="s">
        <v>335</v>
      </c>
      <c r="P66" s="1">
        <v>6.0854699999999999</v>
      </c>
      <c r="Q66" s="1">
        <v>0.66940169999999999</v>
      </c>
      <c r="R66" s="1">
        <v>1.217094E-2</v>
      </c>
      <c r="S66" s="1">
        <v>0.13996581</v>
      </c>
      <c r="T66" s="1">
        <v>1.8256410000000001E-2</v>
      </c>
      <c r="U66" s="1" t="s">
        <v>243</v>
      </c>
      <c r="V66" s="1" t="s">
        <v>244</v>
      </c>
      <c r="W66" s="1">
        <v>12.17094</v>
      </c>
      <c r="X66" s="1">
        <v>18.536341620000002</v>
      </c>
      <c r="Y66" s="1">
        <v>1.1805811799999999</v>
      </c>
      <c r="Z66" s="1">
        <v>1.8012991199999999</v>
      </c>
      <c r="AA66" s="1">
        <v>0.1217094</v>
      </c>
      <c r="AB66" s="1" t="s">
        <v>336</v>
      </c>
      <c r="AC66" s="1" t="s">
        <v>337</v>
      </c>
      <c r="AD66" s="1">
        <v>3.042735</v>
      </c>
      <c r="AE66" s="1">
        <v>5.2335041999999996</v>
      </c>
      <c r="AF66" s="1">
        <v>1.8256410000000001E-2</v>
      </c>
      <c r="AG66" s="1">
        <v>1.24752135</v>
      </c>
      <c r="AH66" s="1">
        <v>2.434188E-2</v>
      </c>
      <c r="AI66" s="1" t="s">
        <v>17</v>
      </c>
      <c r="AJ66" s="1" t="s">
        <v>18</v>
      </c>
      <c r="AK66" s="1">
        <v>4.2931999999999998E-2</v>
      </c>
      <c r="AL66" s="1">
        <v>0</v>
      </c>
      <c r="AM66" s="1">
        <v>0</v>
      </c>
      <c r="AN66" s="1">
        <v>0</v>
      </c>
      <c r="AO66" s="1">
        <v>0</v>
      </c>
      <c r="AP66" s="1" t="s">
        <v>249</v>
      </c>
      <c r="AQ66" s="1" t="s">
        <v>250</v>
      </c>
      <c r="AR66" s="1">
        <v>64.397644</v>
      </c>
      <c r="AS66" s="1">
        <v>177.09352100000001</v>
      </c>
      <c r="AT66" s="1">
        <v>0.77277172800000005</v>
      </c>
      <c r="AU66" s="1">
        <v>36.062680640000004</v>
      </c>
      <c r="AV66" s="1">
        <v>5.8601856039999998</v>
      </c>
      <c r="AW66" s="1" t="s">
        <v>176</v>
      </c>
      <c r="AX66" t="s">
        <v>557</v>
      </c>
      <c r="AY66" s="1">
        <v>0.660273</v>
      </c>
      <c r="AZ66" s="1">
        <v>5.8526598720000003</v>
      </c>
      <c r="BA66" s="1">
        <v>0.660273</v>
      </c>
      <c r="BB66" s="1">
        <v>0</v>
      </c>
      <c r="BC66" s="1">
        <v>0</v>
      </c>
    </row>
    <row r="67" spans="1:69" ht="14.25" customHeight="1" x14ac:dyDescent="0.35">
      <c r="A67" s="1" t="s">
        <v>394</v>
      </c>
      <c r="B67" s="2">
        <f t="shared" si="5"/>
        <v>279.69333214</v>
      </c>
      <c r="C67" s="2">
        <f t="shared" si="6"/>
        <v>166.99999800000001</v>
      </c>
      <c r="D67" s="2">
        <f t="shared" si="7"/>
        <v>17.940999995999999</v>
      </c>
      <c r="E67" s="2">
        <f t="shared" si="8"/>
        <v>5.9136666920000005</v>
      </c>
      <c r="F67" s="2">
        <f t="shared" si="9"/>
        <v>22.248666409999998</v>
      </c>
      <c r="G67" s="1" t="s">
        <v>52</v>
      </c>
      <c r="H67" s="1" t="s">
        <v>53</v>
      </c>
      <c r="I67" s="1">
        <v>51</v>
      </c>
      <c r="J67" s="1">
        <v>16.829999999999998</v>
      </c>
      <c r="K67" s="1">
        <v>0.153</v>
      </c>
      <c r="L67" s="1">
        <v>4.08</v>
      </c>
      <c r="M67" s="1">
        <v>0.35699999999999998</v>
      </c>
      <c r="N67" s="1" t="s">
        <v>69</v>
      </c>
      <c r="O67" s="1" t="s">
        <v>70</v>
      </c>
      <c r="P67" s="1">
        <v>42</v>
      </c>
      <c r="Q67" s="1">
        <v>227.22</v>
      </c>
      <c r="R67" s="1">
        <v>17.64</v>
      </c>
      <c r="S67" s="1">
        <v>0.58799999999999997</v>
      </c>
      <c r="T67" s="1">
        <v>15.54</v>
      </c>
      <c r="U67" s="1" t="s">
        <v>35</v>
      </c>
      <c r="V67" s="1" t="s">
        <v>36</v>
      </c>
      <c r="W67" s="1">
        <v>61.666663999999997</v>
      </c>
      <c r="X67" s="1">
        <v>32.066665280000002</v>
      </c>
      <c r="Y67" s="1">
        <v>0.12333332800000001</v>
      </c>
      <c r="Z67" s="1">
        <v>0.43166664799999999</v>
      </c>
      <c r="AA67" s="1">
        <v>6.1666664000000004</v>
      </c>
      <c r="AB67" s="1" t="s">
        <v>37</v>
      </c>
      <c r="AC67" s="1" t="s">
        <v>38</v>
      </c>
      <c r="AD67" s="1">
        <v>12.333334000000001</v>
      </c>
      <c r="AE67" s="1">
        <v>3.57666686</v>
      </c>
      <c r="AF67" s="1">
        <v>2.4666667999999999E-2</v>
      </c>
      <c r="AG67" s="1">
        <v>0.81400004400000003</v>
      </c>
      <c r="AH67" s="1">
        <v>0.18500000999999999</v>
      </c>
    </row>
    <row r="68" spans="1:69" ht="14.25" customHeight="1" x14ac:dyDescent="0.35">
      <c r="A68" s="1" t="s">
        <v>390</v>
      </c>
      <c r="B68" s="2">
        <f t="shared" si="5"/>
        <v>262.86333214000001</v>
      </c>
      <c r="C68" s="2">
        <f t="shared" si="6"/>
        <v>115.99999800000001</v>
      </c>
      <c r="D68" s="2">
        <f t="shared" si="7"/>
        <v>17.787999996</v>
      </c>
      <c r="E68" s="2">
        <f t="shared" si="8"/>
        <v>1.833666692</v>
      </c>
      <c r="F68" s="2">
        <f t="shared" si="9"/>
        <v>21.891666409999999</v>
      </c>
      <c r="G68" s="1" t="s">
        <v>69</v>
      </c>
      <c r="H68" s="1" t="s">
        <v>70</v>
      </c>
      <c r="I68" s="1">
        <v>42</v>
      </c>
      <c r="J68" s="1">
        <v>227.22</v>
      </c>
      <c r="K68" s="1">
        <v>17.64</v>
      </c>
      <c r="L68" s="1">
        <v>0.58799999999999997</v>
      </c>
      <c r="M68" s="1">
        <v>15.54</v>
      </c>
      <c r="N68" s="1" t="s">
        <v>35</v>
      </c>
      <c r="O68" s="1" t="s">
        <v>36</v>
      </c>
      <c r="P68" s="1">
        <v>61.666663999999997</v>
      </c>
      <c r="Q68" s="1">
        <v>32.066665280000002</v>
      </c>
      <c r="R68" s="1">
        <v>0.12333332800000001</v>
      </c>
      <c r="S68" s="1">
        <v>0.43166664799999999</v>
      </c>
      <c r="T68" s="1">
        <v>6.1666664000000004</v>
      </c>
      <c r="U68" s="1" t="s">
        <v>37</v>
      </c>
      <c r="V68" s="1" t="s">
        <v>38</v>
      </c>
      <c r="W68" s="1">
        <v>12.333334000000001</v>
      </c>
      <c r="X68" s="1">
        <v>3.57666686</v>
      </c>
      <c r="Y68" s="1">
        <v>2.4666667999999999E-2</v>
      </c>
      <c r="Z68" s="1">
        <v>0.81400004400000003</v>
      </c>
      <c r="AA68" s="1">
        <v>0.18500000999999999</v>
      </c>
    </row>
    <row r="69" spans="1:69" ht="14.25" customHeight="1" x14ac:dyDescent="0.35">
      <c r="A69" s="1" t="s">
        <v>375</v>
      </c>
      <c r="B69" s="2">
        <f t="shared" si="5"/>
        <v>227.22</v>
      </c>
      <c r="C69" s="2">
        <f t="shared" si="6"/>
        <v>42</v>
      </c>
      <c r="D69" s="2">
        <f t="shared" si="7"/>
        <v>17.64</v>
      </c>
      <c r="E69" s="2">
        <f t="shared" si="8"/>
        <v>0.58799999999999997</v>
      </c>
      <c r="F69" s="2">
        <f t="shared" si="9"/>
        <v>15.54</v>
      </c>
      <c r="G69" s="1" t="s">
        <v>69</v>
      </c>
      <c r="H69" s="1" t="s">
        <v>70</v>
      </c>
      <c r="I69" s="1">
        <v>42</v>
      </c>
      <c r="J69" s="1">
        <v>227.22</v>
      </c>
      <c r="K69" s="1">
        <v>17.64</v>
      </c>
      <c r="L69" s="1">
        <v>0.58799999999999997</v>
      </c>
      <c r="M69" s="1">
        <v>15.54</v>
      </c>
    </row>
    <row r="70" spans="1:69" ht="14.25" customHeight="1" x14ac:dyDescent="0.35">
      <c r="A70" s="1" t="s">
        <v>468</v>
      </c>
      <c r="B70" s="2">
        <f t="shared" si="5"/>
        <v>425.53000000000003</v>
      </c>
      <c r="C70" s="2">
        <f t="shared" si="6"/>
        <v>118</v>
      </c>
      <c r="D70" s="2">
        <f t="shared" si="7"/>
        <v>29.76</v>
      </c>
      <c r="E70" s="2">
        <f t="shared" si="8"/>
        <v>31.945999999999998</v>
      </c>
      <c r="F70" s="2">
        <f t="shared" si="9"/>
        <v>9.6039999999999992</v>
      </c>
      <c r="G70" s="1" t="s">
        <v>69</v>
      </c>
      <c r="H70" s="1" t="s">
        <v>70</v>
      </c>
      <c r="I70" s="1">
        <v>19</v>
      </c>
      <c r="J70" s="1">
        <v>102.79</v>
      </c>
      <c r="K70" s="1">
        <v>7.98</v>
      </c>
      <c r="L70" s="1">
        <v>0.26600000000000001</v>
      </c>
      <c r="M70" s="1">
        <v>7.03</v>
      </c>
      <c r="N70" s="1" t="s">
        <v>33</v>
      </c>
      <c r="O70" s="1" t="s">
        <v>34</v>
      </c>
      <c r="P70" s="1">
        <v>99</v>
      </c>
      <c r="Q70" s="1">
        <v>322.74</v>
      </c>
      <c r="R70" s="1">
        <v>21.78</v>
      </c>
      <c r="S70" s="1">
        <v>31.68</v>
      </c>
      <c r="T70" s="1">
        <v>2.5739999999999998</v>
      </c>
    </row>
    <row r="71" spans="1:69" ht="14.25" customHeight="1" x14ac:dyDescent="0.35">
      <c r="A71" s="1" t="s">
        <v>442</v>
      </c>
      <c r="B71" s="2">
        <f t="shared" si="5"/>
        <v>322.74</v>
      </c>
      <c r="C71" s="2">
        <f t="shared" si="6"/>
        <v>99</v>
      </c>
      <c r="D71" s="2">
        <f t="shared" si="7"/>
        <v>21.78</v>
      </c>
      <c r="E71" s="2">
        <f t="shared" si="8"/>
        <v>31.68</v>
      </c>
      <c r="F71" s="2">
        <f t="shared" si="9"/>
        <v>2.5739999999999998</v>
      </c>
      <c r="G71" s="1" t="s">
        <v>33</v>
      </c>
      <c r="H71" s="1" t="s">
        <v>34</v>
      </c>
      <c r="I71" s="1">
        <v>99</v>
      </c>
      <c r="J71" s="1">
        <v>322.74</v>
      </c>
      <c r="K71" s="1">
        <v>21.78</v>
      </c>
      <c r="L71" s="1">
        <v>31.68</v>
      </c>
      <c r="M71" s="1">
        <v>2.5739999999999998</v>
      </c>
    </row>
    <row r="72" spans="1:69" ht="14.25" customHeight="1" x14ac:dyDescent="0.35">
      <c r="A72" s="1" t="s">
        <v>310</v>
      </c>
      <c r="B72" s="2">
        <f t="shared" si="5"/>
        <v>378.37942873299994</v>
      </c>
      <c r="C72" s="2">
        <f t="shared" si="6"/>
        <v>419.999999</v>
      </c>
      <c r="D72" s="2">
        <f t="shared" si="7"/>
        <v>26.294375326000001</v>
      </c>
      <c r="E72" s="2">
        <f t="shared" si="8"/>
        <v>29.438567196999998</v>
      </c>
      <c r="F72" s="2">
        <f t="shared" si="9"/>
        <v>23.483741058</v>
      </c>
      <c r="G72" s="1" t="s">
        <v>204</v>
      </c>
      <c r="H72" s="1" t="s">
        <v>205</v>
      </c>
      <c r="I72" s="1">
        <v>60.3125</v>
      </c>
      <c r="J72" s="1">
        <v>12.364062499999999</v>
      </c>
      <c r="K72" s="1">
        <v>0.1809375</v>
      </c>
      <c r="L72" s="1">
        <v>2.0506250000000001</v>
      </c>
      <c r="M72" s="1">
        <v>0.54281250000000003</v>
      </c>
      <c r="N72" s="1" t="s">
        <v>75</v>
      </c>
      <c r="O72" s="1" t="s">
        <v>76</v>
      </c>
      <c r="P72" s="1">
        <v>60.3125</v>
      </c>
      <c r="Q72" s="1">
        <v>54.28125</v>
      </c>
      <c r="R72" s="1">
        <v>7.8406250000000002</v>
      </c>
      <c r="S72" s="1">
        <v>0</v>
      </c>
      <c r="T72" s="1">
        <v>11.0975</v>
      </c>
      <c r="U72" s="1" t="s">
        <v>13</v>
      </c>
      <c r="V72" s="1" t="s">
        <v>14</v>
      </c>
      <c r="W72" s="1">
        <v>2.005811</v>
      </c>
      <c r="X72" s="1">
        <v>17.731369239999999</v>
      </c>
      <c r="Y72" s="1">
        <v>2.005811</v>
      </c>
      <c r="Z72" s="1">
        <v>0</v>
      </c>
      <c r="AA72" s="1">
        <v>0</v>
      </c>
      <c r="AB72" s="1" t="s">
        <v>311</v>
      </c>
      <c r="AC72" s="1" t="s">
        <v>312</v>
      </c>
      <c r="AD72" s="1">
        <v>116</v>
      </c>
      <c r="AE72" s="1">
        <v>36.308</v>
      </c>
      <c r="AF72" s="1">
        <v>0.69599999999999995</v>
      </c>
      <c r="AG72" s="1">
        <v>6.1479999999999997</v>
      </c>
      <c r="AH72" s="1">
        <v>3.48</v>
      </c>
      <c r="AI72" s="1" t="s">
        <v>17</v>
      </c>
      <c r="AJ72" s="1" t="s">
        <v>18</v>
      </c>
      <c r="AK72" s="1">
        <v>1.1792E-2</v>
      </c>
      <c r="AL72" s="1">
        <v>0</v>
      </c>
      <c r="AM72" s="1">
        <v>0</v>
      </c>
      <c r="AN72" s="1">
        <v>0</v>
      </c>
      <c r="AO72" s="1">
        <v>0</v>
      </c>
      <c r="AP72" s="1" t="s">
        <v>170</v>
      </c>
      <c r="AQ72" s="1" t="s">
        <v>171</v>
      </c>
      <c r="AR72" s="1">
        <v>2.005811</v>
      </c>
      <c r="AS72" s="1">
        <v>6.745542393</v>
      </c>
      <c r="AT72" s="1">
        <v>0.73412682600000001</v>
      </c>
      <c r="AU72" s="1">
        <v>5.4156897000000002E-2</v>
      </c>
      <c r="AV72" s="1">
        <v>5.6162707999999999E-2</v>
      </c>
      <c r="AW72" s="1" t="s">
        <v>313</v>
      </c>
      <c r="AX72" s="1" t="s">
        <v>314</v>
      </c>
      <c r="AY72" s="1">
        <v>60.3125</v>
      </c>
      <c r="AZ72" s="1">
        <v>62.725000000000001</v>
      </c>
      <c r="BA72" s="1">
        <v>2.774375</v>
      </c>
      <c r="BB72" s="1">
        <v>1.93</v>
      </c>
      <c r="BC72" s="1">
        <v>7.2374999999999998</v>
      </c>
      <c r="BD72" s="1" t="s">
        <v>268</v>
      </c>
      <c r="BE72" s="1" t="s">
        <v>269</v>
      </c>
      <c r="BF72" s="1">
        <v>106.976585</v>
      </c>
      <c r="BG72" s="1">
        <v>81.302204599999996</v>
      </c>
      <c r="BH72" s="1">
        <v>0</v>
      </c>
      <c r="BI72" s="1">
        <v>19.255785299999999</v>
      </c>
      <c r="BJ72" s="1">
        <v>1.06976585</v>
      </c>
      <c r="BK72" s="1" t="s">
        <v>176</v>
      </c>
      <c r="BL72" t="s">
        <v>557</v>
      </c>
      <c r="BM72" s="1">
        <v>12.0625</v>
      </c>
      <c r="BN72" s="1">
        <v>106.922</v>
      </c>
      <c r="BO72" s="1">
        <v>12.0625</v>
      </c>
      <c r="BP72" s="1">
        <v>0</v>
      </c>
      <c r="BQ72" s="1">
        <v>0</v>
      </c>
    </row>
    <row r="73" spans="1:69" ht="14.25" customHeight="1" x14ac:dyDescent="0.35">
      <c r="A73" s="1" t="s">
        <v>356</v>
      </c>
      <c r="B73" s="2">
        <f t="shared" si="5"/>
        <v>142.08711623299999</v>
      </c>
      <c r="C73" s="2">
        <f t="shared" si="6"/>
        <v>226.999999</v>
      </c>
      <c r="D73" s="2">
        <f t="shared" si="7"/>
        <v>3.435937826</v>
      </c>
      <c r="E73" s="2">
        <f t="shared" si="8"/>
        <v>25.457942197000001</v>
      </c>
      <c r="F73" s="2">
        <f t="shared" si="9"/>
        <v>4.6059285580000005</v>
      </c>
      <c r="G73" s="1" t="s">
        <v>13</v>
      </c>
      <c r="H73" s="1" t="s">
        <v>14</v>
      </c>
      <c r="I73" s="1">
        <v>2.005811</v>
      </c>
      <c r="J73" s="1">
        <v>17.731369239999999</v>
      </c>
      <c r="K73" s="1">
        <v>2.005811</v>
      </c>
      <c r="L73" s="1">
        <v>0</v>
      </c>
      <c r="M73" s="1">
        <v>0</v>
      </c>
      <c r="N73" s="1" t="s">
        <v>311</v>
      </c>
      <c r="O73" s="1" t="s">
        <v>312</v>
      </c>
      <c r="P73" s="1">
        <v>116</v>
      </c>
      <c r="Q73" s="1">
        <v>36.308</v>
      </c>
      <c r="R73" s="1">
        <v>0.69599999999999995</v>
      </c>
      <c r="S73" s="1">
        <v>6.1479999999999997</v>
      </c>
      <c r="T73" s="1">
        <v>3.48</v>
      </c>
      <c r="U73" s="1" t="s">
        <v>17</v>
      </c>
      <c r="V73" s="1" t="s">
        <v>18</v>
      </c>
      <c r="W73" s="1">
        <v>1.1792E-2</v>
      </c>
      <c r="X73" s="1">
        <v>0</v>
      </c>
      <c r="Y73" s="1">
        <v>0</v>
      </c>
      <c r="Z73" s="1">
        <v>0</v>
      </c>
      <c r="AA73" s="1">
        <v>0</v>
      </c>
      <c r="AB73" s="1" t="s">
        <v>170</v>
      </c>
      <c r="AC73" s="1" t="s">
        <v>171</v>
      </c>
      <c r="AD73" s="1">
        <v>2.005811</v>
      </c>
      <c r="AE73" s="1">
        <v>6.745542393</v>
      </c>
      <c r="AF73" s="1">
        <v>0.73412682600000001</v>
      </c>
      <c r="AG73" s="1">
        <v>5.4156897000000002E-2</v>
      </c>
      <c r="AH73" s="1">
        <v>5.6162707999999999E-2</v>
      </c>
      <c r="AI73" s="1" t="s">
        <v>268</v>
      </c>
      <c r="AJ73" s="1" t="s">
        <v>269</v>
      </c>
      <c r="AK73" s="1">
        <v>106.976585</v>
      </c>
      <c r="AL73" s="1">
        <v>81.302204599999996</v>
      </c>
      <c r="AM73" s="1">
        <v>0</v>
      </c>
      <c r="AN73" s="1">
        <v>19.255785299999999</v>
      </c>
      <c r="AO73" s="1">
        <v>1.06976585</v>
      </c>
    </row>
    <row r="74" spans="1:69" ht="14.25" customHeight="1" x14ac:dyDescent="0.35">
      <c r="A74" s="1" t="s">
        <v>441</v>
      </c>
      <c r="B74" s="2">
        <f t="shared" si="5"/>
        <v>36.308</v>
      </c>
      <c r="C74" s="2">
        <f t="shared" si="6"/>
        <v>116</v>
      </c>
      <c r="D74" s="2">
        <f t="shared" si="7"/>
        <v>0.69599999999999995</v>
      </c>
      <c r="E74" s="2">
        <f t="shared" si="8"/>
        <v>6.1479999999999997</v>
      </c>
      <c r="F74" s="2">
        <f t="shared" si="9"/>
        <v>3.48</v>
      </c>
      <c r="G74" s="1" t="s">
        <v>311</v>
      </c>
      <c r="H74" s="1" t="s">
        <v>312</v>
      </c>
      <c r="I74" s="1">
        <v>116</v>
      </c>
      <c r="J74" s="1">
        <v>36.308</v>
      </c>
      <c r="K74" s="1">
        <v>0.69599999999999995</v>
      </c>
      <c r="L74" s="1">
        <v>6.1479999999999997</v>
      </c>
      <c r="M74" s="1">
        <v>3.48</v>
      </c>
    </row>
    <row r="75" spans="1:69" ht="14.25" customHeight="1" x14ac:dyDescent="0.35">
      <c r="A75" s="1" t="s">
        <v>328</v>
      </c>
      <c r="B75" s="2">
        <f t="shared" si="5"/>
        <v>814.76277105499992</v>
      </c>
      <c r="C75" s="2">
        <f t="shared" si="6"/>
        <v>372.99999700000001</v>
      </c>
      <c r="D75" s="2">
        <f t="shared" si="7"/>
        <v>36.191095840000003</v>
      </c>
      <c r="E75" s="2">
        <f t="shared" si="8"/>
        <v>96.338841073000012</v>
      </c>
      <c r="F75" s="2">
        <f t="shared" si="9"/>
        <v>26.402330385000003</v>
      </c>
      <c r="G75" s="1" t="s">
        <v>69</v>
      </c>
      <c r="H75" s="1" t="s">
        <v>70</v>
      </c>
      <c r="I75" s="1">
        <v>16.344532000000001</v>
      </c>
      <c r="J75" s="1">
        <v>88.423918119999996</v>
      </c>
      <c r="K75" s="1">
        <v>6.8647034400000004</v>
      </c>
      <c r="L75" s="1">
        <v>0.22882344800000001</v>
      </c>
      <c r="M75" s="1">
        <v>6.0474768399999999</v>
      </c>
      <c r="N75" s="1" t="s">
        <v>95</v>
      </c>
      <c r="O75" s="1" t="s">
        <v>96</v>
      </c>
      <c r="P75" s="1">
        <v>20.430665999999999</v>
      </c>
      <c r="Q75" s="1">
        <v>8.1722663999999998</v>
      </c>
      <c r="R75" s="1">
        <v>2.0430666E-2</v>
      </c>
      <c r="S75" s="1">
        <v>1.8387599400000001</v>
      </c>
      <c r="T75" s="1">
        <v>0.22473732599999999</v>
      </c>
      <c r="U75" s="1" t="s">
        <v>13</v>
      </c>
      <c r="V75" s="1" t="s">
        <v>14</v>
      </c>
      <c r="W75" s="1">
        <v>12.258399000000001</v>
      </c>
      <c r="X75" s="1">
        <v>108.36424716000001</v>
      </c>
      <c r="Y75" s="1">
        <v>12.258399000000001</v>
      </c>
      <c r="Z75" s="1">
        <v>0</v>
      </c>
      <c r="AA75" s="1">
        <v>0</v>
      </c>
      <c r="AB75" s="1" t="s">
        <v>135</v>
      </c>
      <c r="AC75" s="1" t="s">
        <v>136</v>
      </c>
      <c r="AD75" s="1">
        <v>182</v>
      </c>
      <c r="AE75" s="1">
        <v>418.6</v>
      </c>
      <c r="AF75" s="1">
        <v>9.8279999999999994</v>
      </c>
      <c r="AG75" s="1">
        <v>70.98</v>
      </c>
      <c r="AH75" s="1">
        <v>11.284000000000001</v>
      </c>
      <c r="AI75" s="1" t="s">
        <v>329</v>
      </c>
      <c r="AJ75" s="1" t="s">
        <v>330</v>
      </c>
      <c r="AK75" s="1">
        <v>24.516798000000001</v>
      </c>
      <c r="AL75" s="1">
        <v>64.72434672</v>
      </c>
      <c r="AM75" s="1">
        <v>5.1485275799999997</v>
      </c>
      <c r="AN75" s="1">
        <v>0</v>
      </c>
      <c r="AO75" s="1">
        <v>4.6581916200000002</v>
      </c>
      <c r="AP75" s="1" t="s">
        <v>187</v>
      </c>
      <c r="AQ75" s="1" t="s">
        <v>188</v>
      </c>
      <c r="AR75" s="1">
        <v>16.344532000000001</v>
      </c>
      <c r="AS75" s="1">
        <v>11.27772708</v>
      </c>
      <c r="AT75" s="1">
        <v>3.2689063999999997E-2</v>
      </c>
      <c r="AU75" s="1">
        <v>2.9420157599999999</v>
      </c>
      <c r="AV75" s="1">
        <v>0.11441172400000001</v>
      </c>
      <c r="AW75" s="1" t="s">
        <v>226</v>
      </c>
      <c r="AX75" s="1" t="s">
        <v>227</v>
      </c>
      <c r="AY75" s="1">
        <v>57</v>
      </c>
      <c r="AZ75" s="1">
        <v>13.11</v>
      </c>
      <c r="BA75" s="1">
        <v>0</v>
      </c>
      <c r="BB75" s="1">
        <v>2.2799999999999998</v>
      </c>
      <c r="BC75" s="1">
        <v>1.71</v>
      </c>
      <c r="BD75" s="1" t="s">
        <v>44</v>
      </c>
      <c r="BE75" s="1" t="s">
        <v>45</v>
      </c>
      <c r="BF75" s="1">
        <v>0.86480500000000005</v>
      </c>
      <c r="BG75" s="1">
        <v>0.25944149999999999</v>
      </c>
      <c r="BH75" s="1">
        <v>6.0536349999999999E-3</v>
      </c>
      <c r="BI75" s="1">
        <v>3.8051420000000002E-2</v>
      </c>
      <c r="BJ75" s="1">
        <v>2.8538564999999998E-2</v>
      </c>
      <c r="BK75" s="1" t="s">
        <v>65</v>
      </c>
      <c r="BL75" t="s">
        <v>553</v>
      </c>
      <c r="BM75" s="1">
        <v>43.240265000000001</v>
      </c>
      <c r="BN75" s="1">
        <v>101.830824075</v>
      </c>
      <c r="BO75" s="1">
        <v>2.0322924549999999</v>
      </c>
      <c r="BP75" s="1">
        <v>18.031190505000001</v>
      </c>
      <c r="BQ75" s="1">
        <v>2.3349743100000002</v>
      </c>
    </row>
    <row r="76" spans="1:69" ht="14.25" customHeight="1" x14ac:dyDescent="0.35">
      <c r="A76" s="1" t="s">
        <v>315</v>
      </c>
      <c r="B76" s="2">
        <f t="shared" si="5"/>
        <v>431.71000000000004</v>
      </c>
      <c r="C76" s="2">
        <f t="shared" si="6"/>
        <v>239</v>
      </c>
      <c r="D76" s="2">
        <f t="shared" si="7"/>
        <v>9.8279999999999994</v>
      </c>
      <c r="E76" s="2">
        <f t="shared" si="8"/>
        <v>73.260000000000005</v>
      </c>
      <c r="F76" s="2">
        <f t="shared" si="9"/>
        <v>12.994</v>
      </c>
      <c r="G76" s="1" t="s">
        <v>135</v>
      </c>
      <c r="H76" s="1" t="s">
        <v>136</v>
      </c>
      <c r="I76" s="1">
        <v>182</v>
      </c>
      <c r="J76" s="1">
        <v>418.6</v>
      </c>
      <c r="K76" s="1">
        <v>9.8279999999999994</v>
      </c>
      <c r="L76" s="1">
        <v>70.98</v>
      </c>
      <c r="M76" s="1">
        <v>11.284000000000001</v>
      </c>
      <c r="N76" s="1" t="s">
        <v>226</v>
      </c>
      <c r="O76" s="1" t="s">
        <v>227</v>
      </c>
      <c r="P76" s="1">
        <v>57</v>
      </c>
      <c r="Q76" s="1">
        <v>13.11</v>
      </c>
      <c r="R76" s="1">
        <v>0</v>
      </c>
      <c r="S76" s="1">
        <v>2.2799999999999998</v>
      </c>
      <c r="T76" s="1">
        <v>1.71</v>
      </c>
    </row>
    <row r="77" spans="1:69" ht="14.25" customHeight="1" x14ac:dyDescent="0.35">
      <c r="A77" s="1" t="s">
        <v>518</v>
      </c>
      <c r="B77" s="2">
        <f t="shared" si="5"/>
        <v>418.6</v>
      </c>
      <c r="C77" s="2">
        <f t="shared" si="6"/>
        <v>182</v>
      </c>
      <c r="D77" s="2">
        <f t="shared" si="7"/>
        <v>9.8279999999999994</v>
      </c>
      <c r="E77" s="2">
        <f t="shared" si="8"/>
        <v>70.98</v>
      </c>
      <c r="F77" s="2">
        <f t="shared" si="9"/>
        <v>11.284000000000001</v>
      </c>
      <c r="G77" s="1" t="s">
        <v>135</v>
      </c>
      <c r="H77" s="1" t="s">
        <v>136</v>
      </c>
      <c r="I77" s="1">
        <v>182</v>
      </c>
      <c r="J77" s="1">
        <v>418.6</v>
      </c>
      <c r="K77" s="1">
        <v>9.8279999999999994</v>
      </c>
      <c r="L77" s="1">
        <v>70.98</v>
      </c>
      <c r="M77" s="1">
        <v>11.284000000000001</v>
      </c>
    </row>
    <row r="78" spans="1:69" ht="14.25" customHeight="1" x14ac:dyDescent="0.35">
      <c r="A78" s="1" t="s">
        <v>481</v>
      </c>
      <c r="B78" s="2">
        <f t="shared" si="5"/>
        <v>288.08</v>
      </c>
      <c r="C78" s="2">
        <f t="shared" si="6"/>
        <v>277</v>
      </c>
      <c r="D78" s="2">
        <f t="shared" si="7"/>
        <v>12.742000000000001</v>
      </c>
      <c r="E78" s="2">
        <f t="shared" si="8"/>
        <v>8.8640000000000008</v>
      </c>
      <c r="F78" s="2">
        <f t="shared" si="9"/>
        <v>33.24</v>
      </c>
      <c r="G78" s="1" t="s">
        <v>313</v>
      </c>
      <c r="H78" s="1" t="s">
        <v>314</v>
      </c>
      <c r="I78" s="1">
        <v>277</v>
      </c>
      <c r="J78" s="1">
        <v>288.08</v>
      </c>
      <c r="K78" s="1">
        <v>12.742000000000001</v>
      </c>
      <c r="L78" s="1">
        <v>8.8640000000000008</v>
      </c>
      <c r="M78" s="1">
        <v>33.24</v>
      </c>
    </row>
    <row r="79" spans="1:69" ht="14.25" customHeight="1" x14ac:dyDescent="0.35">
      <c r="A79" s="1" t="s">
        <v>536</v>
      </c>
      <c r="B79" s="2">
        <f t="shared" si="5"/>
        <v>96.150484065000001</v>
      </c>
      <c r="C79" s="2">
        <f t="shared" si="6"/>
        <v>41</v>
      </c>
      <c r="D79" s="2">
        <f t="shared" si="7"/>
        <v>5.5619202939999992</v>
      </c>
      <c r="E79" s="2">
        <f t="shared" si="8"/>
        <v>7.3570207270000001</v>
      </c>
      <c r="F79" s="2">
        <f t="shared" si="9"/>
        <v>4.259539062</v>
      </c>
      <c r="G79" s="1" t="s">
        <v>13</v>
      </c>
      <c r="H79" s="1" t="s">
        <v>14</v>
      </c>
      <c r="I79" s="1">
        <v>2.868919</v>
      </c>
      <c r="J79" s="1">
        <v>25.361243959999999</v>
      </c>
      <c r="K79" s="1">
        <v>2.868919</v>
      </c>
      <c r="L79" s="1">
        <v>0</v>
      </c>
      <c r="M79" s="1">
        <v>0</v>
      </c>
      <c r="N79" s="1" t="s">
        <v>57</v>
      </c>
      <c r="O79" s="1" t="s">
        <v>58</v>
      </c>
      <c r="P79" s="1">
        <v>11.475675000000001</v>
      </c>
      <c r="Q79" s="1">
        <v>31.8564738</v>
      </c>
      <c r="R79" s="1">
        <v>1.9623404250000001</v>
      </c>
      <c r="S79" s="1">
        <v>0.36722159999999998</v>
      </c>
      <c r="T79" s="1">
        <v>3.2131889999999999</v>
      </c>
      <c r="U79" s="1" t="s">
        <v>63</v>
      </c>
      <c r="V79" s="1" t="s">
        <v>64</v>
      </c>
      <c r="W79" s="1">
        <v>2.868919</v>
      </c>
      <c r="X79" s="1">
        <v>0.68854055999999997</v>
      </c>
      <c r="Y79" s="1">
        <v>0</v>
      </c>
      <c r="Z79" s="1">
        <v>5.737838E-2</v>
      </c>
      <c r="AA79" s="1">
        <v>0.11475676</v>
      </c>
      <c r="AB79" s="1" t="s">
        <v>65</v>
      </c>
      <c r="AC79" t="s">
        <v>553</v>
      </c>
      <c r="AD79" s="1">
        <v>15.179731</v>
      </c>
      <c r="AE79" s="1">
        <v>35.748266504999997</v>
      </c>
      <c r="AF79" s="1">
        <v>0.71344735699999995</v>
      </c>
      <c r="AG79" s="1">
        <v>6.3299478269999998</v>
      </c>
      <c r="AH79" s="1">
        <v>0.81970547400000005</v>
      </c>
      <c r="AI79" s="1" t="s">
        <v>66</v>
      </c>
      <c r="AJ79" t="s">
        <v>555</v>
      </c>
      <c r="AK79" s="1">
        <v>8.6067560000000007</v>
      </c>
      <c r="AL79" s="1">
        <v>2.4959592399999999</v>
      </c>
      <c r="AM79" s="1">
        <v>1.7213512E-2</v>
      </c>
      <c r="AN79" s="1">
        <v>0.60247291999999997</v>
      </c>
      <c r="AO79" s="1">
        <v>0.11188782799999999</v>
      </c>
    </row>
    <row r="80" spans="1:69" ht="14.25" customHeight="1" x14ac:dyDescent="0.35">
      <c r="A80" s="1" t="s">
        <v>332</v>
      </c>
      <c r="B80" s="2">
        <f t="shared" si="5"/>
        <v>226.75973744300001</v>
      </c>
      <c r="C80" s="2">
        <f t="shared" si="6"/>
        <v>270.999999</v>
      </c>
      <c r="D80" s="2">
        <f t="shared" si="7"/>
        <v>12.652830708999998</v>
      </c>
      <c r="E80" s="2">
        <f t="shared" si="8"/>
        <v>26.291917658000006</v>
      </c>
      <c r="F80" s="2">
        <f t="shared" si="9"/>
        <v>4.9350144829999998</v>
      </c>
      <c r="G80" s="1" t="s">
        <v>47</v>
      </c>
      <c r="H80" s="1" t="s">
        <v>48</v>
      </c>
      <c r="I80" s="1">
        <v>57.408627000000003</v>
      </c>
      <c r="J80" s="1">
        <v>20.09301945</v>
      </c>
      <c r="K80" s="1">
        <v>0.22963450799999999</v>
      </c>
      <c r="L80" s="1">
        <v>4.0186038899999996</v>
      </c>
      <c r="M80" s="1">
        <v>1.377807048</v>
      </c>
      <c r="N80" s="1" t="s">
        <v>13</v>
      </c>
      <c r="O80" s="1" t="s">
        <v>14</v>
      </c>
      <c r="P80" s="1">
        <v>1.0764119999999999</v>
      </c>
      <c r="Q80" s="1">
        <v>9.51548208</v>
      </c>
      <c r="R80" s="1">
        <v>1.0764119999999999</v>
      </c>
      <c r="S80" s="1">
        <v>0</v>
      </c>
      <c r="T80" s="1">
        <v>0</v>
      </c>
      <c r="U80" s="1" t="s">
        <v>162</v>
      </c>
      <c r="V80" s="1" t="s">
        <v>163</v>
      </c>
      <c r="W80" s="1">
        <v>0.79102799999999995</v>
      </c>
      <c r="X80" s="1">
        <v>3.1245606000000001</v>
      </c>
      <c r="Y80" s="1">
        <v>4.0342428E-2</v>
      </c>
      <c r="Z80" s="1">
        <v>0.56400296400000005</v>
      </c>
      <c r="AA80" s="1">
        <v>0.104415696</v>
      </c>
      <c r="AB80" s="1" t="s">
        <v>59</v>
      </c>
      <c r="AC80" s="1" t="s">
        <v>60</v>
      </c>
      <c r="AD80" s="1">
        <v>100.47618900000001</v>
      </c>
      <c r="AE80" s="1">
        <v>91.131903422999997</v>
      </c>
      <c r="AF80" s="1">
        <v>2.9138094809999999</v>
      </c>
      <c r="AG80" s="1">
        <v>15.171904539</v>
      </c>
      <c r="AH80" s="1">
        <v>1.708095213</v>
      </c>
      <c r="AI80" s="1" t="s">
        <v>17</v>
      </c>
      <c r="AJ80" s="1" t="s">
        <v>18</v>
      </c>
      <c r="AK80" s="1">
        <v>6.3280000000000003E-3</v>
      </c>
      <c r="AL80" s="1">
        <v>0</v>
      </c>
      <c r="AM80" s="1">
        <v>0</v>
      </c>
      <c r="AN80" s="1">
        <v>0</v>
      </c>
      <c r="AO80" s="1">
        <v>0</v>
      </c>
      <c r="AP80" s="1" t="s">
        <v>61</v>
      </c>
      <c r="AQ80" s="1" t="s">
        <v>62</v>
      </c>
      <c r="AR80" s="1">
        <v>10.047618999999999</v>
      </c>
      <c r="AS80" s="1">
        <v>72.041428229999994</v>
      </c>
      <c r="AT80" s="1">
        <v>8.1385713899999992</v>
      </c>
      <c r="AU80" s="1">
        <v>1.0047619000000001E-2</v>
      </c>
      <c r="AV80" s="1">
        <v>8.0380952000000006E-2</v>
      </c>
      <c r="AW80" s="1" t="s">
        <v>42</v>
      </c>
      <c r="AX80" s="1" t="s">
        <v>43</v>
      </c>
      <c r="AY80" s="1">
        <v>0.71760800000000002</v>
      </c>
      <c r="AZ80" s="1">
        <v>0.20810632000000001</v>
      </c>
      <c r="BA80" s="1">
        <v>2.870432E-3</v>
      </c>
      <c r="BB80" s="1">
        <v>4.6644520000000002E-2</v>
      </c>
      <c r="BC80" s="1">
        <v>6.4584719999999998E-3</v>
      </c>
      <c r="BD80" s="1" t="s">
        <v>85</v>
      </c>
      <c r="BE80" s="1" t="s">
        <v>86</v>
      </c>
      <c r="BF80" s="1">
        <v>50.238093999999997</v>
      </c>
      <c r="BG80" s="1">
        <v>9.5452378600000003</v>
      </c>
      <c r="BH80" s="1">
        <v>0.10047618799999999</v>
      </c>
      <c r="BI80" s="1">
        <v>1.858809478</v>
      </c>
      <c r="BJ80" s="1">
        <v>0.90428569199999997</v>
      </c>
      <c r="BK80" s="1" t="s">
        <v>192</v>
      </c>
      <c r="BL80" s="1" t="s">
        <v>193</v>
      </c>
      <c r="BM80" s="1">
        <v>50.238093999999997</v>
      </c>
      <c r="BN80" s="1">
        <v>21.099999480000001</v>
      </c>
      <c r="BO80" s="1">
        <v>0.150714282</v>
      </c>
      <c r="BP80" s="1">
        <v>4.6219046480000001</v>
      </c>
      <c r="BQ80" s="1">
        <v>0.75357141000000005</v>
      </c>
    </row>
    <row r="81" spans="1:90" ht="14.25" customHeight="1" x14ac:dyDescent="0.35">
      <c r="A81" s="1" t="s">
        <v>191</v>
      </c>
      <c r="B81" s="2">
        <f t="shared" si="5"/>
        <v>193.81856899299999</v>
      </c>
      <c r="C81" s="2">
        <f t="shared" si="6"/>
        <v>210.99999599999998</v>
      </c>
      <c r="D81" s="2">
        <f t="shared" si="7"/>
        <v>11.303571340999998</v>
      </c>
      <c r="E81" s="2">
        <f t="shared" si="8"/>
        <v>21.662666284</v>
      </c>
      <c r="F81" s="2">
        <f t="shared" si="9"/>
        <v>3.446333267</v>
      </c>
      <c r="G81" s="1" t="s">
        <v>59</v>
      </c>
      <c r="H81" s="1" t="s">
        <v>60</v>
      </c>
      <c r="I81" s="1">
        <v>100.47618900000001</v>
      </c>
      <c r="J81" s="1">
        <v>91.131903422999997</v>
      </c>
      <c r="K81" s="1">
        <v>2.9138094809999999</v>
      </c>
      <c r="L81" s="1">
        <v>15.171904539</v>
      </c>
      <c r="M81" s="1">
        <v>1.708095213</v>
      </c>
      <c r="N81" s="1" t="s">
        <v>61</v>
      </c>
      <c r="O81" s="1" t="s">
        <v>62</v>
      </c>
      <c r="P81" s="1">
        <v>10.047618999999999</v>
      </c>
      <c r="Q81" s="1">
        <v>72.041428229999994</v>
      </c>
      <c r="R81" s="1">
        <v>8.1385713899999992</v>
      </c>
      <c r="S81" s="1">
        <v>1.0047619000000001E-2</v>
      </c>
      <c r="T81" s="1">
        <v>8.0380952000000006E-2</v>
      </c>
      <c r="U81" s="1" t="s">
        <v>85</v>
      </c>
      <c r="V81" s="1" t="s">
        <v>86</v>
      </c>
      <c r="W81" s="1">
        <v>50.238093999999997</v>
      </c>
      <c r="X81" s="1">
        <v>9.5452378600000003</v>
      </c>
      <c r="Y81" s="1">
        <v>0.10047618799999999</v>
      </c>
      <c r="Z81" s="1">
        <v>1.858809478</v>
      </c>
      <c r="AA81" s="1">
        <v>0.90428569199999997</v>
      </c>
      <c r="AB81" s="1" t="s">
        <v>192</v>
      </c>
      <c r="AC81" s="1" t="s">
        <v>193</v>
      </c>
      <c r="AD81" s="1">
        <v>50.238093999999997</v>
      </c>
      <c r="AE81" s="1">
        <v>21.099999480000001</v>
      </c>
      <c r="AF81" s="1">
        <v>0.150714282</v>
      </c>
      <c r="AG81" s="1">
        <v>4.6219046480000001</v>
      </c>
      <c r="AH81" s="1">
        <v>0.75357141000000005</v>
      </c>
    </row>
    <row r="82" spans="1:90" ht="14.25" customHeight="1" x14ac:dyDescent="0.35">
      <c r="A82" s="1" t="s">
        <v>161</v>
      </c>
      <c r="B82" s="2">
        <f t="shared" si="5"/>
        <v>279.46957700899998</v>
      </c>
      <c r="C82" s="2">
        <f t="shared" si="6"/>
        <v>216.00000200000002</v>
      </c>
      <c r="D82" s="2">
        <f t="shared" si="7"/>
        <v>15.575228847</v>
      </c>
      <c r="E82" s="2">
        <f t="shared" si="8"/>
        <v>15.796602740000001</v>
      </c>
      <c r="F82" s="2">
        <f t="shared" si="9"/>
        <v>19.331280366999998</v>
      </c>
      <c r="G82" s="1" t="s">
        <v>47</v>
      </c>
      <c r="H82" s="1" t="s">
        <v>48</v>
      </c>
      <c r="I82" s="1">
        <v>46.883709000000003</v>
      </c>
      <c r="J82" s="1">
        <v>16.409298150000001</v>
      </c>
      <c r="K82" s="1">
        <v>0.18753483600000001</v>
      </c>
      <c r="L82" s="1">
        <v>3.28185963</v>
      </c>
      <c r="M82" s="1">
        <v>1.1252090159999999</v>
      </c>
      <c r="N82" s="1" t="s">
        <v>55</v>
      </c>
      <c r="O82" s="1" t="s">
        <v>56</v>
      </c>
      <c r="P82" s="1">
        <v>79.523810999999995</v>
      </c>
      <c r="Q82" s="1">
        <v>123.42095467199999</v>
      </c>
      <c r="R82" s="1">
        <v>5.7257143920000004</v>
      </c>
      <c r="S82" s="1">
        <v>0</v>
      </c>
      <c r="T82" s="1">
        <v>16.70000031</v>
      </c>
      <c r="U82" s="1" t="s">
        <v>13</v>
      </c>
      <c r="V82" s="1" t="s">
        <v>14</v>
      </c>
      <c r="W82" s="1">
        <v>0.87907000000000002</v>
      </c>
      <c r="X82" s="1">
        <v>7.7709788</v>
      </c>
      <c r="Y82" s="1">
        <v>0.87907000000000002</v>
      </c>
      <c r="Z82" s="1">
        <v>0</v>
      </c>
      <c r="AA82" s="1">
        <v>0</v>
      </c>
      <c r="AB82" s="1" t="s">
        <v>162</v>
      </c>
      <c r="AC82" s="1" t="s">
        <v>163</v>
      </c>
      <c r="AD82" s="1">
        <v>0.64600599999999997</v>
      </c>
      <c r="AE82" s="1">
        <v>2.5517237000000002</v>
      </c>
      <c r="AF82" s="1">
        <v>3.2946306000000002E-2</v>
      </c>
      <c r="AG82" s="1">
        <v>0.46060227799999998</v>
      </c>
      <c r="AH82" s="1">
        <v>8.5272792E-2</v>
      </c>
      <c r="AI82" s="1" t="s">
        <v>59</v>
      </c>
      <c r="AJ82" s="1" t="s">
        <v>60</v>
      </c>
      <c r="AK82" s="1">
        <v>79.523810999999995</v>
      </c>
      <c r="AL82" s="1">
        <v>72.128096576999994</v>
      </c>
      <c r="AM82" s="1">
        <v>2.3061905189999998</v>
      </c>
      <c r="AN82" s="1">
        <v>12.008095461</v>
      </c>
      <c r="AO82" s="1">
        <v>1.3519047870000001</v>
      </c>
      <c r="AP82" s="1" t="s">
        <v>17</v>
      </c>
      <c r="AQ82" s="1" t="s">
        <v>18</v>
      </c>
      <c r="AR82" s="1">
        <v>5.1679999999999999E-3</v>
      </c>
      <c r="AS82" s="1">
        <v>0</v>
      </c>
      <c r="AT82" s="1">
        <v>0</v>
      </c>
      <c r="AU82" s="1">
        <v>0</v>
      </c>
      <c r="AV82" s="1">
        <v>0</v>
      </c>
      <c r="AW82" s="1" t="s">
        <v>61</v>
      </c>
      <c r="AX82" s="1" t="s">
        <v>62</v>
      </c>
      <c r="AY82" s="1">
        <v>7.9523809999999999</v>
      </c>
      <c r="AZ82" s="1">
        <v>57.018571770000001</v>
      </c>
      <c r="BA82" s="1">
        <v>6.44142861</v>
      </c>
      <c r="BB82" s="1">
        <v>7.9523809999999997E-3</v>
      </c>
      <c r="BC82" s="1">
        <v>6.3619047999999997E-2</v>
      </c>
      <c r="BD82" s="1" t="s">
        <v>42</v>
      </c>
      <c r="BE82" s="1" t="s">
        <v>43</v>
      </c>
      <c r="BF82" s="1">
        <v>0.58604599999999996</v>
      </c>
      <c r="BG82" s="1">
        <v>0.16995334000000001</v>
      </c>
      <c r="BH82" s="1">
        <v>2.344184E-3</v>
      </c>
      <c r="BI82" s="1">
        <v>3.809299E-2</v>
      </c>
      <c r="BJ82" s="1">
        <v>5.2744139999999998E-3</v>
      </c>
    </row>
    <row r="83" spans="1:90" ht="14.25" customHeight="1" x14ac:dyDescent="0.35">
      <c r="A83" s="1" t="s">
        <v>202</v>
      </c>
      <c r="B83" s="2">
        <f t="shared" si="5"/>
        <v>252.567623019</v>
      </c>
      <c r="C83" s="2">
        <f t="shared" si="6"/>
        <v>167.00000299999999</v>
      </c>
      <c r="D83" s="2">
        <f t="shared" si="7"/>
        <v>14.473333521000001</v>
      </c>
      <c r="E83" s="2">
        <f t="shared" si="8"/>
        <v>12.016047842000001</v>
      </c>
      <c r="F83" s="2">
        <f t="shared" si="9"/>
        <v>18.115524144999998</v>
      </c>
      <c r="G83" s="1" t="s">
        <v>55</v>
      </c>
      <c r="H83" s="1" t="s">
        <v>56</v>
      </c>
      <c r="I83" s="1">
        <v>79.523810999999995</v>
      </c>
      <c r="J83" s="1">
        <v>123.42095467199999</v>
      </c>
      <c r="K83" s="1">
        <v>5.7257143920000004</v>
      </c>
      <c r="L83" s="1">
        <v>0</v>
      </c>
      <c r="M83" s="1">
        <v>16.70000031</v>
      </c>
      <c r="N83" s="1" t="s">
        <v>59</v>
      </c>
      <c r="O83" s="1" t="s">
        <v>60</v>
      </c>
      <c r="P83" s="1">
        <v>79.523810999999995</v>
      </c>
      <c r="Q83" s="1">
        <v>72.128096576999994</v>
      </c>
      <c r="R83" s="1">
        <v>2.3061905189999998</v>
      </c>
      <c r="S83" s="1">
        <v>12.008095461</v>
      </c>
      <c r="T83" s="1">
        <v>1.3519047870000001</v>
      </c>
      <c r="U83" s="1" t="s">
        <v>61</v>
      </c>
      <c r="V83" s="1" t="s">
        <v>62</v>
      </c>
      <c r="W83" s="1">
        <v>7.9523809999999999</v>
      </c>
      <c r="X83" s="1">
        <v>57.018571770000001</v>
      </c>
      <c r="Y83" s="1">
        <v>6.44142861</v>
      </c>
      <c r="Z83" s="1">
        <v>7.9523809999999997E-3</v>
      </c>
      <c r="AA83" s="1">
        <v>6.3619047999999997E-2</v>
      </c>
    </row>
    <row r="84" spans="1:90" ht="14.25" customHeight="1" x14ac:dyDescent="0.35">
      <c r="A84" s="1" t="s">
        <v>54</v>
      </c>
      <c r="B84" s="2">
        <f t="shared" si="5"/>
        <v>764.70885228300006</v>
      </c>
      <c r="C84" s="2">
        <f t="shared" si="6"/>
        <v>476.99999600000001</v>
      </c>
      <c r="D84" s="2">
        <f t="shared" si="7"/>
        <v>43.887475550999994</v>
      </c>
      <c r="E84" s="2">
        <f t="shared" si="8"/>
        <v>39.910617338999998</v>
      </c>
      <c r="F84" s="2">
        <f t="shared" si="9"/>
        <v>51.504722670999996</v>
      </c>
      <c r="G84" s="1" t="s">
        <v>55</v>
      </c>
      <c r="H84" s="1" t="s">
        <v>56</v>
      </c>
      <c r="I84" s="1">
        <v>202.38095100000001</v>
      </c>
      <c r="J84" s="1">
        <v>314.095235952</v>
      </c>
      <c r="K84" s="1">
        <v>14.571428471999999</v>
      </c>
      <c r="L84" s="1">
        <v>0</v>
      </c>
      <c r="M84" s="1">
        <v>42.499999709999997</v>
      </c>
      <c r="N84" s="1" t="s">
        <v>13</v>
      </c>
      <c r="O84" s="1" t="s">
        <v>14</v>
      </c>
      <c r="P84" s="1">
        <v>3.6386280000000002</v>
      </c>
      <c r="Q84" s="1">
        <v>32.165471519999997</v>
      </c>
      <c r="R84" s="1">
        <v>3.6386280000000002</v>
      </c>
      <c r="S84" s="1">
        <v>0</v>
      </c>
      <c r="T84" s="1">
        <v>0</v>
      </c>
      <c r="U84" s="1" t="s">
        <v>57</v>
      </c>
      <c r="V84" s="1" t="s">
        <v>58</v>
      </c>
      <c r="W84" s="1">
        <v>14.554513999999999</v>
      </c>
      <c r="X84" s="1">
        <v>40.403330863999997</v>
      </c>
      <c r="Y84" s="1">
        <v>2.488821894</v>
      </c>
      <c r="Z84" s="1">
        <v>0.46574444799999998</v>
      </c>
      <c r="AA84" s="1">
        <v>4.0752639200000003</v>
      </c>
      <c r="AB84" s="1" t="s">
        <v>59</v>
      </c>
      <c r="AC84" s="1" t="s">
        <v>60</v>
      </c>
      <c r="AD84" s="1">
        <v>202.38095100000001</v>
      </c>
      <c r="AE84" s="1">
        <v>183.55952255700001</v>
      </c>
      <c r="AF84" s="1">
        <v>5.8690475790000001</v>
      </c>
      <c r="AG84" s="1">
        <v>30.559523600999999</v>
      </c>
      <c r="AH84" s="1">
        <v>3.4404761669999999</v>
      </c>
      <c r="AI84" s="1" t="s">
        <v>61</v>
      </c>
      <c r="AJ84" s="1" t="s">
        <v>62</v>
      </c>
      <c r="AK84" s="1">
        <v>20.238095999999999</v>
      </c>
      <c r="AL84" s="1">
        <v>145.10714831999999</v>
      </c>
      <c r="AM84" s="1">
        <v>16.392857759999998</v>
      </c>
      <c r="AN84" s="1">
        <v>2.0238096000000001E-2</v>
      </c>
      <c r="AO84" s="1">
        <v>0.161904768</v>
      </c>
      <c r="AP84" s="1" t="s">
        <v>63</v>
      </c>
      <c r="AQ84" s="1" t="s">
        <v>64</v>
      </c>
      <c r="AR84" s="1">
        <v>3.6386280000000002</v>
      </c>
      <c r="AS84" s="1">
        <v>0.87327071999999994</v>
      </c>
      <c r="AT84" s="1">
        <v>0</v>
      </c>
      <c r="AU84" s="1">
        <v>7.277256E-2</v>
      </c>
      <c r="AV84" s="1">
        <v>0.14554512</v>
      </c>
      <c r="AW84" s="1" t="s">
        <v>65</v>
      </c>
      <c r="AX84" t="s">
        <v>553</v>
      </c>
      <c r="AY84" s="1">
        <v>19.252341999999999</v>
      </c>
      <c r="AZ84" s="1">
        <v>45.339265410000003</v>
      </c>
      <c r="BA84" s="1">
        <v>0.90486007400000001</v>
      </c>
      <c r="BB84" s="1">
        <v>8.0282266139999994</v>
      </c>
      <c r="BC84" s="1">
        <v>1.039626468</v>
      </c>
      <c r="BD84" s="1" t="s">
        <v>66</v>
      </c>
      <c r="BE84" t="s">
        <v>555</v>
      </c>
      <c r="BF84" s="1">
        <v>10.915886</v>
      </c>
      <c r="BG84" s="1">
        <v>3.16560694</v>
      </c>
      <c r="BH84" s="1">
        <v>2.1831771999999999E-2</v>
      </c>
      <c r="BI84" s="1">
        <v>0.76411202</v>
      </c>
      <c r="BJ84" s="1">
        <v>0.14190651800000001</v>
      </c>
    </row>
    <row r="85" spans="1:90" ht="14.25" customHeight="1" x14ac:dyDescent="0.35">
      <c r="A85" s="1" t="s">
        <v>532</v>
      </c>
      <c r="B85" s="2">
        <f t="shared" si="5"/>
        <v>642.76190682899994</v>
      </c>
      <c r="C85" s="2">
        <f t="shared" si="6"/>
        <v>424.99999800000001</v>
      </c>
      <c r="D85" s="2">
        <f t="shared" si="7"/>
        <v>36.833333810999996</v>
      </c>
      <c r="E85" s="2">
        <f t="shared" si="8"/>
        <v>30.579761696999999</v>
      </c>
      <c r="F85" s="2">
        <f t="shared" si="9"/>
        <v>46.102380644999997</v>
      </c>
      <c r="G85" s="1" t="s">
        <v>55</v>
      </c>
      <c r="H85" s="1" t="s">
        <v>56</v>
      </c>
      <c r="I85" s="1">
        <v>202.38095100000001</v>
      </c>
      <c r="J85" s="1">
        <v>314.095235952</v>
      </c>
      <c r="K85" s="1">
        <v>14.571428471999999</v>
      </c>
      <c r="L85" s="1">
        <v>0</v>
      </c>
      <c r="M85" s="1">
        <v>42.499999709999997</v>
      </c>
      <c r="N85" s="1" t="s">
        <v>59</v>
      </c>
      <c r="O85" s="1" t="s">
        <v>60</v>
      </c>
      <c r="P85" s="1">
        <v>202.38095100000001</v>
      </c>
      <c r="Q85" s="1">
        <v>183.55952255700001</v>
      </c>
      <c r="R85" s="1">
        <v>5.8690475790000001</v>
      </c>
      <c r="S85" s="1">
        <v>30.559523600999999</v>
      </c>
      <c r="T85" s="1">
        <v>3.4404761669999999</v>
      </c>
      <c r="U85" s="1" t="s">
        <v>61</v>
      </c>
      <c r="V85" s="1" t="s">
        <v>62</v>
      </c>
      <c r="W85" s="1">
        <v>20.238095999999999</v>
      </c>
      <c r="X85" s="1">
        <v>145.10714831999999</v>
      </c>
      <c r="Y85" s="1">
        <v>16.392857759999998</v>
      </c>
      <c r="Z85" s="1">
        <v>2.0238096000000001E-2</v>
      </c>
      <c r="AA85" s="1">
        <v>0.161904768</v>
      </c>
    </row>
    <row r="86" spans="1:90" ht="14.25" customHeight="1" x14ac:dyDescent="0.35">
      <c r="A86" s="1" t="s">
        <v>531</v>
      </c>
      <c r="B86" s="2">
        <f t="shared" si="5"/>
        <v>540.56247637000001</v>
      </c>
      <c r="C86" s="2">
        <f t="shared" si="6"/>
        <v>388.00001600000007</v>
      </c>
      <c r="D86" s="2">
        <f t="shared" si="7"/>
        <v>30.546075002000002</v>
      </c>
      <c r="E86" s="2">
        <f t="shared" si="8"/>
        <v>28.167211352999999</v>
      </c>
      <c r="F86" s="2">
        <f t="shared" si="9"/>
        <v>38.072851460000003</v>
      </c>
      <c r="G86" s="1" t="s">
        <v>47</v>
      </c>
      <c r="H86" s="1" t="s">
        <v>48</v>
      </c>
      <c r="I86" s="1">
        <v>45.926898999999999</v>
      </c>
      <c r="J86" s="1">
        <v>16.074414650000001</v>
      </c>
      <c r="K86" s="1">
        <v>0.183707596</v>
      </c>
      <c r="L86" s="1">
        <v>3.2148829299999999</v>
      </c>
      <c r="M86" s="1">
        <v>1.1022455760000001</v>
      </c>
      <c r="N86" s="1" t="s">
        <v>55</v>
      </c>
      <c r="O86" s="1" t="s">
        <v>56</v>
      </c>
      <c r="P86" s="1">
        <v>161.90477000000001</v>
      </c>
      <c r="Q86" s="1">
        <v>251.27620304000001</v>
      </c>
      <c r="R86" s="1">
        <v>11.65714344</v>
      </c>
      <c r="S86" s="1">
        <v>0</v>
      </c>
      <c r="T86" s="1">
        <v>34.000001699999999</v>
      </c>
      <c r="U86" s="1" t="s">
        <v>13</v>
      </c>
      <c r="V86" s="1" t="s">
        <v>14</v>
      </c>
      <c r="W86" s="1">
        <v>0.86112900000000003</v>
      </c>
      <c r="X86" s="1">
        <v>7.6123803600000004</v>
      </c>
      <c r="Y86" s="1">
        <v>0.86112900000000003</v>
      </c>
      <c r="Z86" s="1">
        <v>0</v>
      </c>
      <c r="AA86" s="1">
        <v>0</v>
      </c>
      <c r="AB86" s="1" t="s">
        <v>162</v>
      </c>
      <c r="AC86" s="1" t="s">
        <v>163</v>
      </c>
      <c r="AD86" s="1">
        <v>0.632822</v>
      </c>
      <c r="AE86" s="1">
        <v>2.4996469000000001</v>
      </c>
      <c r="AF86" s="1">
        <v>3.2273921999999997E-2</v>
      </c>
      <c r="AG86" s="1">
        <v>0.451202086</v>
      </c>
      <c r="AH86" s="1">
        <v>8.3532503999999994E-2</v>
      </c>
      <c r="AI86" s="1" t="s">
        <v>59</v>
      </c>
      <c r="AJ86" s="1" t="s">
        <v>60</v>
      </c>
      <c r="AK86" s="1">
        <v>161.90477000000001</v>
      </c>
      <c r="AL86" s="1">
        <v>146.84762638999999</v>
      </c>
      <c r="AM86" s="1">
        <v>4.6952383299999996</v>
      </c>
      <c r="AN86" s="1">
        <v>24.447620270000002</v>
      </c>
      <c r="AO86" s="1">
        <v>2.7523810900000001</v>
      </c>
      <c r="AP86" s="1" t="s">
        <v>17</v>
      </c>
      <c r="AQ86" s="1" t="s">
        <v>18</v>
      </c>
      <c r="AR86" s="1">
        <v>5.0629999999999998E-3</v>
      </c>
      <c r="AS86" s="1">
        <v>0</v>
      </c>
      <c r="AT86" s="1">
        <v>0</v>
      </c>
      <c r="AU86" s="1">
        <v>0</v>
      </c>
      <c r="AV86" s="1">
        <v>0</v>
      </c>
      <c r="AW86" s="1" t="s">
        <v>61</v>
      </c>
      <c r="AX86" s="1" t="s">
        <v>62</v>
      </c>
      <c r="AY86" s="1">
        <v>16.190477000000001</v>
      </c>
      <c r="AZ86" s="1">
        <v>116.08572009</v>
      </c>
      <c r="BA86" s="1">
        <v>13.11428637</v>
      </c>
      <c r="BB86" s="1">
        <v>1.6190477000000002E-2</v>
      </c>
      <c r="BC86" s="1">
        <v>0.12952381600000001</v>
      </c>
      <c r="BD86" s="1" t="s">
        <v>42</v>
      </c>
      <c r="BE86" s="1" t="s">
        <v>43</v>
      </c>
      <c r="BF86" s="1">
        <v>0.57408599999999999</v>
      </c>
      <c r="BG86" s="1">
        <v>0.16648494</v>
      </c>
      <c r="BH86" s="1">
        <v>2.2963440000000001E-3</v>
      </c>
      <c r="BI86" s="1">
        <v>3.7315590000000003E-2</v>
      </c>
      <c r="BJ86" s="1">
        <v>5.1667739999999998E-3</v>
      </c>
    </row>
    <row r="87" spans="1:90" ht="14.25" customHeight="1" x14ac:dyDescent="0.35">
      <c r="A87" s="1" t="s">
        <v>454</v>
      </c>
      <c r="B87" s="2">
        <f t="shared" si="5"/>
        <v>26.352926849999999</v>
      </c>
      <c r="C87" s="2">
        <f t="shared" si="6"/>
        <v>47.999998999999995</v>
      </c>
      <c r="D87" s="2">
        <f t="shared" si="7"/>
        <v>1.0794068619999999</v>
      </c>
      <c r="E87" s="2">
        <f t="shared" si="8"/>
        <v>3.7034006059999998</v>
      </c>
      <c r="F87" s="2">
        <f t="shared" si="9"/>
        <v>1.1909448540000001</v>
      </c>
      <c r="G87" s="1" t="s">
        <v>47</v>
      </c>
      <c r="H87" s="1" t="s">
        <v>48</v>
      </c>
      <c r="I87" s="1">
        <v>45.926898999999999</v>
      </c>
      <c r="J87" s="1">
        <v>16.074414650000001</v>
      </c>
      <c r="K87" s="1">
        <v>0.183707596</v>
      </c>
      <c r="L87" s="1">
        <v>3.2148829299999999</v>
      </c>
      <c r="M87" s="1">
        <v>1.1022455760000001</v>
      </c>
      <c r="N87" s="1" t="s">
        <v>13</v>
      </c>
      <c r="O87" s="1" t="s">
        <v>14</v>
      </c>
      <c r="P87" s="1">
        <v>0.86112900000000003</v>
      </c>
      <c r="Q87" s="1">
        <v>7.6123803600000004</v>
      </c>
      <c r="R87" s="1">
        <v>0.86112900000000003</v>
      </c>
      <c r="S87" s="1">
        <v>0</v>
      </c>
      <c r="T87" s="1">
        <v>0</v>
      </c>
      <c r="U87" s="1" t="s">
        <v>162</v>
      </c>
      <c r="V87" s="1" t="s">
        <v>163</v>
      </c>
      <c r="W87" s="1">
        <v>0.632822</v>
      </c>
      <c r="X87" s="1">
        <v>2.4996469000000001</v>
      </c>
      <c r="Y87" s="1">
        <v>3.2273921999999997E-2</v>
      </c>
      <c r="Z87" s="1">
        <v>0.451202086</v>
      </c>
      <c r="AA87" s="1">
        <v>8.3532503999999994E-2</v>
      </c>
      <c r="AB87" s="1" t="s">
        <v>17</v>
      </c>
      <c r="AC87" s="1" t="s">
        <v>18</v>
      </c>
      <c r="AD87" s="1">
        <v>5.0629999999999998E-3</v>
      </c>
      <c r="AE87" s="1">
        <v>0</v>
      </c>
      <c r="AF87" s="1">
        <v>0</v>
      </c>
      <c r="AG87" s="1">
        <v>0</v>
      </c>
      <c r="AH87" s="1">
        <v>0</v>
      </c>
      <c r="AI87" s="1" t="s">
        <v>42</v>
      </c>
      <c r="AJ87" s="1" t="s">
        <v>43</v>
      </c>
      <c r="AK87" s="1">
        <v>0.57408599999999999</v>
      </c>
      <c r="AL87" s="1">
        <v>0.16648494</v>
      </c>
      <c r="AM87" s="1">
        <v>2.2963440000000001E-3</v>
      </c>
      <c r="AN87" s="1">
        <v>3.7315590000000003E-2</v>
      </c>
      <c r="AO87" s="1">
        <v>5.1667739999999998E-3</v>
      </c>
    </row>
    <row r="88" spans="1:90" ht="14.25" customHeight="1" x14ac:dyDescent="0.35">
      <c r="A88" s="1" t="s">
        <v>495</v>
      </c>
      <c r="B88" s="2">
        <f t="shared" si="5"/>
        <v>217.39068273500001</v>
      </c>
      <c r="C88" s="2">
        <f t="shared" si="6"/>
        <v>151.99999800000001</v>
      </c>
      <c r="D88" s="2">
        <f t="shared" si="7"/>
        <v>10.384574277999999</v>
      </c>
      <c r="E88" s="2">
        <f t="shared" si="8"/>
        <v>9.1459539040000006</v>
      </c>
      <c r="F88" s="2">
        <f t="shared" si="9"/>
        <v>21.179482166999996</v>
      </c>
      <c r="G88" s="1" t="s">
        <v>200</v>
      </c>
      <c r="H88" s="1" t="s">
        <v>201</v>
      </c>
      <c r="I88" s="1">
        <v>9.1954019999999996</v>
      </c>
      <c r="J88" s="1">
        <v>11.9540226</v>
      </c>
      <c r="K88" s="1">
        <v>2.7586205999999999E-2</v>
      </c>
      <c r="L88" s="1">
        <v>2.57471256</v>
      </c>
      <c r="M88" s="1">
        <v>0.24827585399999999</v>
      </c>
      <c r="N88" s="1" t="s">
        <v>95</v>
      </c>
      <c r="O88" s="1" t="s">
        <v>96</v>
      </c>
      <c r="P88" s="1">
        <v>3.218391</v>
      </c>
      <c r="Q88" s="1">
        <v>1.2873564</v>
      </c>
      <c r="R88" s="1">
        <v>3.2183910000000001E-3</v>
      </c>
      <c r="S88" s="1">
        <v>0.28965519000000001</v>
      </c>
      <c r="T88" s="1">
        <v>3.5402300999999997E-2</v>
      </c>
      <c r="U88" s="1" t="s">
        <v>77</v>
      </c>
      <c r="V88" s="1" t="s">
        <v>78</v>
      </c>
      <c r="W88" s="1">
        <v>0.45977000000000001</v>
      </c>
      <c r="X88" s="1">
        <v>0.68505729999999998</v>
      </c>
      <c r="Y88" s="1">
        <v>2.2988499999999999E-3</v>
      </c>
      <c r="Z88" s="1">
        <v>0.1517241</v>
      </c>
      <c r="AA88" s="1">
        <v>2.9425280000000002E-2</v>
      </c>
      <c r="AB88" s="1" t="s">
        <v>13</v>
      </c>
      <c r="AC88" s="1" t="s">
        <v>14</v>
      </c>
      <c r="AD88" s="1">
        <v>0.45977000000000001</v>
      </c>
      <c r="AE88" s="1">
        <v>4.0643668000000002</v>
      </c>
      <c r="AF88" s="1">
        <v>0.45977000000000001</v>
      </c>
      <c r="AG88" s="1">
        <v>0</v>
      </c>
      <c r="AH88" s="1">
        <v>0</v>
      </c>
      <c r="AI88" s="1" t="s">
        <v>17</v>
      </c>
      <c r="AJ88" s="1" t="s">
        <v>18</v>
      </c>
      <c r="AK88" s="1">
        <v>0.114943</v>
      </c>
      <c r="AL88" s="1">
        <v>0</v>
      </c>
      <c r="AM88" s="1">
        <v>0</v>
      </c>
      <c r="AN88" s="1">
        <v>0</v>
      </c>
      <c r="AO88" s="1">
        <v>0</v>
      </c>
      <c r="AP88" s="1" t="s">
        <v>431</v>
      </c>
      <c r="AQ88" s="1" t="s">
        <v>432</v>
      </c>
      <c r="AR88" s="1">
        <v>25</v>
      </c>
      <c r="AS88" s="1">
        <v>28.5</v>
      </c>
      <c r="AT88" s="1">
        <v>0.1</v>
      </c>
      <c r="AU88" s="1">
        <v>5</v>
      </c>
      <c r="AV88" s="1">
        <v>2.25</v>
      </c>
      <c r="AW88" s="1" t="s">
        <v>151</v>
      </c>
      <c r="AX88" s="1" t="s">
        <v>152</v>
      </c>
      <c r="AY88" s="1">
        <v>68.965514999999996</v>
      </c>
      <c r="AZ88" s="1">
        <v>164.13792570000001</v>
      </c>
      <c r="BA88" s="1">
        <v>9.6551720999999997</v>
      </c>
      <c r="BB88" s="1">
        <v>0</v>
      </c>
      <c r="BC88" s="1">
        <v>17.931033899999999</v>
      </c>
      <c r="BD88" s="1" t="s">
        <v>251</v>
      </c>
      <c r="BE88" s="1" t="s">
        <v>252</v>
      </c>
      <c r="BF88" s="1">
        <v>4.5977009999999998</v>
      </c>
      <c r="BG88" s="1">
        <v>0.68965514999999999</v>
      </c>
      <c r="BH88" s="1">
        <v>1.8390804E-2</v>
      </c>
      <c r="BI88" s="1">
        <v>0.124137927</v>
      </c>
      <c r="BJ88" s="1">
        <v>5.0574711000000001E-2</v>
      </c>
      <c r="BK88" s="1" t="s">
        <v>228</v>
      </c>
      <c r="BL88" s="1" t="s">
        <v>229</v>
      </c>
      <c r="BM88" s="1">
        <v>2.298851</v>
      </c>
      <c r="BN88" s="1">
        <v>0.57471274999999999</v>
      </c>
      <c r="BO88" s="1">
        <v>1.6091957E-2</v>
      </c>
      <c r="BP88" s="1">
        <v>8.5057487000000001E-2</v>
      </c>
      <c r="BQ88" s="1">
        <v>5.9770126E-2</v>
      </c>
      <c r="BR88" s="1" t="s">
        <v>285</v>
      </c>
      <c r="BS88" s="1" t="s">
        <v>286</v>
      </c>
      <c r="BT88" s="1">
        <v>0.45977000000000001</v>
      </c>
      <c r="BU88" s="1">
        <v>0.60229869999999996</v>
      </c>
      <c r="BV88" s="1">
        <v>2.620689E-2</v>
      </c>
      <c r="BW88" s="1">
        <v>9.1953999999999994E-2</v>
      </c>
      <c r="BX88" s="1">
        <v>1.3333329999999999E-2</v>
      </c>
      <c r="BY88" s="1" t="s">
        <v>89</v>
      </c>
      <c r="BZ88" s="1" t="s">
        <v>90</v>
      </c>
      <c r="CA88" s="1">
        <v>0.22988500000000001</v>
      </c>
      <c r="CB88" s="1">
        <v>8.5287335000000006E-2</v>
      </c>
      <c r="CC88" s="1">
        <v>1.8390800000000001E-3</v>
      </c>
      <c r="CD88" s="1">
        <v>1.4712640000000001E-2</v>
      </c>
      <c r="CE88" s="1">
        <v>6.6666649999999996E-3</v>
      </c>
      <c r="CF88" s="1" t="s">
        <v>439</v>
      </c>
      <c r="CG88" s="1" t="s">
        <v>440</v>
      </c>
      <c r="CH88" s="1">
        <v>37</v>
      </c>
      <c r="CI88" s="1">
        <v>4.8099999999999996</v>
      </c>
      <c r="CJ88" s="1">
        <v>7.3999999999999996E-2</v>
      </c>
      <c r="CK88" s="1">
        <v>0.81399999999999995</v>
      </c>
      <c r="CL88" s="1">
        <v>0.55500000000000005</v>
      </c>
    </row>
    <row r="89" spans="1:90" ht="14.25" customHeight="1" x14ac:dyDescent="0.35">
      <c r="A89" s="1" t="s">
        <v>438</v>
      </c>
      <c r="B89" s="2">
        <f t="shared" si="5"/>
        <v>188.89068273500001</v>
      </c>
      <c r="C89" s="2">
        <f t="shared" si="6"/>
        <v>126.99999800000001</v>
      </c>
      <c r="D89" s="2">
        <f t="shared" si="7"/>
        <v>10.284574277999997</v>
      </c>
      <c r="E89" s="2">
        <f t="shared" si="8"/>
        <v>4.1459539039999997</v>
      </c>
      <c r="F89" s="2">
        <f t="shared" si="9"/>
        <v>18.929482166999996</v>
      </c>
      <c r="G89" s="1" t="s">
        <v>200</v>
      </c>
      <c r="H89" s="1" t="s">
        <v>201</v>
      </c>
      <c r="I89" s="1">
        <v>9.1954019999999996</v>
      </c>
      <c r="J89" s="1">
        <v>11.9540226</v>
      </c>
      <c r="K89" s="1">
        <v>2.7586205999999999E-2</v>
      </c>
      <c r="L89" s="1">
        <v>2.57471256</v>
      </c>
      <c r="M89" s="1">
        <v>0.24827585399999999</v>
      </c>
      <c r="N89" s="1" t="s">
        <v>95</v>
      </c>
      <c r="O89" s="1" t="s">
        <v>96</v>
      </c>
      <c r="P89" s="1">
        <v>3.218391</v>
      </c>
      <c r="Q89" s="1">
        <v>1.2873564</v>
      </c>
      <c r="R89" s="1">
        <v>3.2183910000000001E-3</v>
      </c>
      <c r="S89" s="1">
        <v>0.28965519000000001</v>
      </c>
      <c r="T89" s="1">
        <v>3.5402300999999997E-2</v>
      </c>
      <c r="U89" s="1" t="s">
        <v>77</v>
      </c>
      <c r="V89" s="1" t="s">
        <v>78</v>
      </c>
      <c r="W89" s="1">
        <v>0.45977000000000001</v>
      </c>
      <c r="X89" s="1">
        <v>0.68505729999999998</v>
      </c>
      <c r="Y89" s="1">
        <v>2.2988499999999999E-3</v>
      </c>
      <c r="Z89" s="1">
        <v>0.1517241</v>
      </c>
      <c r="AA89" s="1">
        <v>2.9425280000000002E-2</v>
      </c>
      <c r="AB89" s="1" t="s">
        <v>13</v>
      </c>
      <c r="AC89" s="1" t="s">
        <v>14</v>
      </c>
      <c r="AD89" s="1">
        <v>0.45977000000000001</v>
      </c>
      <c r="AE89" s="1">
        <v>4.0643668000000002</v>
      </c>
      <c r="AF89" s="1">
        <v>0.45977000000000001</v>
      </c>
      <c r="AG89" s="1">
        <v>0</v>
      </c>
      <c r="AH89" s="1">
        <v>0</v>
      </c>
      <c r="AI89" s="1" t="s">
        <v>17</v>
      </c>
      <c r="AJ89" s="1" t="s">
        <v>18</v>
      </c>
      <c r="AK89" s="1">
        <v>0.114943</v>
      </c>
      <c r="AL89" s="1">
        <v>0</v>
      </c>
      <c r="AM89" s="1">
        <v>0</v>
      </c>
      <c r="AN89" s="1">
        <v>0</v>
      </c>
      <c r="AO89" s="1">
        <v>0</v>
      </c>
      <c r="AP89" s="1" t="s">
        <v>151</v>
      </c>
      <c r="AQ89" s="1" t="s">
        <v>152</v>
      </c>
      <c r="AR89" s="1">
        <v>68.965514999999996</v>
      </c>
      <c r="AS89" s="1">
        <v>164.13792570000001</v>
      </c>
      <c r="AT89" s="1">
        <v>9.6551720999999997</v>
      </c>
      <c r="AU89" s="1">
        <v>0</v>
      </c>
      <c r="AV89" s="1">
        <v>17.931033899999999</v>
      </c>
      <c r="AW89" s="1" t="s">
        <v>251</v>
      </c>
      <c r="AX89" s="1" t="s">
        <v>252</v>
      </c>
      <c r="AY89" s="1">
        <v>4.5977009999999998</v>
      </c>
      <c r="AZ89" s="1">
        <v>0.68965514999999999</v>
      </c>
      <c r="BA89" s="1">
        <v>1.8390804E-2</v>
      </c>
      <c r="BB89" s="1">
        <v>0.124137927</v>
      </c>
      <c r="BC89" s="1">
        <v>5.0574711000000001E-2</v>
      </c>
      <c r="BD89" s="1" t="s">
        <v>228</v>
      </c>
      <c r="BE89" s="1" t="s">
        <v>229</v>
      </c>
      <c r="BF89" s="1">
        <v>2.298851</v>
      </c>
      <c r="BG89" s="1">
        <v>0.57471274999999999</v>
      </c>
      <c r="BH89" s="1">
        <v>1.6091957E-2</v>
      </c>
      <c r="BI89" s="1">
        <v>8.5057487000000001E-2</v>
      </c>
      <c r="BJ89" s="1">
        <v>5.9770126E-2</v>
      </c>
      <c r="BK89" s="1" t="s">
        <v>285</v>
      </c>
      <c r="BL89" s="1" t="s">
        <v>286</v>
      </c>
      <c r="BM89" s="1">
        <v>0.45977000000000001</v>
      </c>
      <c r="BN89" s="1">
        <v>0.60229869999999996</v>
      </c>
      <c r="BO89" s="1">
        <v>2.620689E-2</v>
      </c>
      <c r="BP89" s="1">
        <v>9.1953999999999994E-2</v>
      </c>
      <c r="BQ89" s="1">
        <v>1.3333329999999999E-2</v>
      </c>
      <c r="BR89" s="1" t="s">
        <v>89</v>
      </c>
      <c r="BS89" s="1" t="s">
        <v>90</v>
      </c>
      <c r="BT89" s="1">
        <v>0.22988500000000001</v>
      </c>
      <c r="BU89" s="1">
        <v>8.5287335000000006E-2</v>
      </c>
      <c r="BV89" s="1">
        <v>1.8390800000000001E-3</v>
      </c>
      <c r="BW89" s="1">
        <v>1.4712640000000001E-2</v>
      </c>
      <c r="BX89" s="1">
        <v>6.6666649999999996E-3</v>
      </c>
      <c r="BY89" s="1" t="s">
        <v>439</v>
      </c>
      <c r="BZ89" s="1" t="s">
        <v>440</v>
      </c>
      <c r="CA89" s="1">
        <v>37</v>
      </c>
      <c r="CB89" s="1">
        <v>4.8099999999999996</v>
      </c>
      <c r="CC89" s="1">
        <v>7.3999999999999996E-2</v>
      </c>
      <c r="CD89" s="1">
        <v>0.81399999999999995</v>
      </c>
      <c r="CE89" s="1">
        <v>0.55500000000000005</v>
      </c>
    </row>
    <row r="90" spans="1:90" ht="14.25" customHeight="1" x14ac:dyDescent="0.35">
      <c r="A90" s="1" t="s">
        <v>284</v>
      </c>
      <c r="B90" s="2">
        <f t="shared" si="5"/>
        <v>184.08068273500001</v>
      </c>
      <c r="C90" s="2">
        <f t="shared" si="6"/>
        <v>89.999998000000005</v>
      </c>
      <c r="D90" s="2">
        <f t="shared" si="7"/>
        <v>10.210574277999998</v>
      </c>
      <c r="E90" s="2">
        <f t="shared" si="8"/>
        <v>3.3319539039999997</v>
      </c>
      <c r="F90" s="2">
        <f t="shared" si="9"/>
        <v>18.374482166999996</v>
      </c>
      <c r="G90" s="1" t="s">
        <v>200</v>
      </c>
      <c r="H90" s="1" t="s">
        <v>201</v>
      </c>
      <c r="I90" s="1">
        <v>9.1954019999999996</v>
      </c>
      <c r="J90" s="1">
        <v>11.9540226</v>
      </c>
      <c r="K90" s="1">
        <v>2.7586205999999999E-2</v>
      </c>
      <c r="L90" s="1">
        <v>2.57471256</v>
      </c>
      <c r="M90" s="1">
        <v>0.24827585399999999</v>
      </c>
      <c r="N90" s="1" t="s">
        <v>95</v>
      </c>
      <c r="O90" s="1" t="s">
        <v>96</v>
      </c>
      <c r="P90" s="1">
        <v>3.218391</v>
      </c>
      <c r="Q90" s="1">
        <v>1.2873564</v>
      </c>
      <c r="R90" s="1">
        <v>3.2183910000000001E-3</v>
      </c>
      <c r="S90" s="1">
        <v>0.28965519000000001</v>
      </c>
      <c r="T90" s="1">
        <v>3.5402300999999997E-2</v>
      </c>
      <c r="U90" s="1" t="s">
        <v>77</v>
      </c>
      <c r="V90" s="1" t="s">
        <v>78</v>
      </c>
      <c r="W90" s="1">
        <v>0.45977000000000001</v>
      </c>
      <c r="X90" s="1">
        <v>0.68505729999999998</v>
      </c>
      <c r="Y90" s="1">
        <v>2.2988499999999999E-3</v>
      </c>
      <c r="Z90" s="1">
        <v>0.1517241</v>
      </c>
      <c r="AA90" s="1">
        <v>2.9425280000000002E-2</v>
      </c>
      <c r="AB90" s="1" t="s">
        <v>13</v>
      </c>
      <c r="AC90" s="1" t="s">
        <v>14</v>
      </c>
      <c r="AD90" s="1">
        <v>0.45977000000000001</v>
      </c>
      <c r="AE90" s="1">
        <v>4.0643668000000002</v>
      </c>
      <c r="AF90" s="1">
        <v>0.45977000000000001</v>
      </c>
      <c r="AG90" s="1">
        <v>0</v>
      </c>
      <c r="AH90" s="1">
        <v>0</v>
      </c>
      <c r="AI90" s="1" t="s">
        <v>17</v>
      </c>
      <c r="AJ90" s="1" t="s">
        <v>18</v>
      </c>
      <c r="AK90" s="1">
        <v>0.114943</v>
      </c>
      <c r="AL90" s="1">
        <v>0</v>
      </c>
      <c r="AM90" s="1">
        <v>0</v>
      </c>
      <c r="AN90" s="1">
        <v>0</v>
      </c>
      <c r="AO90" s="1">
        <v>0</v>
      </c>
      <c r="AP90" s="1" t="s">
        <v>151</v>
      </c>
      <c r="AQ90" s="1" t="s">
        <v>152</v>
      </c>
      <c r="AR90" s="1">
        <v>68.965514999999996</v>
      </c>
      <c r="AS90" s="1">
        <v>164.13792570000001</v>
      </c>
      <c r="AT90" s="1">
        <v>9.6551720999999997</v>
      </c>
      <c r="AU90" s="1">
        <v>0</v>
      </c>
      <c r="AV90" s="1">
        <v>17.931033899999999</v>
      </c>
      <c r="AW90" s="1" t="s">
        <v>251</v>
      </c>
      <c r="AX90" s="1" t="s">
        <v>252</v>
      </c>
      <c r="AY90" s="1">
        <v>4.5977009999999998</v>
      </c>
      <c r="AZ90" s="1">
        <v>0.68965514999999999</v>
      </c>
      <c r="BA90" s="1">
        <v>1.8390804E-2</v>
      </c>
      <c r="BB90" s="1">
        <v>0.124137927</v>
      </c>
      <c r="BC90" s="1">
        <v>5.0574711000000001E-2</v>
      </c>
      <c r="BD90" s="1" t="s">
        <v>228</v>
      </c>
      <c r="BE90" s="1" t="s">
        <v>229</v>
      </c>
      <c r="BF90" s="1">
        <v>2.298851</v>
      </c>
      <c r="BG90" s="1">
        <v>0.57471274999999999</v>
      </c>
      <c r="BH90" s="1">
        <v>1.6091957E-2</v>
      </c>
      <c r="BI90" s="1">
        <v>8.5057487000000001E-2</v>
      </c>
      <c r="BJ90" s="1">
        <v>5.9770126E-2</v>
      </c>
      <c r="BK90" s="1" t="s">
        <v>285</v>
      </c>
      <c r="BL90" s="1" t="s">
        <v>286</v>
      </c>
      <c r="BM90" s="1">
        <v>0.45977000000000001</v>
      </c>
      <c r="BN90" s="1">
        <v>0.60229869999999996</v>
      </c>
      <c r="BO90" s="1">
        <v>2.620689E-2</v>
      </c>
      <c r="BP90" s="1">
        <v>9.1953999999999994E-2</v>
      </c>
      <c r="BQ90" s="1">
        <v>1.3333329999999999E-2</v>
      </c>
      <c r="BR90" s="1" t="s">
        <v>89</v>
      </c>
      <c r="BS90" s="1" t="s">
        <v>90</v>
      </c>
      <c r="BT90" s="1">
        <v>0.22988500000000001</v>
      </c>
      <c r="BU90" s="1">
        <v>8.5287335000000006E-2</v>
      </c>
      <c r="BV90" s="1">
        <v>1.8390800000000001E-3</v>
      </c>
      <c r="BW90" s="1">
        <v>1.4712640000000001E-2</v>
      </c>
      <c r="BX90" s="1">
        <v>6.6666649999999996E-3</v>
      </c>
    </row>
    <row r="91" spans="1:90" ht="14.25" customHeight="1" x14ac:dyDescent="0.35">
      <c r="A91" s="1" t="s">
        <v>519</v>
      </c>
      <c r="B91" s="2">
        <f t="shared" si="5"/>
        <v>181.63411349499998</v>
      </c>
      <c r="C91" s="2">
        <f t="shared" si="6"/>
        <v>125.00000299999999</v>
      </c>
      <c r="D91" s="2">
        <f t="shared" si="7"/>
        <v>10.834315521000001</v>
      </c>
      <c r="E91" s="2">
        <f t="shared" si="8"/>
        <v>12.058955940999999</v>
      </c>
      <c r="F91" s="2">
        <f t="shared" si="9"/>
        <v>9.7846238369999998</v>
      </c>
      <c r="G91" s="1" t="s">
        <v>33</v>
      </c>
      <c r="H91" s="1" t="s">
        <v>34</v>
      </c>
      <c r="I91" s="1">
        <v>24.992654999999999</v>
      </c>
      <c r="J91" s="1">
        <v>81.476055299999999</v>
      </c>
      <c r="K91" s="1">
        <v>5.4983841</v>
      </c>
      <c r="L91" s="1">
        <v>7.9976495999999999</v>
      </c>
      <c r="M91" s="1">
        <v>0.64980903000000001</v>
      </c>
      <c r="N91" s="1" t="s">
        <v>110</v>
      </c>
      <c r="O91" s="1" t="s">
        <v>111</v>
      </c>
      <c r="P91" s="1">
        <v>24.992654999999999</v>
      </c>
      <c r="Q91" s="1">
        <v>9.9970619999999997</v>
      </c>
      <c r="R91" s="1">
        <v>4.9985309999999998E-2</v>
      </c>
      <c r="S91" s="1">
        <v>2.2493389499999998</v>
      </c>
      <c r="T91" s="1">
        <v>0.49985309999999999</v>
      </c>
      <c r="U91" s="1" t="s">
        <v>112</v>
      </c>
      <c r="V91" s="1" t="s">
        <v>113</v>
      </c>
      <c r="W91" s="1">
        <v>12.496327000000001</v>
      </c>
      <c r="X91" s="1">
        <v>2.8741552100000001</v>
      </c>
      <c r="Y91" s="1">
        <v>4.9985307999999999E-2</v>
      </c>
      <c r="Z91" s="1">
        <v>0.449867772</v>
      </c>
      <c r="AA91" s="1">
        <v>0.36239348300000002</v>
      </c>
      <c r="AB91" s="1" t="s">
        <v>520</v>
      </c>
      <c r="AC91" s="1" t="s">
        <v>521</v>
      </c>
      <c r="AD91" s="1">
        <v>12.496327000000001</v>
      </c>
      <c r="AE91" s="1">
        <v>2.7491919399999998</v>
      </c>
      <c r="AF91" s="1">
        <v>3.7488980999999998E-2</v>
      </c>
      <c r="AG91" s="1">
        <v>0.41237879100000002</v>
      </c>
      <c r="AH91" s="1">
        <v>0.38738613700000002</v>
      </c>
      <c r="AI91" s="1" t="s">
        <v>154</v>
      </c>
      <c r="AJ91" s="1" t="s">
        <v>155</v>
      </c>
      <c r="AK91" s="1">
        <v>37.488979</v>
      </c>
      <c r="AL91" s="1">
        <v>58.295362345000001</v>
      </c>
      <c r="AM91" s="1">
        <v>3.9363427949999998</v>
      </c>
      <c r="AN91" s="1">
        <v>0.44986774800000001</v>
      </c>
      <c r="AO91" s="1">
        <v>4.6861223750000001</v>
      </c>
      <c r="AP91" s="1" t="s">
        <v>17</v>
      </c>
      <c r="AQ91" s="1" t="s">
        <v>18</v>
      </c>
      <c r="AR91" s="1">
        <v>3.6733000000000002E-2</v>
      </c>
      <c r="AS91" s="1">
        <v>0</v>
      </c>
      <c r="AT91" s="1">
        <v>0</v>
      </c>
      <c r="AU91" s="1">
        <v>0</v>
      </c>
      <c r="AV91" s="1">
        <v>0</v>
      </c>
      <c r="AW91" s="1" t="s">
        <v>522</v>
      </c>
      <c r="AX91" t="s">
        <v>556</v>
      </c>
      <c r="AY91" s="1">
        <v>12.496327000000001</v>
      </c>
      <c r="AZ91" s="1">
        <v>26.242286700000001</v>
      </c>
      <c r="BA91" s="1">
        <v>1.2621290270000001</v>
      </c>
      <c r="BB91" s="1">
        <v>0.49985308000000001</v>
      </c>
      <c r="BC91" s="1">
        <v>3.1990597119999999</v>
      </c>
    </row>
    <row r="92" spans="1:90" ht="14.25" customHeight="1" x14ac:dyDescent="0.35">
      <c r="A92" s="1" t="s">
        <v>524</v>
      </c>
      <c r="B92" s="2">
        <f t="shared" si="5"/>
        <v>811.94</v>
      </c>
      <c r="C92" s="2">
        <f t="shared" si="6"/>
        <v>340</v>
      </c>
      <c r="D92" s="2">
        <f t="shared" si="7"/>
        <v>60.629999999999995</v>
      </c>
      <c r="E92" s="2">
        <f t="shared" si="8"/>
        <v>27.192</v>
      </c>
      <c r="F92" s="2">
        <f t="shared" si="9"/>
        <v>38.638000000000005</v>
      </c>
      <c r="G92" s="1" t="s">
        <v>30</v>
      </c>
      <c r="H92" s="1" t="s">
        <v>31</v>
      </c>
      <c r="I92" s="1">
        <v>177</v>
      </c>
      <c r="J92" s="1">
        <v>261.95999999999998</v>
      </c>
      <c r="K92" s="1">
        <v>19.47</v>
      </c>
      <c r="L92" s="1">
        <v>2.8319999999999999</v>
      </c>
      <c r="M92" s="1">
        <v>17.7</v>
      </c>
      <c r="N92" s="1" t="s">
        <v>33</v>
      </c>
      <c r="O92" s="1" t="s">
        <v>34</v>
      </c>
      <c r="P92" s="1">
        <v>63</v>
      </c>
      <c r="Q92" s="1">
        <v>205.38</v>
      </c>
      <c r="R92" s="1">
        <v>13.86</v>
      </c>
      <c r="S92" s="1">
        <v>20.16</v>
      </c>
      <c r="T92" s="1">
        <v>1.6379999999999999</v>
      </c>
      <c r="U92" s="1" t="s">
        <v>49</v>
      </c>
      <c r="V92" s="1" t="s">
        <v>50</v>
      </c>
      <c r="W92" s="1">
        <v>100</v>
      </c>
      <c r="X92" s="1">
        <v>344.6</v>
      </c>
      <c r="Y92" s="1">
        <v>27.3</v>
      </c>
      <c r="Z92" s="1">
        <v>4.2</v>
      </c>
      <c r="AA92" s="1">
        <v>19.3</v>
      </c>
    </row>
    <row r="93" spans="1:90" ht="14.25" customHeight="1" x14ac:dyDescent="0.35">
      <c r="A93" s="1" t="s">
        <v>195</v>
      </c>
      <c r="B93" s="2">
        <f t="shared" si="5"/>
        <v>606.55999999999995</v>
      </c>
      <c r="C93" s="2">
        <f t="shared" si="6"/>
        <v>277</v>
      </c>
      <c r="D93" s="2">
        <f t="shared" si="7"/>
        <v>46.769999999999996</v>
      </c>
      <c r="E93" s="2">
        <f t="shared" si="8"/>
        <v>7.032</v>
      </c>
      <c r="F93" s="2">
        <f t="shared" si="9"/>
        <v>37</v>
      </c>
      <c r="G93" s="1" t="s">
        <v>30</v>
      </c>
      <c r="H93" s="1" t="s">
        <v>31</v>
      </c>
      <c r="I93" s="1">
        <v>177</v>
      </c>
      <c r="J93" s="1">
        <v>261.95999999999998</v>
      </c>
      <c r="K93" s="1">
        <v>19.47</v>
      </c>
      <c r="L93" s="1">
        <v>2.8319999999999999</v>
      </c>
      <c r="M93" s="1">
        <v>17.7</v>
      </c>
      <c r="N93" s="1" t="s">
        <v>49</v>
      </c>
      <c r="O93" s="1" t="s">
        <v>50</v>
      </c>
      <c r="P93" s="1">
        <v>100</v>
      </c>
      <c r="Q93" s="1">
        <v>344.6</v>
      </c>
      <c r="R93" s="1">
        <v>27.3</v>
      </c>
      <c r="S93" s="1">
        <v>4.2</v>
      </c>
      <c r="T93" s="1">
        <v>19.3</v>
      </c>
    </row>
    <row r="94" spans="1:90" ht="14.25" customHeight="1" x14ac:dyDescent="0.35">
      <c r="A94" s="1" t="s">
        <v>237</v>
      </c>
      <c r="B94" s="2">
        <f t="shared" si="5"/>
        <v>261.95999999999998</v>
      </c>
      <c r="C94" s="2">
        <f t="shared" si="6"/>
        <v>177</v>
      </c>
      <c r="D94" s="2">
        <f t="shared" si="7"/>
        <v>19.47</v>
      </c>
      <c r="E94" s="2">
        <f t="shared" si="8"/>
        <v>2.8319999999999999</v>
      </c>
      <c r="F94" s="2">
        <f t="shared" si="9"/>
        <v>17.7</v>
      </c>
      <c r="G94" s="1" t="s">
        <v>30</v>
      </c>
      <c r="H94" s="1" t="s">
        <v>31</v>
      </c>
      <c r="I94" s="1">
        <v>177</v>
      </c>
      <c r="J94" s="1">
        <v>261.95999999999998</v>
      </c>
      <c r="K94" s="1">
        <v>19.47</v>
      </c>
      <c r="L94" s="1">
        <v>2.8319999999999999</v>
      </c>
      <c r="M94" s="1">
        <v>17.7</v>
      </c>
    </row>
    <row r="95" spans="1:90" ht="14.25" customHeight="1" x14ac:dyDescent="0.35">
      <c r="A95" s="1" t="s">
        <v>443</v>
      </c>
      <c r="B95" s="2">
        <f t="shared" si="5"/>
        <v>171.811389542</v>
      </c>
      <c r="C95" s="2">
        <f t="shared" si="6"/>
        <v>53.999998999999995</v>
      </c>
      <c r="D95" s="2">
        <f t="shared" si="7"/>
        <v>10.354841143</v>
      </c>
      <c r="E95" s="2">
        <f t="shared" si="8"/>
        <v>16.759664508</v>
      </c>
      <c r="F95" s="2">
        <f t="shared" si="9"/>
        <v>3.042721513</v>
      </c>
      <c r="G95" s="1" t="s">
        <v>444</v>
      </c>
      <c r="H95" s="1" t="s">
        <v>445</v>
      </c>
      <c r="I95" s="1">
        <v>9.5506879999999992</v>
      </c>
      <c r="J95" s="1">
        <v>25.347525952000002</v>
      </c>
      <c r="K95" s="1">
        <v>0.40112889600000001</v>
      </c>
      <c r="L95" s="1">
        <v>4.039941024</v>
      </c>
      <c r="M95" s="1">
        <v>1.28934288</v>
      </c>
      <c r="N95" s="1" t="s">
        <v>446</v>
      </c>
      <c r="O95" s="1" t="s">
        <v>447</v>
      </c>
      <c r="P95" s="1">
        <v>0.225631</v>
      </c>
      <c r="Q95" s="1">
        <v>6.5432989999999996E-2</v>
      </c>
      <c r="R95" s="1">
        <v>6.7689300000000003E-4</v>
      </c>
      <c r="S95" s="1">
        <v>2.0306790000000002E-2</v>
      </c>
      <c r="T95" s="1">
        <v>2.4819410000000001E-3</v>
      </c>
      <c r="U95" s="1" t="s">
        <v>61</v>
      </c>
      <c r="V95" s="1" t="s">
        <v>62</v>
      </c>
      <c r="W95" s="1">
        <v>0.90252399999999999</v>
      </c>
      <c r="X95" s="1">
        <v>6.4710970799999998</v>
      </c>
      <c r="Y95" s="1">
        <v>0.73104444000000002</v>
      </c>
      <c r="Z95" s="1">
        <v>9.0252400000000003E-4</v>
      </c>
      <c r="AA95" s="1">
        <v>7.2201920000000003E-3</v>
      </c>
      <c r="AB95" s="1" t="s">
        <v>448</v>
      </c>
      <c r="AC95" s="1" t="s">
        <v>449</v>
      </c>
      <c r="AD95" s="1">
        <v>16.245433999999999</v>
      </c>
      <c r="AE95" s="1">
        <v>45.162306520000001</v>
      </c>
      <c r="AF95" s="1">
        <v>1.6245434E-2</v>
      </c>
      <c r="AG95" s="1">
        <v>11.20934946</v>
      </c>
      <c r="AH95" s="1">
        <v>6.4981735999999998E-2</v>
      </c>
      <c r="AI95" s="1" t="s">
        <v>450</v>
      </c>
      <c r="AJ95" s="1" t="s">
        <v>451</v>
      </c>
      <c r="AK95" s="1">
        <v>27.075721999999999</v>
      </c>
      <c r="AL95" s="1">
        <v>94.765027000000003</v>
      </c>
      <c r="AM95" s="1">
        <v>9.2057454799999991</v>
      </c>
      <c r="AN95" s="1">
        <v>1.4891647100000001</v>
      </c>
      <c r="AO95" s="1">
        <v>1.6786947640000001</v>
      </c>
    </row>
    <row r="96" spans="1:90" ht="14.25" customHeight="1" x14ac:dyDescent="0.35">
      <c r="A96" s="1" t="s">
        <v>420</v>
      </c>
      <c r="B96" s="2">
        <f t="shared" si="5"/>
        <v>606.4070536700001</v>
      </c>
      <c r="C96" s="2">
        <f t="shared" si="6"/>
        <v>300.99999400000002</v>
      </c>
      <c r="D96" s="2">
        <f t="shared" si="7"/>
        <v>42.94698827500001</v>
      </c>
      <c r="E96" s="2">
        <f t="shared" si="8"/>
        <v>30.950446217999996</v>
      </c>
      <c r="F96" s="2">
        <f t="shared" si="9"/>
        <v>25.836903072000002</v>
      </c>
      <c r="G96" s="1" t="s">
        <v>69</v>
      </c>
      <c r="H96" s="1" t="s">
        <v>70</v>
      </c>
      <c r="I96" s="1">
        <v>36</v>
      </c>
      <c r="J96" s="1">
        <v>194.76</v>
      </c>
      <c r="K96" s="1">
        <v>15.12</v>
      </c>
      <c r="L96" s="1">
        <v>0.504</v>
      </c>
      <c r="M96" s="1">
        <v>13.32</v>
      </c>
      <c r="N96" s="1" t="s">
        <v>40</v>
      </c>
      <c r="O96" s="1" t="s">
        <v>41</v>
      </c>
      <c r="P96" s="1">
        <v>82.301079000000001</v>
      </c>
      <c r="Q96" s="1">
        <v>20.57526975</v>
      </c>
      <c r="R96" s="1">
        <v>0.246903237</v>
      </c>
      <c r="S96" s="1">
        <v>4.1150539500000001</v>
      </c>
      <c r="T96" s="1">
        <v>1.4814194220000001</v>
      </c>
      <c r="U96" s="1" t="s">
        <v>30</v>
      </c>
      <c r="V96" s="1" t="s">
        <v>31</v>
      </c>
      <c r="W96" s="1">
        <v>88.333327999999995</v>
      </c>
      <c r="X96" s="1">
        <v>130.73332543999999</v>
      </c>
      <c r="Y96" s="1">
        <v>9.7166660799999995</v>
      </c>
      <c r="Z96" s="1">
        <v>1.413333248</v>
      </c>
      <c r="AA96" s="1">
        <v>8.8333328000000009</v>
      </c>
      <c r="AB96" s="1" t="s">
        <v>33</v>
      </c>
      <c r="AC96" s="1" t="s">
        <v>34</v>
      </c>
      <c r="AD96" s="1">
        <v>74</v>
      </c>
      <c r="AE96" s="1">
        <v>241.24</v>
      </c>
      <c r="AF96" s="1">
        <v>16.28</v>
      </c>
      <c r="AG96" s="1">
        <v>23.68</v>
      </c>
      <c r="AH96" s="1">
        <v>1.9239999999999999</v>
      </c>
      <c r="AI96" s="1" t="s">
        <v>13</v>
      </c>
      <c r="AJ96" s="1" t="s">
        <v>14</v>
      </c>
      <c r="AK96" s="1">
        <v>1.543145</v>
      </c>
      <c r="AL96" s="1">
        <v>13.641401800000001</v>
      </c>
      <c r="AM96" s="1">
        <v>1.543145</v>
      </c>
      <c r="AN96" s="1">
        <v>0</v>
      </c>
      <c r="AO96" s="1">
        <v>0</v>
      </c>
      <c r="AP96" s="1" t="s">
        <v>17</v>
      </c>
      <c r="AQ96" s="1" t="s">
        <v>18</v>
      </c>
      <c r="AR96" s="1">
        <v>9.0720000000000002E-3</v>
      </c>
      <c r="AS96" s="1">
        <v>0</v>
      </c>
      <c r="AT96" s="1">
        <v>0</v>
      </c>
      <c r="AU96" s="1">
        <v>0</v>
      </c>
      <c r="AV96" s="1">
        <v>0</v>
      </c>
      <c r="AW96" s="1" t="s">
        <v>42</v>
      </c>
      <c r="AX96" s="1" t="s">
        <v>43</v>
      </c>
      <c r="AY96" s="1">
        <v>1.028764</v>
      </c>
      <c r="AZ96" s="1">
        <v>0.29834156000000001</v>
      </c>
      <c r="BA96" s="1">
        <v>4.1150559999999997E-3</v>
      </c>
      <c r="BB96" s="1">
        <v>6.6869659999999997E-2</v>
      </c>
      <c r="BC96" s="1">
        <v>9.2588759999999992E-3</v>
      </c>
      <c r="BD96" s="1" t="s">
        <v>37</v>
      </c>
      <c r="BE96" s="1" t="s">
        <v>38</v>
      </c>
      <c r="BF96" s="1">
        <v>17.666668000000001</v>
      </c>
      <c r="BG96" s="1">
        <v>5.1233337199999998</v>
      </c>
      <c r="BH96" s="1">
        <v>3.5333336E-2</v>
      </c>
      <c r="BI96" s="1">
        <v>1.1660000880000001</v>
      </c>
      <c r="BJ96" s="1">
        <v>0.26500002</v>
      </c>
      <c r="BK96" s="1" t="s">
        <v>44</v>
      </c>
      <c r="BL96" s="1" t="s">
        <v>45</v>
      </c>
      <c r="BM96" s="1">
        <v>0.117938</v>
      </c>
      <c r="BN96" s="1">
        <v>3.53814E-2</v>
      </c>
      <c r="BO96" s="1">
        <v>8.2556600000000002E-4</v>
      </c>
      <c r="BP96" s="1">
        <v>5.189272E-3</v>
      </c>
      <c r="BQ96" s="1">
        <v>3.891954E-3</v>
      </c>
    </row>
    <row r="97" spans="1:90" ht="14.25" customHeight="1" x14ac:dyDescent="0.35">
      <c r="A97" s="1" t="s">
        <v>496</v>
      </c>
      <c r="B97" s="2">
        <f t="shared" si="5"/>
        <v>571.85665916000005</v>
      </c>
      <c r="C97" s="2">
        <f t="shared" si="6"/>
        <v>215.99999600000001</v>
      </c>
      <c r="D97" s="2">
        <f t="shared" si="7"/>
        <v>41.151999416000002</v>
      </c>
      <c r="E97" s="2">
        <f t="shared" si="8"/>
        <v>26.763333335999999</v>
      </c>
      <c r="F97" s="2">
        <f t="shared" si="9"/>
        <v>24.342332819999999</v>
      </c>
      <c r="G97" s="1" t="s">
        <v>69</v>
      </c>
      <c r="H97" s="1" t="s">
        <v>70</v>
      </c>
      <c r="I97" s="1">
        <v>36</v>
      </c>
      <c r="J97" s="1">
        <v>194.76</v>
      </c>
      <c r="K97" s="1">
        <v>15.12</v>
      </c>
      <c r="L97" s="1">
        <v>0.504</v>
      </c>
      <c r="M97" s="1">
        <v>13.32</v>
      </c>
      <c r="N97" s="1" t="s">
        <v>30</v>
      </c>
      <c r="O97" s="1" t="s">
        <v>31</v>
      </c>
      <c r="P97" s="1">
        <v>88.333327999999995</v>
      </c>
      <c r="Q97" s="1">
        <v>130.73332543999999</v>
      </c>
      <c r="R97" s="1">
        <v>9.7166660799999995</v>
      </c>
      <c r="S97" s="1">
        <v>1.413333248</v>
      </c>
      <c r="T97" s="1">
        <v>8.8333328000000009</v>
      </c>
      <c r="U97" s="1" t="s">
        <v>33</v>
      </c>
      <c r="V97" s="1" t="s">
        <v>34</v>
      </c>
      <c r="W97" s="1">
        <v>74</v>
      </c>
      <c r="X97" s="1">
        <v>241.24</v>
      </c>
      <c r="Y97" s="1">
        <v>16.28</v>
      </c>
      <c r="Z97" s="1">
        <v>23.68</v>
      </c>
      <c r="AA97" s="1">
        <v>1.9239999999999999</v>
      </c>
      <c r="AB97" s="1" t="s">
        <v>37</v>
      </c>
      <c r="AC97" s="1" t="s">
        <v>38</v>
      </c>
      <c r="AD97" s="1">
        <v>17.666668000000001</v>
      </c>
      <c r="AE97" s="1">
        <v>5.1233337199999998</v>
      </c>
      <c r="AF97" s="1">
        <v>3.5333336E-2</v>
      </c>
      <c r="AG97" s="1">
        <v>1.1660000880000001</v>
      </c>
      <c r="AH97" s="1">
        <v>0.26500002</v>
      </c>
    </row>
    <row r="98" spans="1:90" ht="14.25" customHeight="1" x14ac:dyDescent="0.35">
      <c r="A98" s="1" t="s">
        <v>371</v>
      </c>
      <c r="B98" s="2">
        <f t="shared" si="5"/>
        <v>436</v>
      </c>
      <c r="C98" s="2">
        <f t="shared" si="6"/>
        <v>110</v>
      </c>
      <c r="D98" s="2">
        <f t="shared" si="7"/>
        <v>31.4</v>
      </c>
      <c r="E98" s="2">
        <f t="shared" si="8"/>
        <v>24.184000000000001</v>
      </c>
      <c r="F98" s="2">
        <f t="shared" si="9"/>
        <v>15.244</v>
      </c>
      <c r="G98" s="1" t="s">
        <v>69</v>
      </c>
      <c r="H98" s="1" t="s">
        <v>70</v>
      </c>
      <c r="I98" s="1">
        <v>36</v>
      </c>
      <c r="J98" s="1">
        <v>194.76</v>
      </c>
      <c r="K98" s="1">
        <v>15.12</v>
      </c>
      <c r="L98" s="1">
        <v>0.504</v>
      </c>
      <c r="M98" s="1">
        <v>13.32</v>
      </c>
      <c r="N98" s="1" t="s">
        <v>33</v>
      </c>
      <c r="O98" s="1" t="s">
        <v>34</v>
      </c>
      <c r="P98" s="1">
        <v>74</v>
      </c>
      <c r="Q98" s="1">
        <v>241.24</v>
      </c>
      <c r="R98" s="1">
        <v>16.28</v>
      </c>
      <c r="S98" s="1">
        <v>23.68</v>
      </c>
      <c r="T98" s="1">
        <v>1.9239999999999999</v>
      </c>
    </row>
    <row r="99" spans="1:90" ht="14.25" customHeight="1" x14ac:dyDescent="0.35">
      <c r="A99" s="1" t="s">
        <v>453</v>
      </c>
      <c r="B99" s="2">
        <f t="shared" si="5"/>
        <v>194.76</v>
      </c>
      <c r="C99" s="2">
        <f t="shared" si="6"/>
        <v>36</v>
      </c>
      <c r="D99" s="2">
        <f t="shared" si="7"/>
        <v>15.12</v>
      </c>
      <c r="E99" s="2">
        <f t="shared" si="8"/>
        <v>0.504</v>
      </c>
      <c r="F99" s="2">
        <f t="shared" si="9"/>
        <v>13.32</v>
      </c>
      <c r="G99" s="1" t="s">
        <v>69</v>
      </c>
      <c r="H99" s="1" t="s">
        <v>70</v>
      </c>
      <c r="I99" s="1">
        <v>36</v>
      </c>
      <c r="J99" s="1">
        <v>194.76</v>
      </c>
      <c r="K99" s="1">
        <v>15.12</v>
      </c>
      <c r="L99" s="1">
        <v>0.504</v>
      </c>
      <c r="M99" s="1">
        <v>13.32</v>
      </c>
    </row>
    <row r="100" spans="1:90" ht="14.25" customHeight="1" x14ac:dyDescent="0.35">
      <c r="A100" s="1" t="s">
        <v>508</v>
      </c>
      <c r="B100" s="2">
        <f t="shared" si="5"/>
        <v>123.09734426099999</v>
      </c>
      <c r="C100" s="2">
        <f t="shared" si="6"/>
        <v>77.999998999999988</v>
      </c>
      <c r="D100" s="2">
        <f t="shared" si="7"/>
        <v>3.5344566120000005</v>
      </c>
      <c r="E100" s="2">
        <f t="shared" si="8"/>
        <v>2.2339939110000002</v>
      </c>
      <c r="F100" s="2">
        <f t="shared" si="9"/>
        <v>19.408112938000002</v>
      </c>
      <c r="G100" s="1" t="s">
        <v>222</v>
      </c>
      <c r="H100" s="1" t="s">
        <v>223</v>
      </c>
      <c r="I100" s="1">
        <v>6.1721069999999996</v>
      </c>
      <c r="J100" s="1">
        <v>6.8510387699999997</v>
      </c>
      <c r="K100" s="1">
        <v>5.5548963E-2</v>
      </c>
      <c r="L100" s="1">
        <v>1.41958461</v>
      </c>
      <c r="M100" s="1">
        <v>0.16047478200000001</v>
      </c>
      <c r="N100" s="1" t="s">
        <v>108</v>
      </c>
      <c r="O100" s="1" t="s">
        <v>109</v>
      </c>
      <c r="P100" s="1">
        <v>61.721069</v>
      </c>
      <c r="Q100" s="1">
        <v>101.83976385</v>
      </c>
      <c r="R100" s="1">
        <v>2.221958484</v>
      </c>
      <c r="S100" s="1">
        <v>0</v>
      </c>
      <c r="T100" s="1">
        <v>19.133531390000002</v>
      </c>
      <c r="U100" s="1" t="s">
        <v>141</v>
      </c>
      <c r="V100" s="1" t="s">
        <v>142</v>
      </c>
      <c r="W100" s="1">
        <v>6.1721069999999996</v>
      </c>
      <c r="X100" s="1">
        <v>2.5305638699999999</v>
      </c>
      <c r="Y100" s="1">
        <v>1.2344213999999999E-2</v>
      </c>
      <c r="Z100" s="1">
        <v>0.6172107</v>
      </c>
      <c r="AA100" s="1">
        <v>5.5548963E-2</v>
      </c>
      <c r="AB100" s="1" t="s">
        <v>77</v>
      </c>
      <c r="AC100" s="1" t="s">
        <v>78</v>
      </c>
      <c r="AD100" s="1">
        <v>0.30860500000000002</v>
      </c>
      <c r="AE100" s="1">
        <v>0.45982145000000002</v>
      </c>
      <c r="AF100" s="1">
        <v>1.543025E-3</v>
      </c>
      <c r="AG100" s="1">
        <v>0.10183965</v>
      </c>
      <c r="AH100" s="1">
        <v>1.9750719999999999E-2</v>
      </c>
      <c r="AI100" s="1" t="s">
        <v>13</v>
      </c>
      <c r="AJ100" s="1" t="s">
        <v>14</v>
      </c>
      <c r="AK100" s="1">
        <v>1.234421</v>
      </c>
      <c r="AL100" s="1">
        <v>10.91228164</v>
      </c>
      <c r="AM100" s="1">
        <v>1.234421</v>
      </c>
      <c r="AN100" s="1">
        <v>0</v>
      </c>
      <c r="AO100" s="1">
        <v>0</v>
      </c>
      <c r="AP100" s="1" t="s">
        <v>17</v>
      </c>
      <c r="AQ100" s="1" t="s">
        <v>18</v>
      </c>
      <c r="AR100" s="1">
        <v>0.30860500000000002</v>
      </c>
      <c r="AS100" s="1">
        <v>0</v>
      </c>
      <c r="AT100" s="1">
        <v>0</v>
      </c>
      <c r="AU100" s="1">
        <v>0</v>
      </c>
      <c r="AV100" s="1">
        <v>0</v>
      </c>
      <c r="AW100" s="1" t="s">
        <v>285</v>
      </c>
      <c r="AX100" s="1" t="s">
        <v>286</v>
      </c>
      <c r="AY100" s="1">
        <v>7.7150999999999997E-2</v>
      </c>
      <c r="AZ100" s="1">
        <v>0.10106780999999999</v>
      </c>
      <c r="BA100" s="1">
        <v>4.3976070000000004E-3</v>
      </c>
      <c r="BB100" s="1">
        <v>1.54302E-2</v>
      </c>
      <c r="BC100" s="1">
        <v>2.2373789999999998E-3</v>
      </c>
      <c r="BD100" s="1" t="s">
        <v>85</v>
      </c>
      <c r="BE100" s="1" t="s">
        <v>86</v>
      </c>
      <c r="BF100" s="1">
        <v>1.5430269999999999</v>
      </c>
      <c r="BG100" s="1">
        <v>0.29317513000000001</v>
      </c>
      <c r="BH100" s="1">
        <v>3.086054E-3</v>
      </c>
      <c r="BI100" s="1">
        <v>5.7091998999999997E-2</v>
      </c>
      <c r="BJ100" s="1">
        <v>2.7774486000000001E-2</v>
      </c>
      <c r="BK100" s="1" t="s">
        <v>87</v>
      </c>
      <c r="BL100" s="1" t="s">
        <v>88</v>
      </c>
      <c r="BM100" s="1">
        <v>0.23145399999999999</v>
      </c>
      <c r="BN100" s="1">
        <v>3.9347180000000002E-2</v>
      </c>
      <c r="BO100" s="1">
        <v>0</v>
      </c>
      <c r="BP100" s="1">
        <v>1.2961423999999999E-2</v>
      </c>
      <c r="BQ100" s="1">
        <v>9.2581599999999999E-4</v>
      </c>
      <c r="BR100" s="1" t="s">
        <v>63</v>
      </c>
      <c r="BS100" s="1" t="s">
        <v>64</v>
      </c>
      <c r="BT100" s="1">
        <v>7.7150999999999997E-2</v>
      </c>
      <c r="BU100" s="1">
        <v>1.851624E-2</v>
      </c>
      <c r="BV100" s="1">
        <v>0</v>
      </c>
      <c r="BW100" s="1">
        <v>1.54302E-3</v>
      </c>
      <c r="BX100" s="1">
        <v>3.08604E-3</v>
      </c>
      <c r="BY100" s="1" t="s">
        <v>89</v>
      </c>
      <c r="BZ100" s="1" t="s">
        <v>90</v>
      </c>
      <c r="CA100" s="1">
        <v>7.7150999999999997E-2</v>
      </c>
      <c r="CB100" s="1">
        <v>2.8623020999999998E-2</v>
      </c>
      <c r="CC100" s="1">
        <v>6.1720799999999995E-4</v>
      </c>
      <c r="CD100" s="1">
        <v>4.9376639999999996E-3</v>
      </c>
      <c r="CE100" s="1">
        <v>2.2373789999999998E-3</v>
      </c>
      <c r="CF100" s="1" t="s">
        <v>44</v>
      </c>
      <c r="CG100" s="1" t="s">
        <v>45</v>
      </c>
      <c r="CH100" s="1">
        <v>7.7150999999999997E-2</v>
      </c>
      <c r="CI100" s="1">
        <v>2.3145300000000001E-2</v>
      </c>
      <c r="CJ100" s="1">
        <v>5.4005700000000004E-4</v>
      </c>
      <c r="CK100" s="1">
        <v>3.394644E-3</v>
      </c>
      <c r="CL100" s="1">
        <v>2.5459829999999999E-3</v>
      </c>
    </row>
    <row r="101" spans="1:90" ht="14.25" customHeight="1" x14ac:dyDescent="0.35">
      <c r="A101" s="1" t="s">
        <v>281</v>
      </c>
      <c r="B101" s="2">
        <f t="shared" si="5"/>
        <v>259.2</v>
      </c>
      <c r="C101" s="2">
        <f t="shared" si="6"/>
        <v>192</v>
      </c>
      <c r="D101" s="2">
        <f t="shared" si="7"/>
        <v>9.6</v>
      </c>
      <c r="E101" s="2">
        <f t="shared" si="8"/>
        <v>29.568000000000001</v>
      </c>
      <c r="F101" s="2">
        <f t="shared" si="9"/>
        <v>13.824</v>
      </c>
      <c r="G101" s="1" t="s">
        <v>282</v>
      </c>
      <c r="H101" s="1" t="s">
        <v>283</v>
      </c>
      <c r="I101" s="1">
        <v>192</v>
      </c>
      <c r="J101" s="1">
        <v>259.2</v>
      </c>
      <c r="K101" s="1">
        <v>9.6</v>
      </c>
      <c r="L101" s="1">
        <v>29.568000000000001</v>
      </c>
      <c r="M101" s="1">
        <v>13.824</v>
      </c>
    </row>
    <row r="102" spans="1:90" ht="14.25" customHeight="1" x14ac:dyDescent="0.35">
      <c r="A102" s="1" t="s">
        <v>398</v>
      </c>
      <c r="B102" s="2">
        <f t="shared" si="5"/>
        <v>172.8</v>
      </c>
      <c r="C102" s="2">
        <f t="shared" si="6"/>
        <v>128</v>
      </c>
      <c r="D102" s="2">
        <f t="shared" si="7"/>
        <v>6.4</v>
      </c>
      <c r="E102" s="2">
        <f t="shared" si="8"/>
        <v>19.712</v>
      </c>
      <c r="F102" s="2">
        <f t="shared" si="9"/>
        <v>9.2159999999999993</v>
      </c>
      <c r="G102" s="1" t="s">
        <v>282</v>
      </c>
      <c r="H102" s="1" t="s">
        <v>283</v>
      </c>
      <c r="I102" s="1">
        <v>128</v>
      </c>
      <c r="J102" s="1">
        <v>172.8</v>
      </c>
      <c r="K102" s="1">
        <v>6.4</v>
      </c>
      <c r="L102" s="1">
        <v>19.712</v>
      </c>
      <c r="M102" s="1">
        <v>9.2159999999999993</v>
      </c>
    </row>
    <row r="103" spans="1:90" ht="14.25" customHeight="1" x14ac:dyDescent="0.35">
      <c r="A103" s="1" t="s">
        <v>534</v>
      </c>
      <c r="B103" s="2">
        <f t="shared" si="5"/>
        <v>257.47399316399998</v>
      </c>
      <c r="C103" s="2">
        <f t="shared" si="6"/>
        <v>112.99999899999999</v>
      </c>
      <c r="D103" s="2">
        <f t="shared" si="7"/>
        <v>12.241439137999999</v>
      </c>
      <c r="E103" s="2">
        <f t="shared" si="8"/>
        <v>29.677372741999999</v>
      </c>
      <c r="F103" s="2">
        <f t="shared" si="9"/>
        <v>10.653204047999999</v>
      </c>
      <c r="G103" s="1" t="s">
        <v>414</v>
      </c>
      <c r="H103" s="1" t="s">
        <v>415</v>
      </c>
      <c r="I103" s="1">
        <v>8.8132859999999997</v>
      </c>
      <c r="J103" s="1">
        <v>7.84382454</v>
      </c>
      <c r="K103" s="1">
        <v>2.6439858E-2</v>
      </c>
      <c r="L103" s="1">
        <v>2.02705578</v>
      </c>
      <c r="M103" s="1">
        <v>9.6946145999999997E-2</v>
      </c>
      <c r="N103" s="1" t="s">
        <v>416</v>
      </c>
      <c r="O103" s="1" t="s">
        <v>417</v>
      </c>
      <c r="P103" s="1">
        <v>27.761361999999998</v>
      </c>
      <c r="Q103" s="1">
        <v>153.631377308</v>
      </c>
      <c r="R103" s="1">
        <v>11.992908384</v>
      </c>
      <c r="S103" s="1">
        <v>8.5782608580000002</v>
      </c>
      <c r="T103" s="1">
        <v>4.9415224359999996</v>
      </c>
      <c r="U103" s="1" t="s">
        <v>418</v>
      </c>
      <c r="V103" s="1" t="s">
        <v>419</v>
      </c>
      <c r="W103" s="1">
        <v>55.522723999999997</v>
      </c>
      <c r="X103" s="1">
        <v>32.702884435999998</v>
      </c>
      <c r="Y103" s="1">
        <v>0.22209089600000001</v>
      </c>
      <c r="Z103" s="1">
        <v>1.9988180639999999</v>
      </c>
      <c r="AA103" s="1">
        <v>5.5522723999999997</v>
      </c>
      <c r="AB103" s="1" t="s">
        <v>17</v>
      </c>
      <c r="AC103" s="1" t="s">
        <v>18</v>
      </c>
      <c r="AD103" s="1">
        <v>8.1604999999999997E-2</v>
      </c>
      <c r="AE103" s="1">
        <v>0</v>
      </c>
      <c r="AF103" s="1">
        <v>0</v>
      </c>
      <c r="AG103" s="1">
        <v>0</v>
      </c>
      <c r="AH103" s="1">
        <v>0</v>
      </c>
      <c r="AI103" s="1" t="s">
        <v>208</v>
      </c>
      <c r="AJ103" s="1" t="s">
        <v>209</v>
      </c>
      <c r="AK103" s="1">
        <v>20.821021999999999</v>
      </c>
      <c r="AL103" s="1">
        <v>63.295906879999997</v>
      </c>
      <c r="AM103" s="1">
        <v>0</v>
      </c>
      <c r="AN103" s="1">
        <v>17.07323804</v>
      </c>
      <c r="AO103" s="1">
        <v>6.2463065999999998E-2</v>
      </c>
    </row>
    <row r="104" spans="1:90" ht="14.25" customHeight="1" x14ac:dyDescent="0.35">
      <c r="A104" s="1" t="s">
        <v>295</v>
      </c>
      <c r="B104" s="2">
        <f t="shared" si="5"/>
        <v>187.55</v>
      </c>
      <c r="C104" s="2">
        <f t="shared" si="6"/>
        <v>164</v>
      </c>
      <c r="D104" s="2">
        <f t="shared" si="7"/>
        <v>9.3190000000000008</v>
      </c>
      <c r="E104" s="2">
        <f t="shared" si="8"/>
        <v>17.849999999999998</v>
      </c>
      <c r="F104" s="2">
        <f t="shared" si="9"/>
        <v>8.4369999999999994</v>
      </c>
      <c r="G104" s="1" t="s">
        <v>52</v>
      </c>
      <c r="H104" s="1" t="s">
        <v>53</v>
      </c>
      <c r="I104" s="1">
        <v>53</v>
      </c>
      <c r="J104" s="1">
        <v>17.489999999999998</v>
      </c>
      <c r="K104" s="1">
        <v>0.159</v>
      </c>
      <c r="L104" s="1">
        <v>4.24</v>
      </c>
      <c r="M104" s="1">
        <v>0.371</v>
      </c>
      <c r="N104" s="1" t="s">
        <v>33</v>
      </c>
      <c r="O104" s="1" t="s">
        <v>34</v>
      </c>
      <c r="P104" s="1">
        <v>41</v>
      </c>
      <c r="Q104" s="1">
        <v>133.66</v>
      </c>
      <c r="R104" s="1">
        <v>9.02</v>
      </c>
      <c r="S104" s="1">
        <v>13.12</v>
      </c>
      <c r="T104" s="1">
        <v>1.0660000000000001</v>
      </c>
      <c r="U104" s="1" t="s">
        <v>35</v>
      </c>
      <c r="V104" s="1" t="s">
        <v>36</v>
      </c>
      <c r="W104" s="1">
        <v>70</v>
      </c>
      <c r="X104" s="1">
        <v>36.4</v>
      </c>
      <c r="Y104" s="1">
        <v>0.14000000000000001</v>
      </c>
      <c r="Z104" s="1">
        <v>0.49</v>
      </c>
      <c r="AA104" s="1">
        <v>7</v>
      </c>
    </row>
    <row r="105" spans="1:90" ht="14.25" customHeight="1" x14ac:dyDescent="0.35">
      <c r="A105" s="1" t="s">
        <v>370</v>
      </c>
      <c r="B105" s="2">
        <f t="shared" si="5"/>
        <v>53.89</v>
      </c>
      <c r="C105" s="2">
        <f t="shared" si="6"/>
        <v>123</v>
      </c>
      <c r="D105" s="2">
        <f t="shared" si="7"/>
        <v>0.29900000000000004</v>
      </c>
      <c r="E105" s="2">
        <f t="shared" si="8"/>
        <v>4.7300000000000004</v>
      </c>
      <c r="F105" s="2">
        <f t="shared" si="9"/>
        <v>7.3710000000000004</v>
      </c>
      <c r="G105" s="1" t="s">
        <v>52</v>
      </c>
      <c r="H105" s="1" t="s">
        <v>53</v>
      </c>
      <c r="I105" s="1">
        <v>53</v>
      </c>
      <c r="J105" s="1">
        <v>17.489999999999998</v>
      </c>
      <c r="K105" s="1">
        <v>0.159</v>
      </c>
      <c r="L105" s="1">
        <v>4.24</v>
      </c>
      <c r="M105" s="1">
        <v>0.371</v>
      </c>
      <c r="N105" s="1" t="s">
        <v>35</v>
      </c>
      <c r="O105" s="1" t="s">
        <v>36</v>
      </c>
      <c r="P105" s="1">
        <v>70</v>
      </c>
      <c r="Q105" s="1">
        <v>36.4</v>
      </c>
      <c r="R105" s="1">
        <v>0.14000000000000001</v>
      </c>
      <c r="S105" s="1">
        <v>0.49</v>
      </c>
      <c r="T105" s="1">
        <v>7</v>
      </c>
    </row>
    <row r="106" spans="1:90" ht="14.25" customHeight="1" x14ac:dyDescent="0.35">
      <c r="A106" s="1" t="s">
        <v>160</v>
      </c>
      <c r="B106" s="2">
        <f t="shared" si="5"/>
        <v>36.4</v>
      </c>
      <c r="C106" s="2">
        <f t="shared" si="6"/>
        <v>70</v>
      </c>
      <c r="D106" s="2">
        <f t="shared" si="7"/>
        <v>0.14000000000000001</v>
      </c>
      <c r="E106" s="2">
        <f t="shared" si="8"/>
        <v>0.49</v>
      </c>
      <c r="F106" s="2">
        <f t="shared" si="9"/>
        <v>7</v>
      </c>
      <c r="G106" s="1" t="s">
        <v>35</v>
      </c>
      <c r="H106" s="1" t="s">
        <v>36</v>
      </c>
      <c r="I106" s="1">
        <v>70</v>
      </c>
      <c r="J106" s="1">
        <v>36.4</v>
      </c>
      <c r="K106" s="1">
        <v>0.14000000000000001</v>
      </c>
      <c r="L106" s="1">
        <v>0.49</v>
      </c>
      <c r="M106" s="1">
        <v>7</v>
      </c>
    </row>
    <row r="107" spans="1:90" ht="14.25" customHeight="1" x14ac:dyDescent="0.35">
      <c r="A107" s="1" t="s">
        <v>134</v>
      </c>
      <c r="B107" s="2">
        <f t="shared" si="5"/>
        <v>303.60000000000002</v>
      </c>
      <c r="C107" s="2">
        <f t="shared" si="6"/>
        <v>132</v>
      </c>
      <c r="D107" s="2">
        <f t="shared" si="7"/>
        <v>7.1280000000000001</v>
      </c>
      <c r="E107" s="2">
        <f t="shared" si="8"/>
        <v>51.48</v>
      </c>
      <c r="F107" s="2">
        <f t="shared" si="9"/>
        <v>8.1839999999999993</v>
      </c>
      <c r="G107" s="1" t="s">
        <v>135</v>
      </c>
      <c r="H107" s="1" t="s">
        <v>136</v>
      </c>
      <c r="I107" s="1">
        <v>132</v>
      </c>
      <c r="J107" s="1">
        <v>303.60000000000002</v>
      </c>
      <c r="K107" s="1">
        <v>7.1280000000000001</v>
      </c>
      <c r="L107" s="1">
        <v>51.48</v>
      </c>
      <c r="M107" s="1">
        <v>8.1839999999999993</v>
      </c>
    </row>
    <row r="108" spans="1:90" ht="14.25" customHeight="1" x14ac:dyDescent="0.35">
      <c r="A108" s="1" t="s">
        <v>326</v>
      </c>
      <c r="B108" s="2">
        <f t="shared" si="5"/>
        <v>113.61</v>
      </c>
      <c r="C108" s="2">
        <f t="shared" si="6"/>
        <v>21</v>
      </c>
      <c r="D108" s="2">
        <f t="shared" si="7"/>
        <v>8.82</v>
      </c>
      <c r="E108" s="2">
        <f t="shared" si="8"/>
        <v>0.29399999999999998</v>
      </c>
      <c r="F108" s="2">
        <f t="shared" si="9"/>
        <v>7.77</v>
      </c>
      <c r="G108" s="1" t="s">
        <v>69</v>
      </c>
      <c r="H108" s="1" t="s">
        <v>70</v>
      </c>
      <c r="I108" s="1">
        <v>21</v>
      </c>
      <c r="J108" s="1">
        <v>113.61</v>
      </c>
      <c r="K108" s="1">
        <v>8.82</v>
      </c>
      <c r="L108" s="1">
        <v>0.29399999999999998</v>
      </c>
      <c r="M108" s="1">
        <v>7.77</v>
      </c>
    </row>
    <row r="109" spans="1:90" ht="14.25" customHeight="1" x14ac:dyDescent="0.35">
      <c r="A109" s="1" t="s">
        <v>544</v>
      </c>
      <c r="B109" s="2">
        <f t="shared" si="5"/>
        <v>406.29999999999995</v>
      </c>
      <c r="C109" s="2">
        <f t="shared" si="6"/>
        <v>189</v>
      </c>
      <c r="D109" s="2">
        <f t="shared" si="7"/>
        <v>29.013999999999999</v>
      </c>
      <c r="E109" s="2">
        <f t="shared" si="8"/>
        <v>22.172000000000001</v>
      </c>
      <c r="F109" s="2">
        <f t="shared" si="9"/>
        <v>14.43</v>
      </c>
      <c r="G109" s="1" t="s">
        <v>33</v>
      </c>
      <c r="H109" s="1" t="s">
        <v>34</v>
      </c>
      <c r="I109" s="1">
        <v>67</v>
      </c>
      <c r="J109" s="1">
        <v>218.42</v>
      </c>
      <c r="K109" s="1">
        <v>14.74</v>
      </c>
      <c r="L109" s="1">
        <v>21.44</v>
      </c>
      <c r="M109" s="1">
        <v>1.742</v>
      </c>
      <c r="N109" s="1" t="s">
        <v>104</v>
      </c>
      <c r="O109" s="1" t="s">
        <v>105</v>
      </c>
      <c r="P109" s="1">
        <v>122</v>
      </c>
      <c r="Q109" s="1">
        <v>187.88</v>
      </c>
      <c r="R109" s="1">
        <v>14.273999999999999</v>
      </c>
      <c r="S109" s="1">
        <v>0.73199999999999998</v>
      </c>
      <c r="T109" s="1">
        <v>12.688000000000001</v>
      </c>
    </row>
    <row r="110" spans="1:90" ht="14.25" customHeight="1" x14ac:dyDescent="0.35">
      <c r="A110" s="1" t="s">
        <v>103</v>
      </c>
      <c r="B110" s="2">
        <f t="shared" si="5"/>
        <v>187.88</v>
      </c>
      <c r="C110" s="2">
        <f t="shared" si="6"/>
        <v>122</v>
      </c>
      <c r="D110" s="2">
        <f t="shared" si="7"/>
        <v>14.273999999999999</v>
      </c>
      <c r="E110" s="2">
        <f t="shared" si="8"/>
        <v>0.73199999999999998</v>
      </c>
      <c r="F110" s="2">
        <f t="shared" si="9"/>
        <v>12.688000000000001</v>
      </c>
      <c r="G110" s="1" t="s">
        <v>104</v>
      </c>
      <c r="H110" s="1" t="s">
        <v>105</v>
      </c>
      <c r="I110" s="1">
        <v>122</v>
      </c>
      <c r="J110" s="1">
        <v>187.88</v>
      </c>
      <c r="K110" s="1">
        <v>14.273999999999999</v>
      </c>
      <c r="L110" s="1">
        <v>0.73199999999999998</v>
      </c>
      <c r="M110" s="1">
        <v>12.688000000000001</v>
      </c>
    </row>
    <row r="111" spans="1:90" ht="14.25" customHeight="1" x14ac:dyDescent="0.35">
      <c r="A111" s="1" t="s">
        <v>303</v>
      </c>
      <c r="B111" s="2">
        <f t="shared" si="5"/>
        <v>146.07</v>
      </c>
      <c r="C111" s="2">
        <f t="shared" si="6"/>
        <v>27</v>
      </c>
      <c r="D111" s="2">
        <f t="shared" si="7"/>
        <v>11.34</v>
      </c>
      <c r="E111" s="2">
        <f t="shared" si="8"/>
        <v>0.378</v>
      </c>
      <c r="F111" s="2">
        <f t="shared" si="9"/>
        <v>9.99</v>
      </c>
      <c r="G111" s="1" t="s">
        <v>69</v>
      </c>
      <c r="H111" s="1" t="s">
        <v>70</v>
      </c>
      <c r="I111" s="1">
        <v>27</v>
      </c>
      <c r="J111" s="1">
        <v>146.07</v>
      </c>
      <c r="K111" s="1">
        <v>11.34</v>
      </c>
      <c r="L111" s="1">
        <v>0.378</v>
      </c>
      <c r="M111" s="1">
        <v>9.99</v>
      </c>
    </row>
    <row r="112" spans="1:90" ht="14.25" customHeight="1" x14ac:dyDescent="0.35">
      <c r="A112" s="1" t="s">
        <v>68</v>
      </c>
      <c r="B112" s="2">
        <f t="shared" si="5"/>
        <v>811.45643579</v>
      </c>
      <c r="C112" s="2">
        <f t="shared" si="6"/>
        <v>474.00000199999999</v>
      </c>
      <c r="D112" s="2">
        <f t="shared" si="7"/>
        <v>48.723755644000001</v>
      </c>
      <c r="E112" s="2">
        <f t="shared" si="8"/>
        <v>44.495756270000001</v>
      </c>
      <c r="F112" s="2">
        <f t="shared" si="9"/>
        <v>47.054487864000002</v>
      </c>
      <c r="G112" s="1" t="s">
        <v>69</v>
      </c>
      <c r="H112" s="1" t="s">
        <v>70</v>
      </c>
      <c r="I112" s="1">
        <v>36</v>
      </c>
      <c r="J112" s="1">
        <v>194.76</v>
      </c>
      <c r="K112" s="1">
        <v>15.12</v>
      </c>
      <c r="L112" s="1">
        <v>0.504</v>
      </c>
      <c r="M112" s="1">
        <v>13.32</v>
      </c>
      <c r="N112" s="1" t="s">
        <v>30</v>
      </c>
      <c r="O112" s="1" t="s">
        <v>31</v>
      </c>
      <c r="P112" s="1">
        <v>269</v>
      </c>
      <c r="Q112" s="1">
        <v>398.12</v>
      </c>
      <c r="R112" s="1">
        <v>29.59</v>
      </c>
      <c r="S112" s="1">
        <v>4.3040000000000003</v>
      </c>
      <c r="T112" s="1">
        <v>26.9</v>
      </c>
      <c r="U112" s="1" t="s">
        <v>47</v>
      </c>
      <c r="V112" s="1" t="s">
        <v>48</v>
      </c>
      <c r="W112" s="1">
        <v>45.853661000000002</v>
      </c>
      <c r="X112" s="1">
        <v>16.048781349999999</v>
      </c>
      <c r="Y112" s="1">
        <v>0.18341464399999999</v>
      </c>
      <c r="Z112" s="1">
        <v>3.2097562700000002</v>
      </c>
      <c r="AA112" s="1">
        <v>1.100487864</v>
      </c>
      <c r="AB112" s="1" t="s">
        <v>13</v>
      </c>
      <c r="AC112" s="1" t="s">
        <v>14</v>
      </c>
      <c r="AD112" s="1">
        <v>1.1463410000000001</v>
      </c>
      <c r="AE112" s="1">
        <v>10.133654440000001</v>
      </c>
      <c r="AF112" s="1">
        <v>1.1463410000000001</v>
      </c>
      <c r="AG112" s="1">
        <v>0</v>
      </c>
      <c r="AH112" s="1">
        <v>0</v>
      </c>
      <c r="AI112" s="1" t="s">
        <v>71</v>
      </c>
      <c r="AJ112" s="1" t="s">
        <v>72</v>
      </c>
      <c r="AK112" s="1">
        <v>122</v>
      </c>
      <c r="AL112" s="1">
        <v>192.39400000000001</v>
      </c>
      <c r="AM112" s="1">
        <v>2.6840000000000002</v>
      </c>
      <c r="AN112" s="1">
        <v>36.478000000000002</v>
      </c>
      <c r="AO112" s="1">
        <v>5.734</v>
      </c>
    </row>
    <row r="113" spans="1:153" ht="14.25" customHeight="1" x14ac:dyDescent="0.35">
      <c r="A113" s="1" t="s">
        <v>196</v>
      </c>
      <c r="B113" s="2">
        <f t="shared" si="5"/>
        <v>619.06243578999999</v>
      </c>
      <c r="C113" s="2">
        <f t="shared" si="6"/>
        <v>352.00000199999999</v>
      </c>
      <c r="D113" s="2">
        <f t="shared" si="7"/>
        <v>46.039755644000003</v>
      </c>
      <c r="E113" s="2">
        <f t="shared" si="8"/>
        <v>8.0177562699999996</v>
      </c>
      <c r="F113" s="2">
        <f t="shared" si="9"/>
        <v>41.320487864</v>
      </c>
      <c r="G113" s="1" t="s">
        <v>69</v>
      </c>
      <c r="H113" s="1" t="s">
        <v>70</v>
      </c>
      <c r="I113" s="1">
        <v>36</v>
      </c>
      <c r="J113" s="1">
        <v>194.76</v>
      </c>
      <c r="K113" s="1">
        <v>15.12</v>
      </c>
      <c r="L113" s="1">
        <v>0.504</v>
      </c>
      <c r="M113" s="1">
        <v>13.32</v>
      </c>
      <c r="N113" s="1" t="s">
        <v>30</v>
      </c>
      <c r="O113" s="1" t="s">
        <v>31</v>
      </c>
      <c r="P113" s="1">
        <v>269</v>
      </c>
      <c r="Q113" s="1">
        <v>398.12</v>
      </c>
      <c r="R113" s="1">
        <v>29.59</v>
      </c>
      <c r="S113" s="1">
        <v>4.3040000000000003</v>
      </c>
      <c r="T113" s="1">
        <v>26.9</v>
      </c>
      <c r="U113" s="1" t="s">
        <v>47</v>
      </c>
      <c r="V113" s="1" t="s">
        <v>48</v>
      </c>
      <c r="W113" s="1">
        <v>45.853661000000002</v>
      </c>
      <c r="X113" s="1">
        <v>16.048781349999999</v>
      </c>
      <c r="Y113" s="1">
        <v>0.18341464399999999</v>
      </c>
      <c r="Z113" s="1">
        <v>3.2097562700000002</v>
      </c>
      <c r="AA113" s="1">
        <v>1.100487864</v>
      </c>
      <c r="AB113" s="1" t="s">
        <v>13</v>
      </c>
      <c r="AC113" s="1" t="s">
        <v>14</v>
      </c>
      <c r="AD113" s="1">
        <v>1.1463410000000001</v>
      </c>
      <c r="AE113" s="1">
        <v>10.133654440000001</v>
      </c>
      <c r="AF113" s="1">
        <v>1.1463410000000001</v>
      </c>
      <c r="AG113" s="1">
        <v>0</v>
      </c>
      <c r="AH113" s="1">
        <v>0</v>
      </c>
    </row>
    <row r="114" spans="1:153" ht="14.25" customHeight="1" x14ac:dyDescent="0.35">
      <c r="A114" s="1" t="s">
        <v>424</v>
      </c>
      <c r="B114" s="2">
        <f t="shared" si="5"/>
        <v>220.94243578999999</v>
      </c>
      <c r="C114" s="2">
        <f t="shared" si="6"/>
        <v>83.000002000000009</v>
      </c>
      <c r="D114" s="2">
        <f t="shared" si="7"/>
        <v>16.449755644</v>
      </c>
      <c r="E114" s="2">
        <f t="shared" si="8"/>
        <v>3.7137562700000002</v>
      </c>
      <c r="F114" s="2">
        <f t="shared" si="9"/>
        <v>14.420487864</v>
      </c>
      <c r="G114" s="1" t="s">
        <v>69</v>
      </c>
      <c r="H114" s="1" t="s">
        <v>70</v>
      </c>
      <c r="I114" s="1">
        <v>36</v>
      </c>
      <c r="J114" s="1">
        <v>194.76</v>
      </c>
      <c r="K114" s="1">
        <v>15.12</v>
      </c>
      <c r="L114" s="1">
        <v>0.504</v>
      </c>
      <c r="M114" s="1">
        <v>13.32</v>
      </c>
      <c r="N114" s="1" t="s">
        <v>47</v>
      </c>
      <c r="O114" s="1" t="s">
        <v>48</v>
      </c>
      <c r="P114" s="1">
        <v>45.853661000000002</v>
      </c>
      <c r="Q114" s="1">
        <v>16.048781349999999</v>
      </c>
      <c r="R114" s="1">
        <v>0.18341464399999999</v>
      </c>
      <c r="S114" s="1">
        <v>3.2097562700000002</v>
      </c>
      <c r="T114" s="1">
        <v>1.100487864</v>
      </c>
      <c r="U114" s="1" t="s">
        <v>13</v>
      </c>
      <c r="V114" s="1" t="s">
        <v>14</v>
      </c>
      <c r="W114" s="1">
        <v>1.1463410000000001</v>
      </c>
      <c r="X114" s="1">
        <v>10.133654440000001</v>
      </c>
      <c r="Y114" s="1">
        <v>1.1463410000000001</v>
      </c>
      <c r="Z114" s="1">
        <v>0</v>
      </c>
      <c r="AA114" s="1">
        <v>0</v>
      </c>
    </row>
    <row r="115" spans="1:153" ht="14.25" customHeight="1" x14ac:dyDescent="0.35">
      <c r="A115" s="1" t="s">
        <v>541</v>
      </c>
      <c r="B115" s="2">
        <f t="shared" si="5"/>
        <v>194.76</v>
      </c>
      <c r="C115" s="2">
        <f t="shared" si="6"/>
        <v>36</v>
      </c>
      <c r="D115" s="2">
        <f t="shared" si="7"/>
        <v>15.12</v>
      </c>
      <c r="E115" s="2">
        <f t="shared" si="8"/>
        <v>0.504</v>
      </c>
      <c r="F115" s="2">
        <f t="shared" si="9"/>
        <v>13.32</v>
      </c>
      <c r="G115" s="1" t="s">
        <v>69</v>
      </c>
      <c r="H115" s="1" t="s">
        <v>70</v>
      </c>
      <c r="I115" s="1">
        <v>36</v>
      </c>
      <c r="J115" s="1">
        <v>194.76</v>
      </c>
      <c r="K115" s="1">
        <v>15.12</v>
      </c>
      <c r="L115" s="1">
        <v>0.504</v>
      </c>
      <c r="M115" s="1">
        <v>13.32</v>
      </c>
    </row>
    <row r="116" spans="1:153" ht="14.25" customHeight="1" x14ac:dyDescent="0.35">
      <c r="A116" s="1" t="s">
        <v>349</v>
      </c>
      <c r="B116" s="2">
        <f t="shared" si="5"/>
        <v>161.32766047800001</v>
      </c>
      <c r="C116" s="2">
        <f t="shared" si="6"/>
        <v>90.999997999999991</v>
      </c>
      <c r="D116" s="2">
        <f t="shared" si="7"/>
        <v>2.0518662459999999</v>
      </c>
      <c r="E116" s="2">
        <f t="shared" si="8"/>
        <v>30.605438927999998</v>
      </c>
      <c r="F116" s="2">
        <f t="shared" si="9"/>
        <v>4.9716532930000001</v>
      </c>
      <c r="G116" s="1" t="s">
        <v>40</v>
      </c>
      <c r="H116" s="1" t="s">
        <v>41</v>
      </c>
      <c r="I116" s="1">
        <v>26.554099999999998</v>
      </c>
      <c r="J116" s="1">
        <v>6.6385249999999996</v>
      </c>
      <c r="K116" s="1">
        <v>7.9662300000000005E-2</v>
      </c>
      <c r="L116" s="1">
        <v>1.3277049999999999</v>
      </c>
      <c r="M116" s="1">
        <v>0.4779738</v>
      </c>
      <c r="N116" s="1" t="s">
        <v>334</v>
      </c>
      <c r="O116" s="1" t="s">
        <v>335</v>
      </c>
      <c r="P116" s="1">
        <v>4.5391620000000001</v>
      </c>
      <c r="Q116" s="1">
        <v>0.49930782000000001</v>
      </c>
      <c r="R116" s="1">
        <v>9.0783240000000005E-3</v>
      </c>
      <c r="S116" s="1">
        <v>0.104400726</v>
      </c>
      <c r="T116" s="1">
        <v>1.3617486E-2</v>
      </c>
      <c r="U116" s="1" t="s">
        <v>243</v>
      </c>
      <c r="V116" s="1" t="s">
        <v>244</v>
      </c>
      <c r="W116" s="1">
        <v>9.0783240000000003</v>
      </c>
      <c r="X116" s="1">
        <v>13.826287452000001</v>
      </c>
      <c r="Y116" s="1">
        <v>0.88059742799999996</v>
      </c>
      <c r="Z116" s="1">
        <v>1.3435919519999999</v>
      </c>
      <c r="AA116" s="1">
        <v>9.0783240000000001E-2</v>
      </c>
      <c r="AB116" s="1" t="s">
        <v>336</v>
      </c>
      <c r="AC116" s="1" t="s">
        <v>337</v>
      </c>
      <c r="AD116" s="1">
        <v>2.2695810000000001</v>
      </c>
      <c r="AE116" s="1">
        <v>3.9036793200000002</v>
      </c>
      <c r="AF116" s="1">
        <v>1.3617486E-2</v>
      </c>
      <c r="AG116" s="1">
        <v>0.93052820999999997</v>
      </c>
      <c r="AH116" s="1">
        <v>1.8156648000000001E-2</v>
      </c>
      <c r="AI116" s="1" t="s">
        <v>17</v>
      </c>
      <c r="AJ116" s="1" t="s">
        <v>18</v>
      </c>
      <c r="AK116" s="1">
        <v>3.2023000000000003E-2</v>
      </c>
      <c r="AL116" s="1">
        <v>0</v>
      </c>
      <c r="AM116" s="1">
        <v>0</v>
      </c>
      <c r="AN116" s="1">
        <v>0</v>
      </c>
      <c r="AO116" s="1">
        <v>0</v>
      </c>
      <c r="AP116" s="1" t="s">
        <v>249</v>
      </c>
      <c r="AQ116" s="1" t="s">
        <v>250</v>
      </c>
      <c r="AR116" s="1">
        <v>48.034309</v>
      </c>
      <c r="AS116" s="1">
        <v>132.09434974999999</v>
      </c>
      <c r="AT116" s="1">
        <v>0.57641170799999997</v>
      </c>
      <c r="AU116" s="1">
        <v>26.899213039999999</v>
      </c>
      <c r="AV116" s="1">
        <v>4.3711221189999998</v>
      </c>
      <c r="AW116" s="1" t="s">
        <v>176</v>
      </c>
      <c r="AX116" t="s">
        <v>557</v>
      </c>
      <c r="AY116" s="1">
        <v>0.49249900000000002</v>
      </c>
      <c r="AZ116" s="1">
        <v>4.3655111360000003</v>
      </c>
      <c r="BA116" s="1">
        <v>0.49249900000000002</v>
      </c>
      <c r="BB116" s="1">
        <v>0</v>
      </c>
      <c r="BC116" s="1">
        <v>0</v>
      </c>
    </row>
    <row r="117" spans="1:153" ht="14.25" customHeight="1" x14ac:dyDescent="0.35">
      <c r="A117" s="1" t="s">
        <v>408</v>
      </c>
      <c r="B117" s="2">
        <f t="shared" si="5"/>
        <v>199.655480133</v>
      </c>
      <c r="C117" s="2">
        <f t="shared" si="6"/>
        <v>179.99999700000001</v>
      </c>
      <c r="D117" s="2">
        <f t="shared" si="7"/>
        <v>11.362967902999999</v>
      </c>
      <c r="E117" s="2">
        <f t="shared" si="8"/>
        <v>16.637405353000002</v>
      </c>
      <c r="F117" s="2">
        <f t="shared" si="9"/>
        <v>7.8861635159999999</v>
      </c>
      <c r="G117" s="1" t="s">
        <v>204</v>
      </c>
      <c r="H117" s="1" t="s">
        <v>205</v>
      </c>
      <c r="I117" s="1">
        <v>110.533638</v>
      </c>
      <c r="J117" s="1">
        <v>22.659395790000001</v>
      </c>
      <c r="K117" s="1">
        <v>0.33160091400000002</v>
      </c>
      <c r="L117" s="1">
        <v>3.758143692</v>
      </c>
      <c r="M117" s="1">
        <v>0.99480274199999996</v>
      </c>
      <c r="N117" s="1" t="s">
        <v>13</v>
      </c>
      <c r="O117" s="1" t="s">
        <v>14</v>
      </c>
      <c r="P117" s="1">
        <v>6.6907649999999999</v>
      </c>
      <c r="Q117" s="1">
        <v>59.146362600000003</v>
      </c>
      <c r="R117" s="1">
        <v>6.6907649999999999</v>
      </c>
      <c r="S117" s="1">
        <v>0</v>
      </c>
      <c r="T117" s="1">
        <v>0</v>
      </c>
      <c r="U117" s="1" t="s">
        <v>57</v>
      </c>
      <c r="V117" s="1" t="s">
        <v>58</v>
      </c>
      <c r="W117" s="1">
        <v>18.473037999999999</v>
      </c>
      <c r="X117" s="1">
        <v>51.281153488000001</v>
      </c>
      <c r="Y117" s="1">
        <v>3.1588894980000002</v>
      </c>
      <c r="Z117" s="1">
        <v>0.59113721600000002</v>
      </c>
      <c r="AA117" s="1">
        <v>5.1724506400000001</v>
      </c>
      <c r="AB117" s="1" t="s">
        <v>17</v>
      </c>
      <c r="AC117" s="1" t="s">
        <v>18</v>
      </c>
      <c r="AD117" s="1">
        <v>1.2184E-2</v>
      </c>
      <c r="AE117" s="1">
        <v>0</v>
      </c>
      <c r="AF117" s="1">
        <v>0</v>
      </c>
      <c r="AG117" s="1">
        <v>0</v>
      </c>
      <c r="AH117" s="1">
        <v>0</v>
      </c>
      <c r="AI117" s="1" t="s">
        <v>409</v>
      </c>
      <c r="AJ117" s="1" t="s">
        <v>410</v>
      </c>
      <c r="AK117" s="1">
        <v>1.38167</v>
      </c>
      <c r="AL117" s="1">
        <v>3.8963093999999998</v>
      </c>
      <c r="AM117" s="1">
        <v>5.52668E-3</v>
      </c>
      <c r="AN117" s="1">
        <v>1.0362525</v>
      </c>
      <c r="AO117" s="1">
        <v>3.4541750000000003E-2</v>
      </c>
      <c r="AP117" s="1" t="s">
        <v>63</v>
      </c>
      <c r="AQ117" s="1" t="s">
        <v>64</v>
      </c>
      <c r="AR117" s="1">
        <v>4.6182590000000001</v>
      </c>
      <c r="AS117" s="1">
        <v>1.1083821599999999</v>
      </c>
      <c r="AT117" s="1">
        <v>0</v>
      </c>
      <c r="AU117" s="1">
        <v>9.2365180000000005E-2</v>
      </c>
      <c r="AV117" s="1">
        <v>0.18473036000000001</v>
      </c>
      <c r="AW117" s="1" t="s">
        <v>65</v>
      </c>
      <c r="AX117" t="s">
        <v>553</v>
      </c>
      <c r="AY117" s="1">
        <v>24.435665</v>
      </c>
      <c r="AZ117" s="1">
        <v>57.545991075000003</v>
      </c>
      <c r="BA117" s="1">
        <v>1.1484762550000001</v>
      </c>
      <c r="BB117" s="1">
        <v>10.189672305</v>
      </c>
      <c r="BC117" s="1">
        <v>1.3195259100000001</v>
      </c>
      <c r="BD117" s="1" t="s">
        <v>66</v>
      </c>
      <c r="BE117" t="s">
        <v>555</v>
      </c>
      <c r="BF117" s="1">
        <v>13.854778</v>
      </c>
      <c r="BG117" s="1">
        <v>4.0178856200000004</v>
      </c>
      <c r="BH117" s="1">
        <v>2.7709556E-2</v>
      </c>
      <c r="BI117" s="1">
        <v>0.96983445999999995</v>
      </c>
      <c r="BJ117" s="1">
        <v>0.18011211399999999</v>
      </c>
    </row>
    <row r="118" spans="1:153" ht="14.25" customHeight="1" x14ac:dyDescent="0.35">
      <c r="A118" s="1" t="s">
        <v>294</v>
      </c>
      <c r="B118" s="2">
        <f t="shared" si="5"/>
        <v>154.77882190299999</v>
      </c>
      <c r="C118" s="2">
        <f t="shared" si="6"/>
        <v>65.999999000000003</v>
      </c>
      <c r="D118" s="2">
        <f t="shared" si="7"/>
        <v>8.9533343090000006</v>
      </c>
      <c r="E118" s="2">
        <f t="shared" si="8"/>
        <v>11.843009160999999</v>
      </c>
      <c r="F118" s="2">
        <f t="shared" si="9"/>
        <v>6.856819024</v>
      </c>
      <c r="G118" s="1" t="s">
        <v>13</v>
      </c>
      <c r="H118" s="1" t="s">
        <v>14</v>
      </c>
      <c r="I118" s="1">
        <v>4.6182590000000001</v>
      </c>
      <c r="J118" s="1">
        <v>40.825409559999997</v>
      </c>
      <c r="K118" s="1">
        <v>4.6182590000000001</v>
      </c>
      <c r="L118" s="1">
        <v>0</v>
      </c>
      <c r="M118" s="1">
        <v>0</v>
      </c>
      <c r="N118" s="1" t="s">
        <v>57</v>
      </c>
      <c r="O118" s="1" t="s">
        <v>58</v>
      </c>
      <c r="P118" s="1">
        <v>18.473037999999999</v>
      </c>
      <c r="Q118" s="1">
        <v>51.281153488000001</v>
      </c>
      <c r="R118" s="1">
        <v>3.1588894980000002</v>
      </c>
      <c r="S118" s="1">
        <v>0.59113721600000002</v>
      </c>
      <c r="T118" s="1">
        <v>5.1724506400000001</v>
      </c>
      <c r="U118" s="1" t="s">
        <v>63</v>
      </c>
      <c r="V118" s="1" t="s">
        <v>64</v>
      </c>
      <c r="W118" s="1">
        <v>4.6182590000000001</v>
      </c>
      <c r="X118" s="1">
        <v>1.1083821599999999</v>
      </c>
      <c r="Y118" s="1">
        <v>0</v>
      </c>
      <c r="Z118" s="1">
        <v>9.2365180000000005E-2</v>
      </c>
      <c r="AA118" s="1">
        <v>0.18473036000000001</v>
      </c>
      <c r="AB118" s="1" t="s">
        <v>65</v>
      </c>
      <c r="AC118" t="s">
        <v>553</v>
      </c>
      <c r="AD118" s="1">
        <v>24.435665</v>
      </c>
      <c r="AE118" s="1">
        <v>57.545991075000003</v>
      </c>
      <c r="AF118" s="1">
        <v>1.1484762550000001</v>
      </c>
      <c r="AG118" s="1">
        <v>10.189672305</v>
      </c>
      <c r="AH118" s="1">
        <v>1.3195259100000001</v>
      </c>
      <c r="AI118" s="1" t="s">
        <v>66</v>
      </c>
      <c r="AJ118" t="s">
        <v>555</v>
      </c>
      <c r="AK118" s="1">
        <v>13.854778</v>
      </c>
      <c r="AL118" s="1">
        <v>4.0178856200000004</v>
      </c>
      <c r="AM118" s="1">
        <v>2.7709556E-2</v>
      </c>
      <c r="AN118" s="1">
        <v>0.96983445999999995</v>
      </c>
      <c r="AO118" s="1">
        <v>0.18011211399999999</v>
      </c>
    </row>
    <row r="119" spans="1:153" ht="14.25" customHeight="1" x14ac:dyDescent="0.35">
      <c r="A119" s="1" t="s">
        <v>538</v>
      </c>
      <c r="B119" s="2">
        <f t="shared" si="5"/>
        <v>47.632243365000001</v>
      </c>
      <c r="C119" s="2">
        <f t="shared" si="6"/>
        <v>121</v>
      </c>
      <c r="D119" s="2">
        <f t="shared" si="7"/>
        <v>2.5575934190000003</v>
      </c>
      <c r="E119" s="2">
        <f t="shared" si="8"/>
        <v>5.0887894620000003</v>
      </c>
      <c r="F119" s="2">
        <f t="shared" si="9"/>
        <v>1.0925498870000001</v>
      </c>
      <c r="G119" s="1" t="s">
        <v>204</v>
      </c>
      <c r="H119" s="1" t="s">
        <v>205</v>
      </c>
      <c r="I119" s="1">
        <v>117.32079299999999</v>
      </c>
      <c r="J119" s="1">
        <v>24.050762564999999</v>
      </c>
      <c r="K119" s="1">
        <v>0.35196237899999999</v>
      </c>
      <c r="L119" s="1">
        <v>3.9889069620000002</v>
      </c>
      <c r="M119" s="1">
        <v>1.055887137</v>
      </c>
      <c r="N119" s="1" t="s">
        <v>13</v>
      </c>
      <c r="O119" s="1" t="s">
        <v>14</v>
      </c>
      <c r="P119" s="1">
        <v>2.1997650000000002</v>
      </c>
      <c r="Q119" s="1">
        <v>19.445922599999999</v>
      </c>
      <c r="R119" s="1">
        <v>2.1997650000000002</v>
      </c>
      <c r="S119" s="1">
        <v>0</v>
      </c>
      <c r="T119" s="1">
        <v>0</v>
      </c>
      <c r="U119" s="1" t="s">
        <v>17</v>
      </c>
      <c r="V119" s="1" t="s">
        <v>18</v>
      </c>
      <c r="W119" s="1">
        <v>1.2932000000000001E-2</v>
      </c>
      <c r="X119" s="1">
        <v>0</v>
      </c>
      <c r="Y119" s="1">
        <v>0</v>
      </c>
      <c r="Z119" s="1">
        <v>0</v>
      </c>
      <c r="AA119" s="1">
        <v>0</v>
      </c>
      <c r="AB119" s="1" t="s">
        <v>409</v>
      </c>
      <c r="AC119" s="1" t="s">
        <v>410</v>
      </c>
      <c r="AD119" s="1">
        <v>1.46651</v>
      </c>
      <c r="AE119" s="1">
        <v>4.1355582000000002</v>
      </c>
      <c r="AF119" s="1">
        <v>5.8660400000000003E-3</v>
      </c>
      <c r="AG119" s="1">
        <v>1.0998825000000001</v>
      </c>
      <c r="AH119" s="1">
        <v>3.6662750000000001E-2</v>
      </c>
    </row>
    <row r="120" spans="1:153" ht="14.25" customHeight="1" x14ac:dyDescent="0.35">
      <c r="A120" s="1" t="s">
        <v>537</v>
      </c>
      <c r="B120" s="2">
        <f t="shared" si="5"/>
        <v>394.12169133100002</v>
      </c>
      <c r="C120" s="2">
        <f t="shared" si="6"/>
        <v>317.99999800000001</v>
      </c>
      <c r="D120" s="2">
        <f t="shared" si="7"/>
        <v>6.9967242550000002</v>
      </c>
      <c r="E120" s="2">
        <f t="shared" si="8"/>
        <v>70.755986350000001</v>
      </c>
      <c r="F120" s="2">
        <f t="shared" si="9"/>
        <v>11.764151493</v>
      </c>
      <c r="G120" s="1" t="s">
        <v>40</v>
      </c>
      <c r="H120" s="1" t="s">
        <v>41</v>
      </c>
      <c r="I120" s="1">
        <v>56.901642000000002</v>
      </c>
      <c r="J120" s="1">
        <v>14.225410500000001</v>
      </c>
      <c r="K120" s="1">
        <v>0.17070492600000001</v>
      </c>
      <c r="L120" s="1">
        <v>2.8450820999999999</v>
      </c>
      <c r="M120" s="1">
        <v>1.0242295560000001</v>
      </c>
      <c r="N120" s="1" t="s">
        <v>204</v>
      </c>
      <c r="O120" s="1" t="s">
        <v>205</v>
      </c>
      <c r="P120" s="1">
        <v>119.259979</v>
      </c>
      <c r="Q120" s="1">
        <v>24.448295694999999</v>
      </c>
      <c r="R120" s="1">
        <v>0.35777993699999999</v>
      </c>
      <c r="S120" s="1">
        <v>4.054839286</v>
      </c>
      <c r="T120" s="1">
        <v>1.0733398110000001</v>
      </c>
      <c r="U120" s="1" t="s">
        <v>334</v>
      </c>
      <c r="V120" s="1" t="s">
        <v>335</v>
      </c>
      <c r="W120" s="1">
        <v>9.7267759999999992</v>
      </c>
      <c r="X120" s="1">
        <v>1.06994536</v>
      </c>
      <c r="Y120" s="1">
        <v>1.9453551999999999E-2</v>
      </c>
      <c r="Z120" s="1">
        <v>0.22371584799999999</v>
      </c>
      <c r="AA120" s="1">
        <v>2.9180327999999998E-2</v>
      </c>
      <c r="AB120" s="1" t="s">
        <v>243</v>
      </c>
      <c r="AC120" s="1" t="s">
        <v>244</v>
      </c>
      <c r="AD120" s="1">
        <v>19.453551999999998</v>
      </c>
      <c r="AE120" s="1">
        <v>29.627759695999998</v>
      </c>
      <c r="AF120" s="1">
        <v>1.886994544</v>
      </c>
      <c r="AG120" s="1">
        <v>2.879125696</v>
      </c>
      <c r="AH120" s="1">
        <v>0.19453551999999999</v>
      </c>
      <c r="AI120" s="1" t="s">
        <v>336</v>
      </c>
      <c r="AJ120" s="1" t="s">
        <v>337</v>
      </c>
      <c r="AK120" s="1">
        <v>4.8633879999999996</v>
      </c>
      <c r="AL120" s="1">
        <v>8.3650273599999991</v>
      </c>
      <c r="AM120" s="1">
        <v>2.9180327999999998E-2</v>
      </c>
      <c r="AN120" s="1">
        <v>1.99398908</v>
      </c>
      <c r="AO120" s="1">
        <v>3.8907103999999998E-2</v>
      </c>
      <c r="AP120" s="1" t="s">
        <v>13</v>
      </c>
      <c r="AQ120" s="1" t="s">
        <v>14</v>
      </c>
      <c r="AR120" s="1">
        <v>2.2361249999999999</v>
      </c>
      <c r="AS120" s="1">
        <v>19.767344999999999</v>
      </c>
      <c r="AT120" s="1">
        <v>2.2361249999999999</v>
      </c>
      <c r="AU120" s="1">
        <v>0</v>
      </c>
      <c r="AV120" s="1">
        <v>0</v>
      </c>
      <c r="AW120" s="1" t="s">
        <v>17</v>
      </c>
      <c r="AX120" s="1" t="s">
        <v>18</v>
      </c>
      <c r="AY120" s="1">
        <v>8.1767000000000006E-2</v>
      </c>
      <c r="AZ120" s="1">
        <v>0</v>
      </c>
      <c r="BA120" s="1">
        <v>0</v>
      </c>
      <c r="BB120" s="1">
        <v>0</v>
      </c>
      <c r="BC120" s="1">
        <v>0</v>
      </c>
      <c r="BD120" s="1" t="s">
        <v>409</v>
      </c>
      <c r="BE120" s="1" t="s">
        <v>410</v>
      </c>
      <c r="BF120" s="1">
        <v>1.49075</v>
      </c>
      <c r="BG120" s="1">
        <v>4.2039150000000003</v>
      </c>
      <c r="BH120" s="1">
        <v>5.9630000000000004E-3</v>
      </c>
      <c r="BI120" s="1">
        <v>1.1180625</v>
      </c>
      <c r="BJ120" s="1">
        <v>3.7268750000000003E-2</v>
      </c>
      <c r="BK120" s="1" t="s">
        <v>249</v>
      </c>
      <c r="BL120" s="1" t="s">
        <v>250</v>
      </c>
      <c r="BM120" s="1">
        <v>102.93066399999999</v>
      </c>
      <c r="BN120" s="1">
        <v>283.059326</v>
      </c>
      <c r="BO120" s="1">
        <v>1.2351679680000001</v>
      </c>
      <c r="BP120" s="1">
        <v>57.641171839999998</v>
      </c>
      <c r="BQ120" s="1">
        <v>9.3666904239999997</v>
      </c>
      <c r="BR120" s="1" t="s">
        <v>176</v>
      </c>
      <c r="BS120" t="s">
        <v>557</v>
      </c>
      <c r="BT120" s="1">
        <v>1.055355</v>
      </c>
      <c r="BU120" s="1">
        <v>9.3546667200000009</v>
      </c>
      <c r="BV120" s="1">
        <v>1.055355</v>
      </c>
      <c r="BW120" s="1">
        <v>0</v>
      </c>
      <c r="BX120" s="1">
        <v>0</v>
      </c>
    </row>
    <row r="121" spans="1:153" ht="14.25" customHeight="1" x14ac:dyDescent="0.35">
      <c r="A121" s="1" t="s">
        <v>484</v>
      </c>
      <c r="B121" s="2">
        <f t="shared" si="5"/>
        <v>48.419555695</v>
      </c>
      <c r="C121" s="2">
        <f t="shared" si="6"/>
        <v>123.00000000000001</v>
      </c>
      <c r="D121" s="2">
        <f t="shared" si="7"/>
        <v>2.599867937</v>
      </c>
      <c r="E121" s="2">
        <f t="shared" si="8"/>
        <v>5.1729017859999997</v>
      </c>
      <c r="F121" s="2">
        <f t="shared" si="9"/>
        <v>1.110608561</v>
      </c>
      <c r="G121" s="1" t="s">
        <v>204</v>
      </c>
      <c r="H121" s="1" t="s">
        <v>205</v>
      </c>
      <c r="I121" s="1">
        <v>119.259979</v>
      </c>
      <c r="J121" s="1">
        <v>24.448295694999999</v>
      </c>
      <c r="K121" s="1">
        <v>0.35777993699999999</v>
      </c>
      <c r="L121" s="1">
        <v>4.054839286</v>
      </c>
      <c r="M121" s="1">
        <v>1.0733398110000001</v>
      </c>
      <c r="N121" s="1" t="s">
        <v>13</v>
      </c>
      <c r="O121" s="1" t="s">
        <v>14</v>
      </c>
      <c r="P121" s="1">
        <v>2.2361249999999999</v>
      </c>
      <c r="Q121" s="1">
        <v>19.767344999999999</v>
      </c>
      <c r="R121" s="1">
        <v>2.2361249999999999</v>
      </c>
      <c r="S121" s="1">
        <v>0</v>
      </c>
      <c r="T121" s="1">
        <v>0</v>
      </c>
      <c r="U121" s="1" t="s">
        <v>17</v>
      </c>
      <c r="V121" s="1" t="s">
        <v>18</v>
      </c>
      <c r="W121" s="1">
        <v>1.3146E-2</v>
      </c>
      <c r="X121" s="1">
        <v>0</v>
      </c>
      <c r="Y121" s="1">
        <v>0</v>
      </c>
      <c r="Z121" s="1">
        <v>0</v>
      </c>
      <c r="AA121" s="1">
        <v>0</v>
      </c>
      <c r="AB121" s="1" t="s">
        <v>409</v>
      </c>
      <c r="AC121" s="1" t="s">
        <v>410</v>
      </c>
      <c r="AD121" s="1">
        <v>1.49075</v>
      </c>
      <c r="AE121" s="1">
        <v>4.2039150000000003</v>
      </c>
      <c r="AF121" s="1">
        <v>5.9630000000000004E-3</v>
      </c>
      <c r="AG121" s="1">
        <v>1.1180625</v>
      </c>
      <c r="AH121" s="1">
        <v>3.7268750000000003E-2</v>
      </c>
    </row>
    <row r="122" spans="1:153" ht="14.25" customHeight="1" x14ac:dyDescent="0.35">
      <c r="A122" s="1" t="s">
        <v>471</v>
      </c>
      <c r="B122" s="2">
        <f t="shared" si="5"/>
        <v>228.96021116200001</v>
      </c>
      <c r="C122" s="2">
        <f t="shared" si="6"/>
        <v>101.000001</v>
      </c>
      <c r="D122" s="2">
        <f t="shared" si="7"/>
        <v>18.499475883999999</v>
      </c>
      <c r="E122" s="2">
        <f t="shared" si="8"/>
        <v>12.147620392</v>
      </c>
      <c r="F122" s="2">
        <f t="shared" si="9"/>
        <v>5.6733695629999996</v>
      </c>
      <c r="G122" s="1" t="s">
        <v>472</v>
      </c>
      <c r="H122" s="1" t="s">
        <v>473</v>
      </c>
      <c r="I122" s="1">
        <v>34.629097000000002</v>
      </c>
      <c r="J122" s="1">
        <v>39.823461549999998</v>
      </c>
      <c r="K122" s="1">
        <v>3.7053133790000001</v>
      </c>
      <c r="L122" s="1">
        <v>2.181633111</v>
      </c>
      <c r="M122" s="1">
        <v>0.27703277599999998</v>
      </c>
      <c r="N122" s="1" t="s">
        <v>110</v>
      </c>
      <c r="O122" s="1" t="s">
        <v>111</v>
      </c>
      <c r="P122" s="1">
        <v>14.841042</v>
      </c>
      <c r="Q122" s="1">
        <v>5.9364167999999999</v>
      </c>
      <c r="R122" s="1">
        <v>2.9682084000000001E-2</v>
      </c>
      <c r="S122" s="1">
        <v>1.3356937799999999</v>
      </c>
      <c r="T122" s="1">
        <v>0.29682083999999997</v>
      </c>
      <c r="U122" s="1" t="s">
        <v>341</v>
      </c>
      <c r="V122" s="1" t="s">
        <v>342</v>
      </c>
      <c r="W122" s="1">
        <v>7.4205209999999999</v>
      </c>
      <c r="X122" s="1">
        <v>42.898031901000003</v>
      </c>
      <c r="Y122" s="1">
        <v>3.6731578950000001</v>
      </c>
      <c r="Z122" s="1">
        <v>1.6844582669999999</v>
      </c>
      <c r="AA122" s="1">
        <v>1.6621967040000001</v>
      </c>
      <c r="AB122" s="1" t="s">
        <v>11</v>
      </c>
      <c r="AC122" s="1" t="s">
        <v>12</v>
      </c>
      <c r="AD122" s="1">
        <v>13.611072999999999</v>
      </c>
      <c r="AE122" s="1">
        <v>38.886835560999998</v>
      </c>
      <c r="AF122" s="1">
        <v>1.252218716</v>
      </c>
      <c r="AG122" s="1">
        <v>6.6694257700000001</v>
      </c>
      <c r="AH122" s="1">
        <v>0.55805399300000003</v>
      </c>
      <c r="AI122" s="1" t="s">
        <v>13</v>
      </c>
      <c r="AJ122" s="1" t="s">
        <v>14</v>
      </c>
      <c r="AK122" s="1">
        <v>7.4205209999999999</v>
      </c>
      <c r="AL122" s="1">
        <v>65.597405640000005</v>
      </c>
      <c r="AM122" s="1">
        <v>7.4205209999999999</v>
      </c>
      <c r="AN122" s="1">
        <v>0</v>
      </c>
      <c r="AO122" s="1">
        <v>0</v>
      </c>
      <c r="AP122" s="1" t="s">
        <v>154</v>
      </c>
      <c r="AQ122" s="1" t="s">
        <v>155</v>
      </c>
      <c r="AR122" s="1">
        <v>23.034122</v>
      </c>
      <c r="AS122" s="1">
        <v>35.81805971</v>
      </c>
      <c r="AT122" s="1">
        <v>2.4185828100000002</v>
      </c>
      <c r="AU122" s="1">
        <v>0.27640946399999999</v>
      </c>
      <c r="AV122" s="1">
        <v>2.87926525</v>
      </c>
      <c r="AW122" s="1" t="s">
        <v>17</v>
      </c>
      <c r="AX122" s="1" t="s">
        <v>18</v>
      </c>
      <c r="AY122" s="1">
        <v>4.3624999999999997E-2</v>
      </c>
      <c r="AZ122" s="1">
        <v>0</v>
      </c>
      <c r="BA122" s="1">
        <v>0</v>
      </c>
      <c r="BB122" s="1">
        <v>0</v>
      </c>
      <c r="BC122" s="1">
        <v>0</v>
      </c>
    </row>
    <row r="123" spans="1:153" ht="14.25" customHeight="1" x14ac:dyDescent="0.35">
      <c r="A123" s="1" t="s">
        <v>523</v>
      </c>
      <c r="B123" s="2">
        <f t="shared" si="5"/>
        <v>304.75227865099998</v>
      </c>
      <c r="C123" s="2">
        <f t="shared" si="6"/>
        <v>327.00001100000003</v>
      </c>
      <c r="D123" s="2">
        <f t="shared" si="7"/>
        <v>16.552758318999999</v>
      </c>
      <c r="E123" s="3">
        <f t="shared" si="8"/>
        <v>25.611313083999999</v>
      </c>
      <c r="F123" s="3">
        <f t="shared" si="9"/>
        <v>18.499389395000001</v>
      </c>
      <c r="G123" s="1" t="s">
        <v>47</v>
      </c>
      <c r="H123" s="1" t="s">
        <v>48</v>
      </c>
      <c r="I123" s="1">
        <v>14.352157</v>
      </c>
      <c r="J123" s="1">
        <v>5.0232549500000001</v>
      </c>
      <c r="K123" s="1">
        <v>5.7408628000000003E-2</v>
      </c>
      <c r="L123" s="1">
        <v>1.00465099</v>
      </c>
      <c r="M123" s="1">
        <v>0.34445176799999999</v>
      </c>
      <c r="N123" s="1" t="s">
        <v>141</v>
      </c>
      <c r="O123" s="1" t="s">
        <v>142</v>
      </c>
      <c r="P123" s="1">
        <v>7.5833659999999998</v>
      </c>
      <c r="Q123" s="1">
        <v>3.1091800599999999</v>
      </c>
      <c r="R123" s="1">
        <v>1.5166732E-2</v>
      </c>
      <c r="S123" s="1">
        <v>0.75833660000000003</v>
      </c>
      <c r="T123" s="1">
        <v>6.8250294000000003E-2</v>
      </c>
      <c r="U123" s="1" t="s">
        <v>75</v>
      </c>
      <c r="V123" s="1" t="s">
        <v>76</v>
      </c>
      <c r="W123" s="1">
        <v>18.200078999999999</v>
      </c>
      <c r="X123" s="1">
        <v>16.380071099999999</v>
      </c>
      <c r="Y123" s="1">
        <v>2.3660102699999999</v>
      </c>
      <c r="Z123" s="1">
        <v>0</v>
      </c>
      <c r="AA123" s="1">
        <v>3.3488145359999999</v>
      </c>
      <c r="AB123" s="1" t="s">
        <v>95</v>
      </c>
      <c r="AC123" s="1" t="s">
        <v>96</v>
      </c>
      <c r="AD123" s="1">
        <v>0.60666900000000001</v>
      </c>
      <c r="AE123" s="1">
        <v>0.24266760000000001</v>
      </c>
      <c r="AF123" s="1">
        <v>6.06669E-4</v>
      </c>
      <c r="AG123" s="1">
        <v>5.4600210000000003E-2</v>
      </c>
      <c r="AH123" s="1">
        <v>6.6733590000000002E-3</v>
      </c>
      <c r="AI123" s="1" t="s">
        <v>262</v>
      </c>
      <c r="AJ123" s="1" t="s">
        <v>263</v>
      </c>
      <c r="AK123" s="1">
        <v>3.0333459999999999</v>
      </c>
      <c r="AL123" s="1">
        <v>1.8503410600000001</v>
      </c>
      <c r="AM123" s="1">
        <v>9.1000379999999995E-3</v>
      </c>
      <c r="AN123" s="1">
        <v>0.42466843999999998</v>
      </c>
      <c r="AO123" s="1">
        <v>4.5500190000000003E-2</v>
      </c>
      <c r="AP123" s="1" t="s">
        <v>77</v>
      </c>
      <c r="AQ123" s="1" t="s">
        <v>78</v>
      </c>
      <c r="AR123" s="1">
        <v>0.347744</v>
      </c>
      <c r="AS123" s="1">
        <v>0.51813856000000003</v>
      </c>
      <c r="AT123" s="1">
        <v>1.73872E-3</v>
      </c>
      <c r="AU123" s="1">
        <v>0.11475552</v>
      </c>
      <c r="AV123" s="1">
        <v>2.2255615999999999E-2</v>
      </c>
      <c r="AW123" s="1" t="s">
        <v>318</v>
      </c>
      <c r="AX123" s="1" t="s">
        <v>319</v>
      </c>
      <c r="AY123" s="1">
        <v>0.91000400000000004</v>
      </c>
      <c r="AZ123" s="1">
        <v>0.19110083999999999</v>
      </c>
      <c r="BA123" s="1">
        <v>4.5500200000000001E-3</v>
      </c>
      <c r="BB123" s="1">
        <v>2.9120127999999999E-2</v>
      </c>
      <c r="BC123" s="1">
        <v>1.1830052000000001E-2</v>
      </c>
      <c r="BD123" s="1" t="s">
        <v>13</v>
      </c>
      <c r="BE123" s="1" t="s">
        <v>14</v>
      </c>
      <c r="BF123" s="1">
        <v>5.1672570000000002</v>
      </c>
      <c r="BG123" s="1">
        <v>45.678551880000001</v>
      </c>
      <c r="BH123" s="1">
        <v>5.1672570000000002</v>
      </c>
      <c r="BI123" s="1">
        <v>0</v>
      </c>
      <c r="BJ123" s="1">
        <v>0</v>
      </c>
      <c r="BK123" s="1" t="s">
        <v>162</v>
      </c>
      <c r="BL123" s="1" t="s">
        <v>163</v>
      </c>
      <c r="BM123" s="1">
        <v>0.19775699999999999</v>
      </c>
      <c r="BN123" s="1">
        <v>0.78114015000000003</v>
      </c>
      <c r="BO123" s="1">
        <v>1.0085607E-2</v>
      </c>
      <c r="BP123" s="1">
        <v>0.14100074100000001</v>
      </c>
      <c r="BQ123" s="1">
        <v>2.6103924000000001E-2</v>
      </c>
      <c r="BR123" s="1" t="s">
        <v>57</v>
      </c>
      <c r="BS123" s="1" t="s">
        <v>58</v>
      </c>
      <c r="BT123" s="1">
        <v>19.592614999999999</v>
      </c>
      <c r="BU123" s="1">
        <v>54.38909924</v>
      </c>
      <c r="BV123" s="1">
        <v>3.350337165</v>
      </c>
      <c r="BW123" s="1">
        <v>0.62696368000000002</v>
      </c>
      <c r="BX123" s="1">
        <v>5.4859321999999997</v>
      </c>
      <c r="BY123" s="1" t="s">
        <v>17</v>
      </c>
      <c r="BZ123" s="1" t="s">
        <v>18</v>
      </c>
      <c r="CA123" s="1">
        <v>0.51725100000000002</v>
      </c>
      <c r="CB123" s="1">
        <v>0</v>
      </c>
      <c r="CC123" s="1">
        <v>0</v>
      </c>
      <c r="CD123" s="1">
        <v>0</v>
      </c>
      <c r="CE123" s="1">
        <v>0</v>
      </c>
      <c r="CF123" s="1" t="s">
        <v>61</v>
      </c>
      <c r="CG123" s="1" t="s">
        <v>62</v>
      </c>
      <c r="CH123" s="1">
        <v>5.6875000000000002E-2</v>
      </c>
      <c r="CI123" s="1">
        <v>0.40779375000000001</v>
      </c>
      <c r="CJ123" s="1">
        <v>4.6068749999999999E-2</v>
      </c>
      <c r="CK123" s="4">
        <v>5.6875E-5</v>
      </c>
      <c r="CL123" s="1">
        <v>4.55E-4</v>
      </c>
      <c r="CM123" s="1" t="s">
        <v>42</v>
      </c>
      <c r="CN123" s="1" t="s">
        <v>43</v>
      </c>
      <c r="CO123" s="1">
        <v>0.17940200000000001</v>
      </c>
      <c r="CP123" s="1">
        <v>5.2026580000000003E-2</v>
      </c>
      <c r="CQ123" s="1">
        <v>7.17608E-4</v>
      </c>
      <c r="CR123" s="1">
        <v>1.166113E-2</v>
      </c>
      <c r="CS123" s="1">
        <v>1.614618E-3</v>
      </c>
      <c r="CT123" s="1" t="s">
        <v>253</v>
      </c>
      <c r="CU123" s="1" t="s">
        <v>254</v>
      </c>
      <c r="CV123" s="1">
        <v>209.716476</v>
      </c>
      <c r="CW123" s="1">
        <v>106.95540276</v>
      </c>
      <c r="CX123" s="1">
        <v>3.984613044</v>
      </c>
      <c r="CY123" s="1">
        <v>10.4858238</v>
      </c>
      <c r="CZ123" s="1">
        <v>7.3400766600000003</v>
      </c>
      <c r="DA123" s="1" t="s">
        <v>87</v>
      </c>
      <c r="DB123" s="1" t="s">
        <v>88</v>
      </c>
      <c r="DC123" s="1">
        <v>1.0198E-2</v>
      </c>
      <c r="DD123" s="1">
        <v>1.7336599999999999E-3</v>
      </c>
      <c r="DE123" s="1">
        <v>0</v>
      </c>
      <c r="DF123" s="1">
        <v>5.7108799999999998E-4</v>
      </c>
      <c r="DG123" s="4">
        <v>4.0791999999999998E-5</v>
      </c>
      <c r="DH123" s="1" t="s">
        <v>63</v>
      </c>
      <c r="DI123" s="1" t="s">
        <v>64</v>
      </c>
      <c r="DJ123" s="1">
        <v>4.8981539999999999</v>
      </c>
      <c r="DK123" s="1">
        <v>1.17555696</v>
      </c>
      <c r="DL123" s="1">
        <v>0</v>
      </c>
      <c r="DM123" s="1">
        <v>9.7963079999999994E-2</v>
      </c>
      <c r="DN123" s="1">
        <v>0.19592615999999999</v>
      </c>
      <c r="DO123" s="1" t="s">
        <v>172</v>
      </c>
      <c r="DP123" s="1" t="s">
        <v>173</v>
      </c>
      <c r="DQ123" s="1">
        <v>0.16114700000000001</v>
      </c>
      <c r="DR123" s="1">
        <v>3.6741516000000002E-2</v>
      </c>
      <c r="DS123" s="1">
        <v>8.0573500000000002E-4</v>
      </c>
      <c r="DT123" s="1">
        <v>5.9624389999999999E-3</v>
      </c>
      <c r="DU123" s="1">
        <v>3.545234E-3</v>
      </c>
      <c r="DV123" s="1" t="s">
        <v>320</v>
      </c>
      <c r="DW123" s="1" t="s">
        <v>321</v>
      </c>
      <c r="DX123" s="1">
        <v>0.56875200000000004</v>
      </c>
      <c r="DY123" s="1">
        <v>9.6687839999999997E-2</v>
      </c>
      <c r="DZ123" s="1">
        <v>1.1375039999999999E-3</v>
      </c>
      <c r="EA123" s="1">
        <v>1.9337567999999999E-2</v>
      </c>
      <c r="EB123" s="1">
        <v>7.3937760000000003E-3</v>
      </c>
      <c r="EC123" s="1" t="s">
        <v>65</v>
      </c>
      <c r="ED123" t="s">
        <v>553</v>
      </c>
      <c r="EE123" s="1">
        <v>25.916615</v>
      </c>
      <c r="EF123" s="1">
        <v>61.033628325000002</v>
      </c>
      <c r="EG123" s="1">
        <v>1.2180809050000001</v>
      </c>
      <c r="EH123" s="1">
        <v>10.807228455000001</v>
      </c>
      <c r="EI123" s="1">
        <v>1.39949721</v>
      </c>
      <c r="EJ123" s="1" t="s">
        <v>66</v>
      </c>
      <c r="EK123" t="s">
        <v>555</v>
      </c>
      <c r="EL123" s="1">
        <v>14.694462</v>
      </c>
      <c r="EM123" s="1">
        <v>4.2613939800000002</v>
      </c>
      <c r="EN123" s="1">
        <v>2.9388924E-2</v>
      </c>
      <c r="EO123" s="1">
        <v>1.02861234</v>
      </c>
      <c r="EP123" s="1">
        <v>0.191028006</v>
      </c>
      <c r="EQ123" s="1" t="s">
        <v>176</v>
      </c>
      <c r="ER123" t="s">
        <v>557</v>
      </c>
      <c r="ES123" s="6">
        <v>0.28968500000000003</v>
      </c>
      <c r="ET123" s="6">
        <v>2.5677678400000001</v>
      </c>
      <c r="EU123" s="6">
        <v>0.28968500000000003</v>
      </c>
      <c r="EV123" s="6">
        <v>0</v>
      </c>
      <c r="EW123" s="6">
        <v>0</v>
      </c>
    </row>
    <row r="124" spans="1:153" ht="14.25" customHeight="1" x14ac:dyDescent="0.35">
      <c r="A124" s="1" t="s">
        <v>535</v>
      </c>
      <c r="B124" s="2">
        <f t="shared" si="5"/>
        <v>172.394652065</v>
      </c>
      <c r="C124" s="2">
        <f t="shared" si="6"/>
        <v>85.000001000000012</v>
      </c>
      <c r="D124" s="2">
        <f t="shared" si="7"/>
        <v>9.8332758370000004</v>
      </c>
      <c r="E124" s="2">
        <f t="shared" si="8"/>
        <v>13.718080416000001</v>
      </c>
      <c r="F124" s="2">
        <f t="shared" si="9"/>
        <v>7.6445538859999989</v>
      </c>
      <c r="G124" s="1" t="s">
        <v>47</v>
      </c>
      <c r="H124" s="1" t="s">
        <v>48</v>
      </c>
      <c r="I124" s="1">
        <v>14.352157</v>
      </c>
      <c r="J124" s="1">
        <v>5.0232549500000001</v>
      </c>
      <c r="K124" s="1">
        <v>5.7408628000000003E-2</v>
      </c>
      <c r="L124" s="1">
        <v>1.00465099</v>
      </c>
      <c r="M124" s="1">
        <v>0.34445176799999999</v>
      </c>
      <c r="N124" s="1" t="s">
        <v>13</v>
      </c>
      <c r="O124" s="1" t="s">
        <v>14</v>
      </c>
      <c r="P124" s="1">
        <v>5.1672570000000002</v>
      </c>
      <c r="Q124" s="1">
        <v>45.678551880000001</v>
      </c>
      <c r="R124" s="1">
        <v>5.1672570000000002</v>
      </c>
      <c r="S124" s="1">
        <v>0</v>
      </c>
      <c r="T124" s="1">
        <v>0</v>
      </c>
      <c r="U124" s="1" t="s">
        <v>162</v>
      </c>
      <c r="V124" s="1" t="s">
        <v>163</v>
      </c>
      <c r="W124" s="1">
        <v>0.19775699999999999</v>
      </c>
      <c r="X124" s="1">
        <v>0.78114015000000003</v>
      </c>
      <c r="Y124" s="1">
        <v>1.0085607E-2</v>
      </c>
      <c r="Z124" s="1">
        <v>0.14100074100000001</v>
      </c>
      <c r="AA124" s="1">
        <v>2.6103924000000001E-2</v>
      </c>
      <c r="AB124" s="1" t="s">
        <v>57</v>
      </c>
      <c r="AC124" s="1" t="s">
        <v>58</v>
      </c>
      <c r="AD124" s="1">
        <v>19.592614999999999</v>
      </c>
      <c r="AE124" s="1">
        <v>54.38909924</v>
      </c>
      <c r="AF124" s="1">
        <v>3.350337165</v>
      </c>
      <c r="AG124" s="1">
        <v>0.62696368000000002</v>
      </c>
      <c r="AH124" s="1">
        <v>5.4859321999999997</v>
      </c>
      <c r="AI124" s="1" t="s">
        <v>17</v>
      </c>
      <c r="AJ124" s="1" t="s">
        <v>18</v>
      </c>
      <c r="AK124" s="1">
        <v>1.5820000000000001E-3</v>
      </c>
      <c r="AL124" s="1">
        <v>0</v>
      </c>
      <c r="AM124" s="1">
        <v>0</v>
      </c>
      <c r="AN124" s="1">
        <v>0</v>
      </c>
      <c r="AO124" s="1">
        <v>0</v>
      </c>
      <c r="AP124" s="1" t="s">
        <v>42</v>
      </c>
      <c r="AQ124" s="1" t="s">
        <v>43</v>
      </c>
      <c r="AR124" s="1">
        <v>0.17940200000000001</v>
      </c>
      <c r="AS124" s="1">
        <v>5.2026580000000003E-2</v>
      </c>
      <c r="AT124" s="1">
        <v>7.17608E-4</v>
      </c>
      <c r="AU124" s="1">
        <v>1.166113E-2</v>
      </c>
      <c r="AV124" s="1">
        <v>1.614618E-3</v>
      </c>
      <c r="AW124" s="1" t="s">
        <v>63</v>
      </c>
      <c r="AX124" s="1" t="s">
        <v>64</v>
      </c>
      <c r="AY124" s="1">
        <v>4.8981539999999999</v>
      </c>
      <c r="AZ124" s="1">
        <v>1.17555696</v>
      </c>
      <c r="BA124" s="1">
        <v>0</v>
      </c>
      <c r="BB124" s="1">
        <v>9.7963079999999994E-2</v>
      </c>
      <c r="BC124" s="1">
        <v>0.19592615999999999</v>
      </c>
      <c r="BD124" s="1" t="s">
        <v>65</v>
      </c>
      <c r="BE124" t="s">
        <v>553</v>
      </c>
      <c r="BF124" s="1">
        <v>25.916615</v>
      </c>
      <c r="BG124" s="1">
        <v>61.033628325000002</v>
      </c>
      <c r="BH124" s="1">
        <v>1.2180809050000001</v>
      </c>
      <c r="BI124" s="1">
        <v>10.807228455000001</v>
      </c>
      <c r="BJ124" s="1">
        <v>1.39949721</v>
      </c>
      <c r="BK124" s="1" t="s">
        <v>66</v>
      </c>
      <c r="BL124" t="s">
        <v>555</v>
      </c>
      <c r="BM124" s="1">
        <v>14.694462</v>
      </c>
      <c r="BN124" s="1">
        <v>4.2613939800000002</v>
      </c>
      <c r="BO124" s="1">
        <v>2.9388924E-2</v>
      </c>
      <c r="BP124" s="1">
        <v>1.02861234</v>
      </c>
      <c r="BQ124" s="1">
        <v>0.191028006</v>
      </c>
    </row>
    <row r="125" spans="1:153" ht="14.25" customHeight="1" x14ac:dyDescent="0.35">
      <c r="A125" s="1" t="s">
        <v>549</v>
      </c>
      <c r="B125" s="2">
        <f t="shared" si="5"/>
        <v>8.2352922</v>
      </c>
      <c r="C125" s="2">
        <f t="shared" si="6"/>
        <v>15.000000999999999</v>
      </c>
      <c r="D125" s="2">
        <f t="shared" si="7"/>
        <v>0.33731484299999998</v>
      </c>
      <c r="E125" s="2">
        <f t="shared" si="8"/>
        <v>1.1573128610000001</v>
      </c>
      <c r="F125" s="2">
        <f t="shared" si="9"/>
        <v>0.37217031</v>
      </c>
      <c r="G125" s="1" t="s">
        <v>47</v>
      </c>
      <c r="H125" s="1" t="s">
        <v>48</v>
      </c>
      <c r="I125" s="1">
        <v>14.352157</v>
      </c>
      <c r="J125" s="1">
        <v>5.0232549500000001</v>
      </c>
      <c r="K125" s="1">
        <v>5.7408628000000003E-2</v>
      </c>
      <c r="L125" s="1">
        <v>1.00465099</v>
      </c>
      <c r="M125" s="1">
        <v>0.34445176799999999</v>
      </c>
      <c r="N125" s="1" t="s">
        <v>13</v>
      </c>
      <c r="O125" s="1" t="s">
        <v>14</v>
      </c>
      <c r="P125" s="1">
        <v>0.26910299999999998</v>
      </c>
      <c r="Q125" s="1">
        <v>2.37887052</v>
      </c>
      <c r="R125" s="1">
        <v>0.26910299999999998</v>
      </c>
      <c r="S125" s="1">
        <v>0</v>
      </c>
      <c r="T125" s="1">
        <v>0</v>
      </c>
      <c r="U125" s="1" t="s">
        <v>162</v>
      </c>
      <c r="V125" s="1" t="s">
        <v>163</v>
      </c>
      <c r="W125" s="1">
        <v>0.19775699999999999</v>
      </c>
      <c r="X125" s="1">
        <v>0.78114015000000003</v>
      </c>
      <c r="Y125" s="1">
        <v>1.0085607E-2</v>
      </c>
      <c r="Z125" s="1">
        <v>0.14100074100000001</v>
      </c>
      <c r="AA125" s="1">
        <v>2.6103924000000001E-2</v>
      </c>
      <c r="AB125" s="1" t="s">
        <v>17</v>
      </c>
      <c r="AC125" s="1" t="s">
        <v>18</v>
      </c>
      <c r="AD125" s="1">
        <v>1.5820000000000001E-3</v>
      </c>
      <c r="AE125" s="1">
        <v>0</v>
      </c>
      <c r="AF125" s="1">
        <v>0</v>
      </c>
      <c r="AG125" s="1">
        <v>0</v>
      </c>
      <c r="AH125" s="1">
        <v>0</v>
      </c>
      <c r="AI125" s="1" t="s">
        <v>42</v>
      </c>
      <c r="AJ125" s="1" t="s">
        <v>43</v>
      </c>
      <c r="AK125" s="1">
        <v>0.17940200000000001</v>
      </c>
      <c r="AL125" s="1">
        <v>5.2026580000000003E-2</v>
      </c>
      <c r="AM125" s="1">
        <v>7.17608E-4</v>
      </c>
      <c r="AN125" s="1">
        <v>1.166113E-2</v>
      </c>
      <c r="AO125" s="1">
        <v>1.614618E-3</v>
      </c>
    </row>
    <row r="126" spans="1:153" ht="14.25" customHeight="1" x14ac:dyDescent="0.35">
      <c r="A126" s="1" t="s">
        <v>317</v>
      </c>
      <c r="B126" s="2">
        <f t="shared" si="5"/>
        <v>62.350282627999995</v>
      </c>
      <c r="C126" s="2">
        <f t="shared" si="6"/>
        <v>114.00000500000002</v>
      </c>
      <c r="D126" s="2">
        <f t="shared" si="7"/>
        <v>3.1653754939999996</v>
      </c>
      <c r="E126" s="3">
        <f t="shared" si="8"/>
        <v>5.6025972299999998</v>
      </c>
      <c r="F126" s="3">
        <f t="shared" si="9"/>
        <v>5.1134347949999999</v>
      </c>
      <c r="G126" s="1" t="s">
        <v>141</v>
      </c>
      <c r="H126" s="1" t="s">
        <v>142</v>
      </c>
      <c r="I126" s="1">
        <v>3.5723289999999999</v>
      </c>
      <c r="J126" s="1">
        <v>1.46465489</v>
      </c>
      <c r="K126" s="1">
        <v>7.1446579999999999E-3</v>
      </c>
      <c r="L126" s="1">
        <v>0.35723290000000002</v>
      </c>
      <c r="M126" s="1">
        <v>3.2150960999999999E-2</v>
      </c>
      <c r="N126" s="1" t="s">
        <v>75</v>
      </c>
      <c r="O126" s="1" t="s">
        <v>76</v>
      </c>
      <c r="P126" s="1">
        <v>8.5735899999999994</v>
      </c>
      <c r="Q126" s="1">
        <v>7.7162309999999996</v>
      </c>
      <c r="R126" s="1">
        <v>1.1145666999999999</v>
      </c>
      <c r="S126" s="1">
        <v>0</v>
      </c>
      <c r="T126" s="1">
        <v>1.5775405600000001</v>
      </c>
      <c r="U126" s="1" t="s">
        <v>95</v>
      </c>
      <c r="V126" s="1" t="s">
        <v>96</v>
      </c>
      <c r="W126" s="1">
        <v>0.28578599999999998</v>
      </c>
      <c r="X126" s="1">
        <v>0.1143144</v>
      </c>
      <c r="Y126" s="1">
        <v>2.85786E-4</v>
      </c>
      <c r="Z126" s="1">
        <v>2.5720739999999999E-2</v>
      </c>
      <c r="AA126" s="1">
        <v>3.1436459999999999E-3</v>
      </c>
      <c r="AB126" s="1" t="s">
        <v>262</v>
      </c>
      <c r="AC126" s="1" t="s">
        <v>263</v>
      </c>
      <c r="AD126" s="1">
        <v>1.4289320000000001</v>
      </c>
      <c r="AE126" s="1">
        <v>0.87164852000000004</v>
      </c>
      <c r="AF126" s="1">
        <v>4.2867959999999998E-3</v>
      </c>
      <c r="AG126" s="1">
        <v>0.20005048</v>
      </c>
      <c r="AH126" s="1">
        <v>2.1433979999999998E-2</v>
      </c>
      <c r="AI126" s="1" t="s">
        <v>77</v>
      </c>
      <c r="AJ126" s="1" t="s">
        <v>78</v>
      </c>
      <c r="AK126" s="1">
        <v>0.16381299999999999</v>
      </c>
      <c r="AL126" s="1">
        <v>0.24408136999999999</v>
      </c>
      <c r="AM126" s="1">
        <v>8.1906500000000001E-4</v>
      </c>
      <c r="AN126" s="1">
        <v>5.4058290000000002E-2</v>
      </c>
      <c r="AO126" s="1">
        <v>1.0484032000000001E-2</v>
      </c>
      <c r="AP126" s="1" t="s">
        <v>318</v>
      </c>
      <c r="AQ126" s="1" t="s">
        <v>319</v>
      </c>
      <c r="AR126" s="1">
        <v>0.42868000000000001</v>
      </c>
      <c r="AS126" s="1">
        <v>9.00228E-2</v>
      </c>
      <c r="AT126" s="1">
        <v>2.1434000000000002E-3</v>
      </c>
      <c r="AU126" s="1">
        <v>1.3717760000000001E-2</v>
      </c>
      <c r="AV126" s="1">
        <v>5.5728399999999999E-3</v>
      </c>
      <c r="AW126" s="1" t="s">
        <v>17</v>
      </c>
      <c r="AX126" s="1" t="s">
        <v>18</v>
      </c>
      <c r="AY126" s="1">
        <v>0.242918</v>
      </c>
      <c r="AZ126" s="1">
        <v>0</v>
      </c>
      <c r="BA126" s="1">
        <v>0</v>
      </c>
      <c r="BB126" s="1">
        <v>0</v>
      </c>
      <c r="BC126" s="1">
        <v>0</v>
      </c>
      <c r="BD126" s="1" t="s">
        <v>61</v>
      </c>
      <c r="BE126" s="1" t="s">
        <v>62</v>
      </c>
      <c r="BF126" s="1">
        <v>2.6792E-2</v>
      </c>
      <c r="BG126" s="1">
        <v>0.19209863999999999</v>
      </c>
      <c r="BH126" s="1">
        <v>2.1701519999999998E-2</v>
      </c>
      <c r="BI126" s="4">
        <v>2.6792E-5</v>
      </c>
      <c r="BJ126" s="1">
        <v>2.14336E-4</v>
      </c>
      <c r="BK126" s="1" t="s">
        <v>253</v>
      </c>
      <c r="BL126" s="1" t="s">
        <v>254</v>
      </c>
      <c r="BM126" s="1">
        <v>98.792061000000004</v>
      </c>
      <c r="BN126" s="1">
        <v>50.383951109999998</v>
      </c>
      <c r="BO126" s="1">
        <v>1.877049159</v>
      </c>
      <c r="BP126" s="1">
        <v>4.9396030499999997</v>
      </c>
      <c r="BQ126" s="1">
        <v>3.457722135</v>
      </c>
      <c r="BR126" s="1" t="s">
        <v>87</v>
      </c>
      <c r="BS126" s="1" t="s">
        <v>88</v>
      </c>
      <c r="BT126" s="1">
        <v>4.8040000000000001E-3</v>
      </c>
      <c r="BU126" s="1">
        <v>8.1667999999999997E-4</v>
      </c>
      <c r="BV126" s="1">
        <v>0</v>
      </c>
      <c r="BW126" s="1">
        <v>2.6902399999999998E-4</v>
      </c>
      <c r="BX126" s="4">
        <v>1.9216E-5</v>
      </c>
      <c r="BY126" s="1" t="s">
        <v>172</v>
      </c>
      <c r="BZ126" s="1" t="s">
        <v>173</v>
      </c>
      <c r="CA126" s="1">
        <v>7.5911999999999993E-2</v>
      </c>
      <c r="CB126" s="1">
        <v>1.7307935999999999E-2</v>
      </c>
      <c r="CC126" s="1">
        <v>3.7955999999999998E-4</v>
      </c>
      <c r="CD126" s="1">
        <v>2.8087440000000002E-3</v>
      </c>
      <c r="CE126" s="1">
        <v>1.670064E-3</v>
      </c>
      <c r="CF126" s="1" t="s">
        <v>320</v>
      </c>
      <c r="CG126" s="1" t="s">
        <v>321</v>
      </c>
      <c r="CH126" s="1">
        <v>0.26792500000000002</v>
      </c>
      <c r="CI126" s="1">
        <v>4.5547249999999997E-2</v>
      </c>
      <c r="CJ126" s="1">
        <v>5.3585000000000004E-4</v>
      </c>
      <c r="CK126" s="1">
        <v>9.1094499999999998E-3</v>
      </c>
      <c r="CL126" s="1">
        <v>3.4830249999999998E-3</v>
      </c>
      <c r="CM126" s="1" t="s">
        <v>176</v>
      </c>
      <c r="CN126" t="s">
        <v>557</v>
      </c>
      <c r="CO126" s="1">
        <v>0.136463</v>
      </c>
      <c r="CP126" s="1">
        <v>1.209608032</v>
      </c>
      <c r="CQ126" s="1">
        <v>0.136463</v>
      </c>
      <c r="CR126" s="1">
        <v>0</v>
      </c>
      <c r="CS126" s="1">
        <v>0</v>
      </c>
    </row>
    <row r="127" spans="1:153" ht="14.25" customHeight="1" x14ac:dyDescent="0.35">
      <c r="A127" s="1" t="s">
        <v>376</v>
      </c>
      <c r="B127" s="2">
        <f t="shared" si="5"/>
        <v>393.43449205900004</v>
      </c>
      <c r="C127" s="2">
        <f t="shared" si="6"/>
        <v>396.00000499999999</v>
      </c>
      <c r="D127" s="2">
        <f t="shared" si="7"/>
        <v>14.236686645000001</v>
      </c>
      <c r="E127" s="3">
        <f t="shared" si="8"/>
        <v>50.695489834000007</v>
      </c>
      <c r="F127" s="3">
        <f t="shared" si="9"/>
        <v>19.871410262000005</v>
      </c>
      <c r="G127" s="1" t="s">
        <v>141</v>
      </c>
      <c r="H127" s="1" t="s">
        <v>142</v>
      </c>
      <c r="I127" s="1">
        <v>6.2672439999999998</v>
      </c>
      <c r="J127" s="1">
        <v>2.5695700399999999</v>
      </c>
      <c r="K127" s="1">
        <v>1.2534488E-2</v>
      </c>
      <c r="L127" s="1">
        <v>0.62672439999999996</v>
      </c>
      <c r="M127" s="1">
        <v>5.6405195999999998E-2</v>
      </c>
      <c r="N127" s="1" t="s">
        <v>75</v>
      </c>
      <c r="O127" s="1" t="s">
        <v>76</v>
      </c>
      <c r="P127" s="1">
        <v>15.041388</v>
      </c>
      <c r="Q127" s="1">
        <v>13.5372492</v>
      </c>
      <c r="R127" s="1">
        <v>1.9553804400000001</v>
      </c>
      <c r="S127" s="1">
        <v>0</v>
      </c>
      <c r="T127" s="1">
        <v>2.7676153920000002</v>
      </c>
      <c r="U127" s="1" t="s">
        <v>95</v>
      </c>
      <c r="V127" s="1" t="s">
        <v>96</v>
      </c>
      <c r="W127" s="1">
        <v>0.50138000000000005</v>
      </c>
      <c r="X127" s="1">
        <v>0.20055200000000001</v>
      </c>
      <c r="Y127" s="1">
        <v>5.0137999999999995E-4</v>
      </c>
      <c r="Z127" s="1">
        <v>4.5124200000000003E-2</v>
      </c>
      <c r="AA127" s="1">
        <v>5.5151799999999997E-3</v>
      </c>
      <c r="AB127" s="1" t="s">
        <v>262</v>
      </c>
      <c r="AC127" s="1" t="s">
        <v>263</v>
      </c>
      <c r="AD127" s="1">
        <v>2.5068980000000001</v>
      </c>
      <c r="AE127" s="1">
        <v>1.5292077799999999</v>
      </c>
      <c r="AF127" s="1">
        <v>7.5206939999999996E-3</v>
      </c>
      <c r="AG127" s="1">
        <v>0.35096571999999998</v>
      </c>
      <c r="AH127" s="1">
        <v>3.760347E-2</v>
      </c>
      <c r="AI127" s="1" t="s">
        <v>143</v>
      </c>
      <c r="AJ127" s="1" t="s">
        <v>144</v>
      </c>
      <c r="AK127" s="1">
        <v>57</v>
      </c>
      <c r="AL127" s="1">
        <v>46.17</v>
      </c>
      <c r="AM127" s="1">
        <v>0.22800000000000001</v>
      </c>
      <c r="AN127" s="1">
        <v>7.98</v>
      </c>
      <c r="AO127" s="1">
        <v>2.85</v>
      </c>
      <c r="AP127" s="1" t="s">
        <v>77</v>
      </c>
      <c r="AQ127" s="1" t="s">
        <v>78</v>
      </c>
      <c r="AR127" s="1">
        <v>0.28739199999999998</v>
      </c>
      <c r="AS127" s="1">
        <v>0.42821408</v>
      </c>
      <c r="AT127" s="1">
        <v>1.4369599999999999E-3</v>
      </c>
      <c r="AU127" s="1">
        <v>9.4839359999999998E-2</v>
      </c>
      <c r="AV127" s="1">
        <v>1.8393087999999998E-2</v>
      </c>
      <c r="AW127" s="1" t="s">
        <v>318</v>
      </c>
      <c r="AX127" s="1" t="s">
        <v>319</v>
      </c>
      <c r="AY127" s="1">
        <v>0.75206899999999999</v>
      </c>
      <c r="AZ127" s="1">
        <v>0.15793449000000001</v>
      </c>
      <c r="BA127" s="1">
        <v>3.760345E-3</v>
      </c>
      <c r="BB127" s="1">
        <v>2.4066207999999999E-2</v>
      </c>
      <c r="BC127" s="1">
        <v>9.7768969999999997E-3</v>
      </c>
      <c r="BD127" s="1" t="s">
        <v>13</v>
      </c>
      <c r="BE127" s="1" t="s">
        <v>14</v>
      </c>
      <c r="BF127" s="1">
        <v>4.1984180000000002</v>
      </c>
      <c r="BG127" s="1">
        <v>37.114015119999998</v>
      </c>
      <c r="BH127" s="1">
        <v>4.1984180000000002</v>
      </c>
      <c r="BI127" s="1">
        <v>0</v>
      </c>
      <c r="BJ127" s="1">
        <v>0</v>
      </c>
      <c r="BK127" s="1" t="s">
        <v>57</v>
      </c>
      <c r="BL127" s="1" t="s">
        <v>58</v>
      </c>
      <c r="BM127" s="1">
        <v>16.793671</v>
      </c>
      <c r="BN127" s="1">
        <v>46.619230696000002</v>
      </c>
      <c r="BO127" s="1">
        <v>2.8717177409999999</v>
      </c>
      <c r="BP127" s="1">
        <v>0.53739747199999999</v>
      </c>
      <c r="BQ127" s="1">
        <v>4.7022278799999997</v>
      </c>
      <c r="BR127" s="1" t="s">
        <v>17</v>
      </c>
      <c r="BS127" s="1" t="s">
        <v>18</v>
      </c>
      <c r="BT127" s="1">
        <v>0.42617300000000002</v>
      </c>
      <c r="BU127" s="1">
        <v>0</v>
      </c>
      <c r="BV127" s="1">
        <v>0</v>
      </c>
      <c r="BW127" s="1">
        <v>0</v>
      </c>
      <c r="BX127" s="1">
        <v>0</v>
      </c>
      <c r="BY127" s="1" t="s">
        <v>61</v>
      </c>
      <c r="BZ127" s="1" t="s">
        <v>62</v>
      </c>
      <c r="CA127" s="1">
        <v>4.7003999999999997E-2</v>
      </c>
      <c r="CB127" s="1">
        <v>0.33701868000000001</v>
      </c>
      <c r="CC127" s="1">
        <v>3.8073240000000001E-2</v>
      </c>
      <c r="CD127" s="4">
        <v>4.7003999999999999E-5</v>
      </c>
      <c r="CE127" s="1">
        <v>3.7603199999999999E-4</v>
      </c>
      <c r="CF127" s="1" t="s">
        <v>119</v>
      </c>
      <c r="CG127" s="1" t="s">
        <v>120</v>
      </c>
      <c r="CH127" s="1">
        <v>79</v>
      </c>
      <c r="CI127" s="1">
        <v>97.17</v>
      </c>
      <c r="CJ127" s="1">
        <v>0.316</v>
      </c>
      <c r="CK127" s="1">
        <v>22.12</v>
      </c>
      <c r="CL127" s="1">
        <v>1.8169999999999999</v>
      </c>
      <c r="CM127" s="1" t="s">
        <v>253</v>
      </c>
      <c r="CN127" s="1" t="s">
        <v>254</v>
      </c>
      <c r="CO127" s="1">
        <v>173.31939700000001</v>
      </c>
      <c r="CP127" s="1">
        <v>88.392892470000007</v>
      </c>
      <c r="CQ127" s="1">
        <v>3.293068543</v>
      </c>
      <c r="CR127" s="1">
        <v>8.6659698499999998</v>
      </c>
      <c r="CS127" s="1">
        <v>6.0661788950000002</v>
      </c>
      <c r="CT127" s="1" t="s">
        <v>87</v>
      </c>
      <c r="CU127" s="1" t="s">
        <v>88</v>
      </c>
      <c r="CV127" s="1">
        <v>8.4279999999999997E-3</v>
      </c>
      <c r="CW127" s="1">
        <v>1.4327599999999999E-3</v>
      </c>
      <c r="CX127" s="1">
        <v>0</v>
      </c>
      <c r="CY127" s="1">
        <v>4.7196800000000002E-4</v>
      </c>
      <c r="CZ127" s="4">
        <v>3.3711999999999998E-5</v>
      </c>
      <c r="DA127" s="1" t="s">
        <v>63</v>
      </c>
      <c r="DB127" s="1" t="s">
        <v>64</v>
      </c>
      <c r="DC127" s="1">
        <v>4.1984180000000002</v>
      </c>
      <c r="DD127" s="1">
        <v>1.00762032</v>
      </c>
      <c r="DE127" s="1">
        <v>0</v>
      </c>
      <c r="DF127" s="1">
        <v>8.3968360000000006E-2</v>
      </c>
      <c r="DG127" s="1">
        <v>0.16793672000000001</v>
      </c>
      <c r="DH127" s="1" t="s">
        <v>172</v>
      </c>
      <c r="DI127" s="1" t="s">
        <v>173</v>
      </c>
      <c r="DJ127" s="1">
        <v>0.13317899999999999</v>
      </c>
      <c r="DK127" s="1">
        <v>3.0364812000000001E-2</v>
      </c>
      <c r="DL127" s="1">
        <v>6.6589500000000001E-4</v>
      </c>
      <c r="DM127" s="1">
        <v>4.9276229999999999E-3</v>
      </c>
      <c r="DN127" s="1">
        <v>2.929938E-3</v>
      </c>
      <c r="DO127" s="1" t="s">
        <v>320</v>
      </c>
      <c r="DP127" s="1" t="s">
        <v>321</v>
      </c>
      <c r="DQ127" s="1">
        <v>0.47004299999999999</v>
      </c>
      <c r="DR127" s="1">
        <v>7.9907309999999995E-2</v>
      </c>
      <c r="DS127" s="1">
        <v>9.4008600000000002E-4</v>
      </c>
      <c r="DT127" s="1">
        <v>1.5981461999999998E-2</v>
      </c>
      <c r="DU127" s="1">
        <v>6.1105589999999998E-3</v>
      </c>
      <c r="DV127" s="1" t="s">
        <v>65</v>
      </c>
      <c r="DW127" t="s">
        <v>553</v>
      </c>
      <c r="DX127" s="1">
        <v>22.214241000000001</v>
      </c>
      <c r="DY127" s="1">
        <v>52.314537555000001</v>
      </c>
      <c r="DZ127" s="1">
        <v>1.0440693270000001</v>
      </c>
      <c r="EA127" s="1">
        <v>9.2633384969999994</v>
      </c>
      <c r="EB127" s="1">
        <v>1.1995690139999999</v>
      </c>
      <c r="EC127" s="1" t="s">
        <v>66</v>
      </c>
      <c r="ED127" t="s">
        <v>555</v>
      </c>
      <c r="EE127" s="1">
        <v>12.595253</v>
      </c>
      <c r="EF127" s="1">
        <v>3.6526233700000001</v>
      </c>
      <c r="EG127" s="1">
        <v>2.5190506000000001E-2</v>
      </c>
      <c r="EH127" s="1">
        <v>0.88166770999999999</v>
      </c>
      <c r="EI127" s="1">
        <v>0.16373828900000001</v>
      </c>
      <c r="EJ127" s="1" t="s">
        <v>176</v>
      </c>
      <c r="EK127" t="s">
        <v>557</v>
      </c>
      <c r="EL127" s="1">
        <v>0.23940900000000001</v>
      </c>
      <c r="EM127" s="1">
        <v>2.1221213759999999</v>
      </c>
      <c r="EN127" s="1">
        <v>0.23940900000000001</v>
      </c>
      <c r="EO127" s="1">
        <v>0</v>
      </c>
      <c r="EP127" s="1">
        <v>0</v>
      </c>
    </row>
    <row r="128" spans="1:153" ht="14.25" customHeight="1" x14ac:dyDescent="0.35">
      <c r="A128" s="1" t="s">
        <v>397</v>
      </c>
      <c r="B128" s="2">
        <f t="shared" si="5"/>
        <v>284.04802706100003</v>
      </c>
      <c r="C128" s="2">
        <f t="shared" si="6"/>
        <v>196.00000100000005</v>
      </c>
      <c r="D128" s="2">
        <f t="shared" si="7"/>
        <v>8.6833955739999986</v>
      </c>
      <c r="E128" s="2">
        <f t="shared" si="8"/>
        <v>40.866372039000005</v>
      </c>
      <c r="F128" s="2">
        <f t="shared" si="9"/>
        <v>10.900471903</v>
      </c>
      <c r="G128" s="1" t="s">
        <v>143</v>
      </c>
      <c r="H128" s="1" t="s">
        <v>144</v>
      </c>
      <c r="I128" s="1">
        <v>57</v>
      </c>
      <c r="J128" s="1">
        <v>46.17</v>
      </c>
      <c r="K128" s="1">
        <v>0.22800000000000001</v>
      </c>
      <c r="L128" s="1">
        <v>7.98</v>
      </c>
      <c r="M128" s="1">
        <v>2.85</v>
      </c>
      <c r="N128" s="1" t="s">
        <v>13</v>
      </c>
      <c r="O128" s="1" t="s">
        <v>14</v>
      </c>
      <c r="P128" s="1">
        <v>4.1984180000000002</v>
      </c>
      <c r="Q128" s="1">
        <v>37.114015119999998</v>
      </c>
      <c r="R128" s="1">
        <v>4.1984180000000002</v>
      </c>
      <c r="S128" s="1">
        <v>0</v>
      </c>
      <c r="T128" s="1">
        <v>0</v>
      </c>
      <c r="U128" s="1" t="s">
        <v>57</v>
      </c>
      <c r="V128" s="1" t="s">
        <v>58</v>
      </c>
      <c r="W128" s="1">
        <v>16.793671</v>
      </c>
      <c r="X128" s="1">
        <v>46.619230696000002</v>
      </c>
      <c r="Y128" s="1">
        <v>2.8717177409999999</v>
      </c>
      <c r="Z128" s="1">
        <v>0.53739747199999999</v>
      </c>
      <c r="AA128" s="1">
        <v>4.7022278799999997</v>
      </c>
      <c r="AB128" s="1" t="s">
        <v>119</v>
      </c>
      <c r="AC128" s="1" t="s">
        <v>120</v>
      </c>
      <c r="AD128" s="1">
        <v>79</v>
      </c>
      <c r="AE128" s="1">
        <v>97.17</v>
      </c>
      <c r="AF128" s="1">
        <v>0.316</v>
      </c>
      <c r="AG128" s="1">
        <v>22.12</v>
      </c>
      <c r="AH128" s="1">
        <v>1.8169999999999999</v>
      </c>
      <c r="AI128" s="1" t="s">
        <v>63</v>
      </c>
      <c r="AJ128" s="1" t="s">
        <v>64</v>
      </c>
      <c r="AK128" s="1">
        <v>4.1984180000000002</v>
      </c>
      <c r="AL128" s="1">
        <v>1.00762032</v>
      </c>
      <c r="AM128" s="1">
        <v>0</v>
      </c>
      <c r="AN128" s="1">
        <v>8.3968360000000006E-2</v>
      </c>
      <c r="AO128" s="1">
        <v>0.16793672000000001</v>
      </c>
      <c r="AP128" s="1" t="s">
        <v>65</v>
      </c>
      <c r="AQ128" t="s">
        <v>553</v>
      </c>
      <c r="AR128" s="1">
        <v>22.214241000000001</v>
      </c>
      <c r="AS128" s="1">
        <v>52.314537555000001</v>
      </c>
      <c r="AT128" s="1">
        <v>1.0440693270000001</v>
      </c>
      <c r="AU128" s="1">
        <v>9.2633384969999994</v>
      </c>
      <c r="AV128" s="1">
        <v>1.1995690139999999</v>
      </c>
      <c r="AW128" s="1" t="s">
        <v>66</v>
      </c>
      <c r="AX128" t="s">
        <v>555</v>
      </c>
      <c r="AY128" s="1">
        <v>12.595253</v>
      </c>
      <c r="AZ128" s="1">
        <v>3.6526233700000001</v>
      </c>
      <c r="BA128" s="1">
        <v>2.5190506000000001E-2</v>
      </c>
      <c r="BB128" s="1">
        <v>0.88166770999999999</v>
      </c>
      <c r="BC128" s="1">
        <v>0.16373828900000001</v>
      </c>
    </row>
    <row r="129" spans="1:118" ht="14.25" customHeight="1" x14ac:dyDescent="0.35">
      <c r="A129" s="1" t="s">
        <v>118</v>
      </c>
      <c r="B129" s="2">
        <f t="shared" si="5"/>
        <v>237.87802706099998</v>
      </c>
      <c r="C129" s="2">
        <f t="shared" si="6"/>
        <v>139.000001</v>
      </c>
      <c r="D129" s="2">
        <f t="shared" si="7"/>
        <v>8.4553955739999989</v>
      </c>
      <c r="E129" s="2">
        <f t="shared" si="8"/>
        <v>32.886372039000001</v>
      </c>
      <c r="F129" s="2">
        <f t="shared" si="9"/>
        <v>8.050471903</v>
      </c>
      <c r="G129" s="1" t="s">
        <v>13</v>
      </c>
      <c r="H129" s="1" t="s">
        <v>14</v>
      </c>
      <c r="I129" s="1">
        <v>4.1984180000000002</v>
      </c>
      <c r="J129" s="1">
        <v>37.114015119999998</v>
      </c>
      <c r="K129" s="1">
        <v>4.1984180000000002</v>
      </c>
      <c r="L129" s="1">
        <v>0</v>
      </c>
      <c r="M129" s="1">
        <v>0</v>
      </c>
      <c r="N129" s="1" t="s">
        <v>57</v>
      </c>
      <c r="O129" s="1" t="s">
        <v>58</v>
      </c>
      <c r="P129" s="1">
        <v>16.793671</v>
      </c>
      <c r="Q129" s="1">
        <v>46.619230696000002</v>
      </c>
      <c r="R129" s="1">
        <v>2.8717177409999999</v>
      </c>
      <c r="S129" s="1">
        <v>0.53739747199999999</v>
      </c>
      <c r="T129" s="1">
        <v>4.7022278799999997</v>
      </c>
      <c r="U129" s="1" t="s">
        <v>119</v>
      </c>
      <c r="V129" s="1" t="s">
        <v>120</v>
      </c>
      <c r="W129" s="1">
        <v>79</v>
      </c>
      <c r="X129" s="1">
        <v>97.17</v>
      </c>
      <c r="Y129" s="1">
        <v>0.316</v>
      </c>
      <c r="Z129" s="1">
        <v>22.12</v>
      </c>
      <c r="AA129" s="1">
        <v>1.8169999999999999</v>
      </c>
      <c r="AB129" s="1" t="s">
        <v>63</v>
      </c>
      <c r="AC129" s="1" t="s">
        <v>64</v>
      </c>
      <c r="AD129" s="1">
        <v>4.1984180000000002</v>
      </c>
      <c r="AE129" s="1">
        <v>1.00762032</v>
      </c>
      <c r="AF129" s="1">
        <v>0</v>
      </c>
      <c r="AG129" s="1">
        <v>8.3968360000000006E-2</v>
      </c>
      <c r="AH129" s="1">
        <v>0.16793672000000001</v>
      </c>
      <c r="AI129" s="1" t="s">
        <v>65</v>
      </c>
      <c r="AJ129" t="s">
        <v>553</v>
      </c>
      <c r="AK129" s="1">
        <v>22.214241000000001</v>
      </c>
      <c r="AL129" s="1">
        <v>52.314537555000001</v>
      </c>
      <c r="AM129" s="1">
        <v>1.0440693270000001</v>
      </c>
      <c r="AN129" s="1">
        <v>9.2633384969999994</v>
      </c>
      <c r="AO129" s="1">
        <v>1.1995690139999999</v>
      </c>
      <c r="AP129" s="1" t="s">
        <v>66</v>
      </c>
      <c r="AQ129" t="s">
        <v>555</v>
      </c>
      <c r="AR129" s="1">
        <v>12.595253</v>
      </c>
      <c r="AS129" s="1">
        <v>3.6526233700000001</v>
      </c>
      <c r="AT129" s="1">
        <v>2.5190506000000001E-2</v>
      </c>
      <c r="AU129" s="1">
        <v>0.88166770999999999</v>
      </c>
      <c r="AV129" s="1">
        <v>0.16373828900000001</v>
      </c>
    </row>
    <row r="130" spans="1:118" ht="14.25" customHeight="1" x14ac:dyDescent="0.35">
      <c r="A130" s="1" t="s">
        <v>543</v>
      </c>
      <c r="B130" s="2">
        <f t="shared" ref="B130:B193" si="10">J130+Q130+X130+AE130+AL130+AS130+AZ130+BG130+BN130+BU130+CB130+CI130+CP130+CW130+DD130+DK130+DR130+DY130+EF130+EM130+ET130</f>
        <v>140.70802706099997</v>
      </c>
      <c r="C130" s="2">
        <f t="shared" ref="C130:C193" si="11">I130+P130+W130+AD130+AK130+AR130+AY130+BF130+BM130+BT130+CA130+CH130+CO130+CV130+DC130+DJ130+DQ130+DX130+EE130+EL130+ES130</f>
        <v>60.000000999999997</v>
      </c>
      <c r="D130" s="2">
        <f t="shared" ref="D130:D193" si="12">K130+R130+Y130+AF130+AM130+AT130+BA130+BH130+BO130+BV130+CC130+CJ130+CQ130+CX130+DE130+DL130+DS130+DZ130+EG130+EN130+EU130</f>
        <v>8.1393955739999999</v>
      </c>
      <c r="E130" s="2">
        <f t="shared" ref="E130:E193" si="13">L130+S130+Z130+AG130+AN130+AU130+BB130+BI130+BP130+BW130+CD130+CK130+CR130+CY130+DF130+DM130+DT130+EA130+EH130+EO130+EV130</f>
        <v>10.766372039</v>
      </c>
      <c r="F130" s="2">
        <f t="shared" ref="F130:F193" si="14">M130+T130+AA130+AH130+AO130+AV130+BC130+BJ130+BQ130+BX130+CE130+CL130+CS130+CZ130+DG130+DN130+DU130+EB130+EI130+EP130+EW130</f>
        <v>6.2334719029999999</v>
      </c>
      <c r="G130" s="1" t="s">
        <v>13</v>
      </c>
      <c r="H130" s="1" t="s">
        <v>14</v>
      </c>
      <c r="I130" s="1">
        <v>4.1984180000000002</v>
      </c>
      <c r="J130" s="1">
        <v>37.114015119999998</v>
      </c>
      <c r="K130" s="1">
        <v>4.1984180000000002</v>
      </c>
      <c r="L130" s="1">
        <v>0</v>
      </c>
      <c r="M130" s="1">
        <v>0</v>
      </c>
      <c r="N130" s="1" t="s">
        <v>57</v>
      </c>
      <c r="O130" s="1" t="s">
        <v>58</v>
      </c>
      <c r="P130" s="1">
        <v>16.793671</v>
      </c>
      <c r="Q130" s="1">
        <v>46.619230696000002</v>
      </c>
      <c r="R130" s="1">
        <v>2.8717177409999999</v>
      </c>
      <c r="S130" s="1">
        <v>0.53739747199999999</v>
      </c>
      <c r="T130" s="1">
        <v>4.7022278799999997</v>
      </c>
      <c r="U130" s="1" t="s">
        <v>63</v>
      </c>
      <c r="V130" s="1" t="s">
        <v>64</v>
      </c>
      <c r="W130" s="1">
        <v>4.1984180000000002</v>
      </c>
      <c r="X130" s="1">
        <v>1.00762032</v>
      </c>
      <c r="Y130" s="1">
        <v>0</v>
      </c>
      <c r="Z130" s="1">
        <v>8.3968360000000006E-2</v>
      </c>
      <c r="AA130" s="1">
        <v>0.16793672000000001</v>
      </c>
      <c r="AB130" s="1" t="s">
        <v>65</v>
      </c>
      <c r="AC130" t="s">
        <v>553</v>
      </c>
      <c r="AD130" s="1">
        <v>22.214241000000001</v>
      </c>
      <c r="AE130" s="1">
        <v>52.314537555000001</v>
      </c>
      <c r="AF130" s="1">
        <v>1.0440693270000001</v>
      </c>
      <c r="AG130" s="1">
        <v>9.2633384969999994</v>
      </c>
      <c r="AH130" s="1">
        <v>1.1995690139999999</v>
      </c>
      <c r="AI130" s="1" t="s">
        <v>66</v>
      </c>
      <c r="AJ130" t="s">
        <v>555</v>
      </c>
      <c r="AK130" s="1">
        <v>12.595253</v>
      </c>
      <c r="AL130" s="1">
        <v>3.6526233700000001</v>
      </c>
      <c r="AM130" s="1">
        <v>2.5190506000000001E-2</v>
      </c>
      <c r="AN130" s="1">
        <v>0.88166770999999999</v>
      </c>
      <c r="AO130" s="1">
        <v>0.16373828900000001</v>
      </c>
    </row>
    <row r="131" spans="1:118" ht="14.25" customHeight="1" x14ac:dyDescent="0.35">
      <c r="A131" s="1" t="s">
        <v>182</v>
      </c>
      <c r="B131" s="2">
        <f t="shared" si="10"/>
        <v>250.62844223799999</v>
      </c>
      <c r="C131" s="2">
        <f t="shared" si="11"/>
        <v>152.00000299999999</v>
      </c>
      <c r="D131" s="2">
        <f t="shared" si="12"/>
        <v>4.4877625500000002</v>
      </c>
      <c r="E131" s="2">
        <f t="shared" si="13"/>
        <v>42.728555491999998</v>
      </c>
      <c r="F131" s="2">
        <f t="shared" si="14"/>
        <v>10.357069551</v>
      </c>
      <c r="G131" s="1" t="s">
        <v>183</v>
      </c>
      <c r="H131" s="1" t="s">
        <v>184</v>
      </c>
      <c r="I131" s="1">
        <v>36.118813000000003</v>
      </c>
      <c r="J131" s="1">
        <v>99.326735749999997</v>
      </c>
      <c r="K131" s="1">
        <v>0</v>
      </c>
      <c r="L131" s="1">
        <v>23.477228449999998</v>
      </c>
      <c r="M131" s="1">
        <v>0.90297032499999996</v>
      </c>
      <c r="N131" s="1" t="s">
        <v>185</v>
      </c>
      <c r="O131" s="1" t="s">
        <v>186</v>
      </c>
      <c r="P131" s="1">
        <v>18.059405999999999</v>
      </c>
      <c r="Q131" s="1">
        <v>84.752792357999994</v>
      </c>
      <c r="R131" s="1">
        <v>3.684118824</v>
      </c>
      <c r="S131" s="1">
        <v>11.684435682</v>
      </c>
      <c r="T131" s="1">
        <v>1.8059406</v>
      </c>
      <c r="U131" s="1" t="s">
        <v>187</v>
      </c>
      <c r="V131" s="1" t="s">
        <v>188</v>
      </c>
      <c r="W131" s="1">
        <v>24.079208000000001</v>
      </c>
      <c r="X131" s="1">
        <v>16.614653520000001</v>
      </c>
      <c r="Y131" s="1">
        <v>4.8158416000000002E-2</v>
      </c>
      <c r="Z131" s="1">
        <v>4.33425744</v>
      </c>
      <c r="AA131" s="1">
        <v>0.16855445599999999</v>
      </c>
      <c r="AB131" s="1" t="s">
        <v>189</v>
      </c>
      <c r="AC131" s="1" t="s">
        <v>190</v>
      </c>
      <c r="AD131" s="1">
        <v>1.5049509999999999</v>
      </c>
      <c r="AE131" s="1">
        <v>7.3140618599999998</v>
      </c>
      <c r="AF131" s="1">
        <v>0.46653481000000002</v>
      </c>
      <c r="AG131" s="1">
        <v>0.63207941999999995</v>
      </c>
      <c r="AH131" s="1">
        <v>0.25584167000000002</v>
      </c>
      <c r="AI131" s="1" t="s">
        <v>101</v>
      </c>
      <c r="AJ131" s="1" t="s">
        <v>102</v>
      </c>
      <c r="AK131" s="1">
        <v>72.237624999999994</v>
      </c>
      <c r="AL131" s="1">
        <v>42.62019875</v>
      </c>
      <c r="AM131" s="1">
        <v>0.2889505</v>
      </c>
      <c r="AN131" s="1">
        <v>2.6005544999999999</v>
      </c>
      <c r="AO131" s="1">
        <v>7.2237625000000003</v>
      </c>
    </row>
    <row r="132" spans="1:118" ht="14.25" customHeight="1" x14ac:dyDescent="0.35">
      <c r="A132" s="1" t="s">
        <v>457</v>
      </c>
      <c r="B132" s="2">
        <f t="shared" si="10"/>
        <v>219.32413763</v>
      </c>
      <c r="C132" s="2">
        <f t="shared" si="11"/>
        <v>106.999999</v>
      </c>
      <c r="D132" s="2">
        <f t="shared" si="12"/>
        <v>11.994989685</v>
      </c>
      <c r="E132" s="2">
        <f t="shared" si="13"/>
        <v>15.679177452999999</v>
      </c>
      <c r="F132" s="2">
        <f t="shared" si="14"/>
        <v>12.92132758</v>
      </c>
      <c r="G132" s="1" t="s">
        <v>178</v>
      </c>
      <c r="H132" s="1" t="s">
        <v>179</v>
      </c>
      <c r="I132" s="1">
        <v>3.9799329999999999</v>
      </c>
      <c r="J132" s="1">
        <v>15.99933066</v>
      </c>
      <c r="K132" s="1">
        <v>1.3133778899999999</v>
      </c>
      <c r="L132" s="1">
        <v>5.1739129000000002E-2</v>
      </c>
      <c r="M132" s="1">
        <v>0.99498324999999999</v>
      </c>
      <c r="N132" s="1" t="s">
        <v>180</v>
      </c>
      <c r="O132" s="1" t="s">
        <v>181</v>
      </c>
      <c r="P132" s="1">
        <v>8.1893080000000005</v>
      </c>
      <c r="Q132" s="1">
        <v>17.852691440000001</v>
      </c>
      <c r="R132" s="1">
        <v>0.23748993199999999</v>
      </c>
      <c r="S132" s="1">
        <v>3.6851886</v>
      </c>
      <c r="T132" s="1">
        <v>0.49135847999999999</v>
      </c>
      <c r="U132" s="1" t="s">
        <v>95</v>
      </c>
      <c r="V132" s="1" t="s">
        <v>96</v>
      </c>
      <c r="W132" s="1">
        <v>8.0013249999999996</v>
      </c>
      <c r="X132" s="1">
        <v>3.2005300000000001</v>
      </c>
      <c r="Y132" s="1">
        <v>8.0013250000000001E-3</v>
      </c>
      <c r="Z132" s="1">
        <v>0.72011924999999999</v>
      </c>
      <c r="AA132" s="1">
        <v>8.8014574999999998E-2</v>
      </c>
      <c r="AB132" s="1" t="s">
        <v>458</v>
      </c>
      <c r="AC132" s="1" t="s">
        <v>459</v>
      </c>
      <c r="AD132" s="1">
        <v>53</v>
      </c>
      <c r="AE132" s="1">
        <v>119.78</v>
      </c>
      <c r="AF132" s="1">
        <v>6.89</v>
      </c>
      <c r="AG132" s="1">
        <v>10.653</v>
      </c>
      <c r="AH132" s="1">
        <v>4.6639999999999997</v>
      </c>
      <c r="AI132" s="1" t="s">
        <v>151</v>
      </c>
      <c r="AJ132" s="1" t="s">
        <v>152</v>
      </c>
      <c r="AK132" s="1">
        <v>25.206244000000002</v>
      </c>
      <c r="AL132" s="1">
        <v>59.990860720000001</v>
      </c>
      <c r="AM132" s="1">
        <v>3.52887416</v>
      </c>
      <c r="AN132" s="1">
        <v>0</v>
      </c>
      <c r="AO132" s="1">
        <v>6.55362344</v>
      </c>
      <c r="AP132" s="1" t="s">
        <v>37</v>
      </c>
      <c r="AQ132" s="1" t="s">
        <v>38</v>
      </c>
      <c r="AR132" s="1">
        <v>8.623189</v>
      </c>
      <c r="AS132" s="1">
        <v>2.5007248099999999</v>
      </c>
      <c r="AT132" s="1">
        <v>1.7246378E-2</v>
      </c>
      <c r="AU132" s="1">
        <v>0.56913047400000005</v>
      </c>
      <c r="AV132" s="1">
        <v>0.12934783499999999</v>
      </c>
    </row>
    <row r="133" spans="1:118" ht="14.25" customHeight="1" x14ac:dyDescent="0.35">
      <c r="A133" s="1" t="s">
        <v>177</v>
      </c>
      <c r="B133" s="2">
        <f t="shared" si="10"/>
        <v>99.544137629999994</v>
      </c>
      <c r="C133" s="2">
        <f t="shared" si="11"/>
        <v>53.999999000000003</v>
      </c>
      <c r="D133" s="2">
        <f t="shared" si="12"/>
        <v>5.1049896850000005</v>
      </c>
      <c r="E133" s="2">
        <f t="shared" si="13"/>
        <v>5.0261774530000007</v>
      </c>
      <c r="F133" s="2">
        <f t="shared" si="14"/>
        <v>8.2573275800000001</v>
      </c>
      <c r="G133" s="1" t="s">
        <v>178</v>
      </c>
      <c r="H133" s="1" t="s">
        <v>179</v>
      </c>
      <c r="I133" s="1">
        <v>3.9799329999999999</v>
      </c>
      <c r="J133" s="1">
        <v>15.99933066</v>
      </c>
      <c r="K133" s="1">
        <v>1.3133778899999999</v>
      </c>
      <c r="L133" s="1">
        <v>5.1739129000000002E-2</v>
      </c>
      <c r="M133" s="1">
        <v>0.99498324999999999</v>
      </c>
      <c r="N133" s="1" t="s">
        <v>180</v>
      </c>
      <c r="O133" s="1" t="s">
        <v>181</v>
      </c>
      <c r="P133" s="1">
        <v>8.1893080000000005</v>
      </c>
      <c r="Q133" s="1">
        <v>17.852691440000001</v>
      </c>
      <c r="R133" s="1">
        <v>0.23748993199999999</v>
      </c>
      <c r="S133" s="1">
        <v>3.6851886</v>
      </c>
      <c r="T133" s="1">
        <v>0.49135847999999999</v>
      </c>
      <c r="U133" s="1" t="s">
        <v>95</v>
      </c>
      <c r="V133" s="1" t="s">
        <v>96</v>
      </c>
      <c r="W133" s="1">
        <v>8.0013249999999996</v>
      </c>
      <c r="X133" s="1">
        <v>3.2005300000000001</v>
      </c>
      <c r="Y133" s="1">
        <v>8.0013250000000001E-3</v>
      </c>
      <c r="Z133" s="1">
        <v>0.72011924999999999</v>
      </c>
      <c r="AA133" s="1">
        <v>8.8014574999999998E-2</v>
      </c>
      <c r="AB133" s="1" t="s">
        <v>151</v>
      </c>
      <c r="AC133" s="1" t="s">
        <v>152</v>
      </c>
      <c r="AD133" s="1">
        <v>25.206244000000002</v>
      </c>
      <c r="AE133" s="1">
        <v>59.990860720000001</v>
      </c>
      <c r="AF133" s="1">
        <v>3.52887416</v>
      </c>
      <c r="AG133" s="1">
        <v>0</v>
      </c>
      <c r="AH133" s="1">
        <v>6.55362344</v>
      </c>
      <c r="AI133" s="1" t="s">
        <v>37</v>
      </c>
      <c r="AJ133" s="1" t="s">
        <v>38</v>
      </c>
      <c r="AK133" s="1">
        <v>8.623189</v>
      </c>
      <c r="AL133" s="1">
        <v>2.5007248099999999</v>
      </c>
      <c r="AM133" s="1">
        <v>1.7246378E-2</v>
      </c>
      <c r="AN133" s="1">
        <v>0.56913047400000005</v>
      </c>
      <c r="AO133" s="1">
        <v>0.12934783499999999</v>
      </c>
    </row>
    <row r="134" spans="1:118" ht="14.25" customHeight="1" x14ac:dyDescent="0.35">
      <c r="A134" s="1" t="s">
        <v>257</v>
      </c>
      <c r="B134" s="2">
        <f t="shared" si="10"/>
        <v>327.04403160199996</v>
      </c>
      <c r="C134" s="2">
        <f t="shared" si="11"/>
        <v>314.99999999999989</v>
      </c>
      <c r="D134" s="2">
        <f t="shared" si="12"/>
        <v>15.914732950000001</v>
      </c>
      <c r="E134" s="2">
        <f t="shared" si="13"/>
        <v>28.382375940000003</v>
      </c>
      <c r="F134" s="2">
        <f t="shared" si="14"/>
        <v>18.009549604</v>
      </c>
      <c r="G134" s="1" t="s">
        <v>258</v>
      </c>
      <c r="H134" s="1" t="s">
        <v>259</v>
      </c>
      <c r="I134" s="1">
        <v>30.072444999999998</v>
      </c>
      <c r="J134" s="1">
        <v>23.155782649999999</v>
      </c>
      <c r="K134" s="1">
        <v>3.0072445E-2</v>
      </c>
      <c r="L134" s="1">
        <v>5.1123156500000002</v>
      </c>
      <c r="M134" s="1">
        <v>0.60144889999999995</v>
      </c>
      <c r="N134" s="1" t="s">
        <v>40</v>
      </c>
      <c r="O134" s="1" t="s">
        <v>41</v>
      </c>
      <c r="P134" s="1">
        <v>114.253265</v>
      </c>
      <c r="Q134" s="1">
        <v>28.56331625</v>
      </c>
      <c r="R134" s="1">
        <v>0.34275979499999998</v>
      </c>
      <c r="S134" s="1">
        <v>5.7126632500000003</v>
      </c>
      <c r="T134" s="1">
        <v>2.0565587700000001</v>
      </c>
      <c r="U134" s="1" t="s">
        <v>260</v>
      </c>
      <c r="V134" s="1" t="s">
        <v>261</v>
      </c>
      <c r="W134" s="1">
        <v>48.867722000000001</v>
      </c>
      <c r="X134" s="1">
        <v>122.16930499999999</v>
      </c>
      <c r="Y134" s="1">
        <v>7.3301582999999999</v>
      </c>
      <c r="Z134" s="1">
        <v>0</v>
      </c>
      <c r="AA134" s="1">
        <v>12.70560772</v>
      </c>
      <c r="AB134" s="1" t="s">
        <v>262</v>
      </c>
      <c r="AC134" s="1" t="s">
        <v>263</v>
      </c>
      <c r="AD134" s="1">
        <v>3.7590560000000002</v>
      </c>
      <c r="AE134" s="1">
        <v>2.2930241599999999</v>
      </c>
      <c r="AF134" s="1">
        <v>1.1277168000000001E-2</v>
      </c>
      <c r="AG134" s="1">
        <v>0.52626784000000004</v>
      </c>
      <c r="AH134" s="1">
        <v>5.638584E-2</v>
      </c>
      <c r="AI134" s="1" t="s">
        <v>143</v>
      </c>
      <c r="AJ134" s="1" t="s">
        <v>144</v>
      </c>
      <c r="AK134" s="1">
        <v>30.072444999999998</v>
      </c>
      <c r="AL134" s="1">
        <v>24.358680450000001</v>
      </c>
      <c r="AM134" s="1">
        <v>0.12028978</v>
      </c>
      <c r="AN134" s="1">
        <v>4.2101423000000002</v>
      </c>
      <c r="AO134" s="1">
        <v>1.50362225</v>
      </c>
      <c r="AP134" s="1" t="s">
        <v>77</v>
      </c>
      <c r="AQ134" s="1" t="s">
        <v>78</v>
      </c>
      <c r="AR134" s="1">
        <v>0.53378599999999998</v>
      </c>
      <c r="AS134" s="1">
        <v>0.79534114</v>
      </c>
      <c r="AT134" s="1">
        <v>2.6689299999999999E-3</v>
      </c>
      <c r="AU134" s="1">
        <v>0.17614937999999999</v>
      </c>
      <c r="AV134" s="1">
        <v>3.4162303999999998E-2</v>
      </c>
      <c r="AW134" s="1" t="s">
        <v>264</v>
      </c>
      <c r="AX134" s="1" t="s">
        <v>265</v>
      </c>
      <c r="AY134" s="1">
        <v>6.6009019999999996</v>
      </c>
      <c r="AZ134" s="1">
        <v>4.046352926</v>
      </c>
      <c r="BA134" s="1">
        <v>0.21782976600000001</v>
      </c>
      <c r="BB134" s="1">
        <v>0.39605412000000001</v>
      </c>
      <c r="BC134" s="1">
        <v>0.244233374</v>
      </c>
      <c r="BD134" s="1" t="s">
        <v>13</v>
      </c>
      <c r="BE134" s="1" t="s">
        <v>14</v>
      </c>
      <c r="BF134" s="1">
        <v>3.800786</v>
      </c>
      <c r="BG134" s="1">
        <v>33.598948239999999</v>
      </c>
      <c r="BH134" s="1">
        <v>3.800786</v>
      </c>
      <c r="BI134" s="1">
        <v>0</v>
      </c>
      <c r="BJ134" s="1">
        <v>0</v>
      </c>
      <c r="BK134" s="1" t="s">
        <v>147</v>
      </c>
      <c r="BL134" s="1" t="s">
        <v>148</v>
      </c>
      <c r="BM134" s="1">
        <v>0.95479999999999998</v>
      </c>
      <c r="BN134" s="1">
        <v>0</v>
      </c>
      <c r="BO134" s="1">
        <v>0</v>
      </c>
      <c r="BP134" s="1">
        <v>0</v>
      </c>
      <c r="BQ134" s="1">
        <v>0</v>
      </c>
      <c r="BR134" s="1" t="s">
        <v>17</v>
      </c>
      <c r="BS134" s="1" t="s">
        <v>18</v>
      </c>
      <c r="BT134" s="1">
        <v>0.24753500000000001</v>
      </c>
      <c r="BU134" s="1">
        <v>0</v>
      </c>
      <c r="BV134" s="1">
        <v>0</v>
      </c>
      <c r="BW134" s="1">
        <v>0</v>
      </c>
      <c r="BX134" s="1">
        <v>0</v>
      </c>
      <c r="BY134" s="1" t="s">
        <v>170</v>
      </c>
      <c r="BZ134" s="1" t="s">
        <v>171</v>
      </c>
      <c r="CA134" s="1">
        <v>1.2729299999999999</v>
      </c>
      <c r="CB134" s="1">
        <v>4.2808635900000001</v>
      </c>
      <c r="CC134" s="1">
        <v>0.46589237999999999</v>
      </c>
      <c r="CD134" s="1">
        <v>3.4369110000000001E-2</v>
      </c>
      <c r="CE134" s="1">
        <v>3.564204E-2</v>
      </c>
      <c r="CF134" s="1" t="s">
        <v>266</v>
      </c>
      <c r="CG134" s="1" t="s">
        <v>267</v>
      </c>
      <c r="CH134" s="1">
        <v>3.7590560000000002</v>
      </c>
      <c r="CI134" s="1">
        <v>7.4429308799999996</v>
      </c>
      <c r="CJ134" s="1">
        <v>0.71422063999999996</v>
      </c>
      <c r="CK134" s="1">
        <v>0.17291657599999999</v>
      </c>
      <c r="CL134" s="1">
        <v>9.0217344000000005E-2</v>
      </c>
      <c r="CM134" s="1" t="s">
        <v>268</v>
      </c>
      <c r="CN134" s="1" t="s">
        <v>269</v>
      </c>
      <c r="CO134" s="1">
        <v>66.341460999999995</v>
      </c>
      <c r="CP134" s="1">
        <v>50.419510359999997</v>
      </c>
      <c r="CQ134" s="1">
        <v>0</v>
      </c>
      <c r="CR134" s="1">
        <v>11.941462980000001</v>
      </c>
      <c r="CS134" s="1">
        <v>0.66341461000000002</v>
      </c>
      <c r="CT134" s="1" t="s">
        <v>42</v>
      </c>
      <c r="CU134" s="1" t="s">
        <v>43</v>
      </c>
      <c r="CV134" s="1">
        <v>1.428166</v>
      </c>
      <c r="CW134" s="1">
        <v>0.41416814000000002</v>
      </c>
      <c r="CX134" s="1">
        <v>5.7126640000000001E-3</v>
      </c>
      <c r="CY134" s="1">
        <v>9.2830789999999996E-2</v>
      </c>
      <c r="CZ134" s="1">
        <v>1.2853494E-2</v>
      </c>
      <c r="DA134" s="1" t="s">
        <v>44</v>
      </c>
      <c r="DB134" s="1" t="s">
        <v>45</v>
      </c>
      <c r="DC134" s="1">
        <v>0.16372600000000001</v>
      </c>
      <c r="DD134" s="1">
        <v>4.9117800000000003E-2</v>
      </c>
      <c r="DE134" s="1">
        <v>1.1460820000000001E-3</v>
      </c>
      <c r="DF134" s="1">
        <v>7.2039440000000003E-3</v>
      </c>
      <c r="DG134" s="1">
        <v>5.4029580000000002E-3</v>
      </c>
      <c r="DH134" s="1" t="s">
        <v>176</v>
      </c>
      <c r="DI134" t="s">
        <v>557</v>
      </c>
      <c r="DJ134" s="1">
        <v>2.8719190000000001</v>
      </c>
      <c r="DK134" s="1">
        <v>25.456690016</v>
      </c>
      <c r="DL134" s="1">
        <v>2.8719190000000001</v>
      </c>
      <c r="DM134" s="1">
        <v>0</v>
      </c>
      <c r="DN134" s="1">
        <v>0</v>
      </c>
    </row>
    <row r="135" spans="1:118" ht="14.25" customHeight="1" x14ac:dyDescent="0.35">
      <c r="A135" s="1" t="s">
        <v>460</v>
      </c>
      <c r="B135" s="2">
        <f t="shared" si="10"/>
        <v>261.96305416199999</v>
      </c>
      <c r="C135" s="2">
        <f t="shared" si="11"/>
        <v>247.00000199999991</v>
      </c>
      <c r="D135" s="2">
        <f t="shared" si="12"/>
        <v>14.25619595</v>
      </c>
      <c r="E135" s="2">
        <f t="shared" si="13"/>
        <v>16.440912960000002</v>
      </c>
      <c r="F135" s="2">
        <f t="shared" si="14"/>
        <v>17.346134994</v>
      </c>
      <c r="G135" s="1" t="s">
        <v>258</v>
      </c>
      <c r="H135" s="1" t="s">
        <v>259</v>
      </c>
      <c r="I135" s="1">
        <v>30.072444999999998</v>
      </c>
      <c r="J135" s="1">
        <v>23.155782649999999</v>
      </c>
      <c r="K135" s="1">
        <v>3.0072445E-2</v>
      </c>
      <c r="L135" s="1">
        <v>5.1123156500000002</v>
      </c>
      <c r="M135" s="1">
        <v>0.60144889999999995</v>
      </c>
      <c r="N135" s="1" t="s">
        <v>40</v>
      </c>
      <c r="O135" s="1" t="s">
        <v>41</v>
      </c>
      <c r="P135" s="1">
        <v>114.253265</v>
      </c>
      <c r="Q135" s="1">
        <v>28.56331625</v>
      </c>
      <c r="R135" s="1">
        <v>0.34275979499999998</v>
      </c>
      <c r="S135" s="1">
        <v>5.7126632500000003</v>
      </c>
      <c r="T135" s="1">
        <v>2.0565587700000001</v>
      </c>
      <c r="U135" s="1" t="s">
        <v>260</v>
      </c>
      <c r="V135" s="1" t="s">
        <v>261</v>
      </c>
      <c r="W135" s="1">
        <v>48.867722000000001</v>
      </c>
      <c r="X135" s="1">
        <v>122.16930499999999</v>
      </c>
      <c r="Y135" s="1">
        <v>7.3301582999999999</v>
      </c>
      <c r="Z135" s="1">
        <v>0</v>
      </c>
      <c r="AA135" s="1">
        <v>12.70560772</v>
      </c>
      <c r="AB135" s="1" t="s">
        <v>262</v>
      </c>
      <c r="AC135" s="1" t="s">
        <v>263</v>
      </c>
      <c r="AD135" s="1">
        <v>3.7590560000000002</v>
      </c>
      <c r="AE135" s="1">
        <v>2.2930241599999999</v>
      </c>
      <c r="AF135" s="1">
        <v>1.1277168000000001E-2</v>
      </c>
      <c r="AG135" s="1">
        <v>0.52626784000000004</v>
      </c>
      <c r="AH135" s="1">
        <v>5.638584E-2</v>
      </c>
      <c r="AI135" s="1" t="s">
        <v>143</v>
      </c>
      <c r="AJ135" s="1" t="s">
        <v>144</v>
      </c>
      <c r="AK135" s="1">
        <v>30.072444999999998</v>
      </c>
      <c r="AL135" s="1">
        <v>24.358680450000001</v>
      </c>
      <c r="AM135" s="1">
        <v>0.12028978</v>
      </c>
      <c r="AN135" s="1">
        <v>4.2101423000000002</v>
      </c>
      <c r="AO135" s="1">
        <v>1.50362225</v>
      </c>
      <c r="AP135" s="1" t="s">
        <v>77</v>
      </c>
      <c r="AQ135" s="1" t="s">
        <v>78</v>
      </c>
      <c r="AR135" s="1">
        <v>0.53378599999999998</v>
      </c>
      <c r="AS135" s="1">
        <v>0.79534114</v>
      </c>
      <c r="AT135" s="1">
        <v>2.6689299999999999E-3</v>
      </c>
      <c r="AU135" s="1">
        <v>0.17614937999999999</v>
      </c>
      <c r="AV135" s="1">
        <v>3.4162303999999998E-2</v>
      </c>
      <c r="AW135" s="1" t="s">
        <v>264</v>
      </c>
      <c r="AX135" s="1" t="s">
        <v>265</v>
      </c>
      <c r="AY135" s="1">
        <v>6.6009019999999996</v>
      </c>
      <c r="AZ135" s="1">
        <v>4.046352926</v>
      </c>
      <c r="BA135" s="1">
        <v>0.21782976600000001</v>
      </c>
      <c r="BB135" s="1">
        <v>0.39605412000000001</v>
      </c>
      <c r="BC135" s="1">
        <v>0.244233374</v>
      </c>
      <c r="BD135" s="1" t="s">
        <v>13</v>
      </c>
      <c r="BE135" s="1" t="s">
        <v>14</v>
      </c>
      <c r="BF135" s="1">
        <v>2.1422490000000001</v>
      </c>
      <c r="BG135" s="1">
        <v>18.937481160000001</v>
      </c>
      <c r="BH135" s="1">
        <v>2.1422490000000001</v>
      </c>
      <c r="BI135" s="1">
        <v>0</v>
      </c>
      <c r="BJ135" s="1">
        <v>0</v>
      </c>
      <c r="BK135" s="1" t="s">
        <v>147</v>
      </c>
      <c r="BL135" s="1" t="s">
        <v>148</v>
      </c>
      <c r="BM135" s="1">
        <v>0.95479999999999998</v>
      </c>
      <c r="BN135" s="1">
        <v>0</v>
      </c>
      <c r="BO135" s="1">
        <v>0</v>
      </c>
      <c r="BP135" s="1">
        <v>0</v>
      </c>
      <c r="BQ135" s="1">
        <v>0</v>
      </c>
      <c r="BR135" s="1" t="s">
        <v>17</v>
      </c>
      <c r="BS135" s="1" t="s">
        <v>18</v>
      </c>
      <c r="BT135" s="1">
        <v>0.24753500000000001</v>
      </c>
      <c r="BU135" s="1">
        <v>0</v>
      </c>
      <c r="BV135" s="1">
        <v>0</v>
      </c>
      <c r="BW135" s="1">
        <v>0</v>
      </c>
      <c r="BX135" s="1">
        <v>0</v>
      </c>
      <c r="BY135" s="1" t="s">
        <v>170</v>
      </c>
      <c r="BZ135" s="1" t="s">
        <v>171</v>
      </c>
      <c r="CA135" s="1">
        <v>1.2729299999999999</v>
      </c>
      <c r="CB135" s="1">
        <v>4.2808635900000001</v>
      </c>
      <c r="CC135" s="1">
        <v>0.46589237999999999</v>
      </c>
      <c r="CD135" s="1">
        <v>3.4369110000000001E-2</v>
      </c>
      <c r="CE135" s="1">
        <v>3.564204E-2</v>
      </c>
      <c r="CF135" s="1" t="s">
        <v>266</v>
      </c>
      <c r="CG135" s="1" t="s">
        <v>267</v>
      </c>
      <c r="CH135" s="1">
        <v>3.7590560000000002</v>
      </c>
      <c r="CI135" s="1">
        <v>7.4429308799999996</v>
      </c>
      <c r="CJ135" s="1">
        <v>0.71422063999999996</v>
      </c>
      <c r="CK135" s="1">
        <v>0.17291657599999999</v>
      </c>
      <c r="CL135" s="1">
        <v>9.0217344000000005E-2</v>
      </c>
      <c r="CM135" s="1" t="s">
        <v>42</v>
      </c>
      <c r="CN135" s="1" t="s">
        <v>43</v>
      </c>
      <c r="CO135" s="1">
        <v>1.428166</v>
      </c>
      <c r="CP135" s="1">
        <v>0.41416814000000002</v>
      </c>
      <c r="CQ135" s="1">
        <v>5.7126640000000001E-3</v>
      </c>
      <c r="CR135" s="1">
        <v>9.2830789999999996E-2</v>
      </c>
      <c r="CS135" s="1">
        <v>1.2853494E-2</v>
      </c>
      <c r="CT135" s="1" t="s">
        <v>44</v>
      </c>
      <c r="CU135" s="1" t="s">
        <v>45</v>
      </c>
      <c r="CV135" s="1">
        <v>0.16372600000000001</v>
      </c>
      <c r="CW135" s="1">
        <v>4.9117800000000003E-2</v>
      </c>
      <c r="CX135" s="1">
        <v>1.1460820000000001E-3</v>
      </c>
      <c r="CY135" s="1">
        <v>7.2039440000000003E-3</v>
      </c>
      <c r="CZ135" s="1">
        <v>5.4029580000000002E-3</v>
      </c>
      <c r="DA135" s="1" t="s">
        <v>176</v>
      </c>
      <c r="DB135" t="s">
        <v>557</v>
      </c>
      <c r="DC135" s="1">
        <v>2.8719190000000001</v>
      </c>
      <c r="DD135" s="1">
        <v>25.456690016</v>
      </c>
      <c r="DE135" s="1">
        <v>2.8719190000000001</v>
      </c>
      <c r="DF135" s="1">
        <v>0</v>
      </c>
      <c r="DG135" s="1">
        <v>0</v>
      </c>
    </row>
    <row r="136" spans="1:118" ht="14.25" customHeight="1" x14ac:dyDescent="0.35">
      <c r="A136" s="1" t="s">
        <v>39</v>
      </c>
      <c r="B136" s="2">
        <f t="shared" si="10"/>
        <v>47.964083350000003</v>
      </c>
      <c r="C136" s="2">
        <f t="shared" si="11"/>
        <v>118.00000000000001</v>
      </c>
      <c r="D136" s="2">
        <f t="shared" si="12"/>
        <v>2.491867541</v>
      </c>
      <c r="E136" s="2">
        <f t="shared" si="13"/>
        <v>5.8126979839999997</v>
      </c>
      <c r="F136" s="2">
        <f t="shared" si="14"/>
        <v>2.0748152219999998</v>
      </c>
      <c r="G136" s="1" t="s">
        <v>40</v>
      </c>
      <c r="H136" s="1" t="s">
        <v>41</v>
      </c>
      <c r="I136" s="1">
        <v>114.253265</v>
      </c>
      <c r="J136" s="1">
        <v>28.56331625</v>
      </c>
      <c r="K136" s="1">
        <v>0.34275979499999998</v>
      </c>
      <c r="L136" s="1">
        <v>5.7126632500000003</v>
      </c>
      <c r="M136" s="1">
        <v>2.0565587700000001</v>
      </c>
      <c r="N136" s="1" t="s">
        <v>13</v>
      </c>
      <c r="O136" s="1" t="s">
        <v>14</v>
      </c>
      <c r="P136" s="1">
        <v>2.1422490000000001</v>
      </c>
      <c r="Q136" s="1">
        <v>18.937481160000001</v>
      </c>
      <c r="R136" s="1">
        <v>2.1422490000000001</v>
      </c>
      <c r="S136" s="1">
        <v>0</v>
      </c>
      <c r="T136" s="1">
        <v>0</v>
      </c>
      <c r="U136" s="1" t="s">
        <v>17</v>
      </c>
      <c r="V136" s="1" t="s">
        <v>18</v>
      </c>
      <c r="W136" s="1">
        <v>1.2593999999999999E-2</v>
      </c>
      <c r="X136" s="1">
        <v>0</v>
      </c>
      <c r="Y136" s="1">
        <v>0</v>
      </c>
      <c r="Z136" s="1">
        <v>0</v>
      </c>
      <c r="AA136" s="1">
        <v>0</v>
      </c>
      <c r="AB136" s="1" t="s">
        <v>42</v>
      </c>
      <c r="AC136" s="1" t="s">
        <v>43</v>
      </c>
      <c r="AD136" s="1">
        <v>1.428166</v>
      </c>
      <c r="AE136" s="1">
        <v>0.41416814000000002</v>
      </c>
      <c r="AF136" s="1">
        <v>5.7126640000000001E-3</v>
      </c>
      <c r="AG136" s="1">
        <v>9.2830789999999996E-2</v>
      </c>
      <c r="AH136" s="1">
        <v>1.2853494E-2</v>
      </c>
      <c r="AI136" s="1" t="s">
        <v>44</v>
      </c>
      <c r="AJ136" s="1" t="s">
        <v>45</v>
      </c>
      <c r="AK136" s="1">
        <v>0.16372600000000001</v>
      </c>
      <c r="AL136" s="1">
        <v>4.9117800000000003E-2</v>
      </c>
      <c r="AM136" s="1">
        <v>1.1460820000000001E-3</v>
      </c>
      <c r="AN136" s="1">
        <v>7.2039440000000003E-3</v>
      </c>
      <c r="AO136" s="1">
        <v>5.4029580000000002E-3</v>
      </c>
    </row>
    <row r="137" spans="1:118" ht="14.25" customHeight="1" x14ac:dyDescent="0.35">
      <c r="A137" s="1" t="s">
        <v>6</v>
      </c>
      <c r="B137" s="2">
        <f t="shared" si="10"/>
        <v>144.599003912</v>
      </c>
      <c r="C137" s="2">
        <f t="shared" si="11"/>
        <v>73.999997000000008</v>
      </c>
      <c r="D137" s="2">
        <f t="shared" si="12"/>
        <v>10.264071932</v>
      </c>
      <c r="E137" s="2">
        <f t="shared" si="13"/>
        <v>11.957067820000001</v>
      </c>
      <c r="F137" s="2">
        <f t="shared" si="14"/>
        <v>3.1990767760000005</v>
      </c>
      <c r="G137" s="1" t="s">
        <v>7</v>
      </c>
      <c r="H137" s="1" t="s">
        <v>8</v>
      </c>
      <c r="I137" s="1">
        <v>15.572240000000001</v>
      </c>
      <c r="J137" s="1">
        <v>5.2945615999999998</v>
      </c>
      <c r="K137" s="1">
        <v>0.10900567999999999</v>
      </c>
      <c r="L137" s="1">
        <v>1.0589123199999999</v>
      </c>
      <c r="M137" s="1">
        <v>0.10900567999999999</v>
      </c>
      <c r="N137" s="1" t="s">
        <v>9</v>
      </c>
      <c r="O137" s="1" t="s">
        <v>10</v>
      </c>
      <c r="P137" s="1">
        <v>23.358357999999999</v>
      </c>
      <c r="Q137" s="1">
        <v>37.373372799999999</v>
      </c>
      <c r="R137" s="1">
        <v>3.5037536999999999</v>
      </c>
      <c r="S137" s="1">
        <v>2.10225222</v>
      </c>
      <c r="T137" s="1">
        <v>0.46716716000000003</v>
      </c>
      <c r="U137" s="1" t="s">
        <v>11</v>
      </c>
      <c r="V137" s="1" t="s">
        <v>12</v>
      </c>
      <c r="W137" s="1">
        <v>13.732376</v>
      </c>
      <c r="X137" s="1">
        <v>39.233398231999999</v>
      </c>
      <c r="Y137" s="1">
        <v>1.263378592</v>
      </c>
      <c r="Z137" s="1">
        <v>6.7288642400000001</v>
      </c>
      <c r="AA137" s="1">
        <v>0.56302741599999995</v>
      </c>
      <c r="AB137" s="1" t="s">
        <v>13</v>
      </c>
      <c r="AC137" s="1" t="s">
        <v>14</v>
      </c>
      <c r="AD137" s="1">
        <v>3.8930600000000002</v>
      </c>
      <c r="AE137" s="1">
        <v>34.414650399999999</v>
      </c>
      <c r="AF137" s="1">
        <v>3.8930600000000002</v>
      </c>
      <c r="AG137" s="1">
        <v>0</v>
      </c>
      <c r="AH137" s="1">
        <v>0</v>
      </c>
      <c r="AI137" s="1" t="s">
        <v>15</v>
      </c>
      <c r="AJ137" s="1" t="s">
        <v>16</v>
      </c>
      <c r="AK137" s="1">
        <v>15.572240000000001</v>
      </c>
      <c r="AL137" s="1">
        <v>18.9981328</v>
      </c>
      <c r="AM137" s="1">
        <v>0.79418423999999999</v>
      </c>
      <c r="AN137" s="1">
        <v>1.5260795199999999</v>
      </c>
      <c r="AO137" s="1">
        <v>1.7129464000000001</v>
      </c>
      <c r="AP137" s="1" t="s">
        <v>17</v>
      </c>
      <c r="AQ137" s="1" t="s">
        <v>18</v>
      </c>
      <c r="AR137" s="1">
        <v>4.5775000000000003E-2</v>
      </c>
      <c r="AS137" s="1">
        <v>0</v>
      </c>
      <c r="AT137" s="1">
        <v>0</v>
      </c>
      <c r="AU137" s="1">
        <v>0</v>
      </c>
      <c r="AV137" s="1">
        <v>0</v>
      </c>
      <c r="AW137" s="1" t="s">
        <v>19</v>
      </c>
      <c r="AX137" s="1" t="s">
        <v>20</v>
      </c>
      <c r="AY137" s="1">
        <v>1.14116</v>
      </c>
      <c r="AZ137" s="1">
        <v>6.2307335999999998</v>
      </c>
      <c r="BA137" s="1">
        <v>0.57057999999999998</v>
      </c>
      <c r="BB137" s="1">
        <v>0.17117399999999999</v>
      </c>
      <c r="BC137" s="1">
        <v>0.2168204</v>
      </c>
      <c r="BD137" s="1" t="s">
        <v>21</v>
      </c>
      <c r="BE137" s="1" t="s">
        <v>22</v>
      </c>
      <c r="BF137" s="1">
        <v>0.68478799999999995</v>
      </c>
      <c r="BG137" s="1">
        <v>3.0541544799999998</v>
      </c>
      <c r="BH137" s="1">
        <v>0.13010972000000001</v>
      </c>
      <c r="BI137" s="1">
        <v>0.36978551999999998</v>
      </c>
      <c r="BJ137" s="1">
        <v>0.13010972000000001</v>
      </c>
    </row>
    <row r="138" spans="1:118" ht="14.25" customHeight="1" x14ac:dyDescent="0.35">
      <c r="A138" s="1" t="s">
        <v>210</v>
      </c>
      <c r="B138" s="2">
        <f t="shared" si="10"/>
        <v>194.25338464699999</v>
      </c>
      <c r="C138" s="2">
        <f t="shared" si="11"/>
        <v>142.99999800000001</v>
      </c>
      <c r="D138" s="2">
        <f t="shared" si="12"/>
        <v>7.8577349689999991</v>
      </c>
      <c r="E138" s="2">
        <f t="shared" si="13"/>
        <v>6.8227555419999995</v>
      </c>
      <c r="F138" s="2">
        <f t="shared" si="14"/>
        <v>23.142958425000003</v>
      </c>
      <c r="G138" s="1" t="s">
        <v>108</v>
      </c>
      <c r="H138" s="1" t="s">
        <v>109</v>
      </c>
      <c r="I138" s="1">
        <v>69.466469000000004</v>
      </c>
      <c r="J138" s="1">
        <v>114.61967385</v>
      </c>
      <c r="K138" s="1">
        <v>2.500792884</v>
      </c>
      <c r="L138" s="1">
        <v>0</v>
      </c>
      <c r="M138" s="1">
        <v>21.534605389999999</v>
      </c>
      <c r="N138" s="1" t="s">
        <v>95</v>
      </c>
      <c r="O138" s="1" t="s">
        <v>96</v>
      </c>
      <c r="P138" s="1">
        <v>2.8944359999999998</v>
      </c>
      <c r="Q138" s="1">
        <v>1.1577744000000001</v>
      </c>
      <c r="R138" s="1">
        <v>2.8944359999999998E-3</v>
      </c>
      <c r="S138" s="1">
        <v>0.26049924000000002</v>
      </c>
      <c r="T138" s="1">
        <v>3.1838796000000003E-2</v>
      </c>
      <c r="U138" s="1" t="s">
        <v>77</v>
      </c>
      <c r="V138" s="1" t="s">
        <v>78</v>
      </c>
      <c r="W138" s="1">
        <v>1.6335729999999999</v>
      </c>
      <c r="X138" s="1">
        <v>2.43402377</v>
      </c>
      <c r="Y138" s="1">
        <v>8.1678649999999998E-3</v>
      </c>
      <c r="Z138" s="1">
        <v>0.53907908999999998</v>
      </c>
      <c r="AA138" s="1">
        <v>0.104548672</v>
      </c>
      <c r="AB138" s="1" t="s">
        <v>147</v>
      </c>
      <c r="AC138" s="1" t="s">
        <v>148</v>
      </c>
      <c r="AD138" s="1">
        <v>1.1577740000000001</v>
      </c>
      <c r="AE138" s="1">
        <v>0</v>
      </c>
      <c r="AF138" s="1">
        <v>0</v>
      </c>
      <c r="AG138" s="1">
        <v>0</v>
      </c>
      <c r="AH138" s="1">
        <v>0</v>
      </c>
      <c r="AI138" s="1" t="s">
        <v>17</v>
      </c>
      <c r="AJ138" s="1" t="s">
        <v>18</v>
      </c>
      <c r="AK138" s="1">
        <v>0.69682100000000002</v>
      </c>
      <c r="AL138" s="1">
        <v>0</v>
      </c>
      <c r="AM138" s="1">
        <v>0</v>
      </c>
      <c r="AN138" s="1">
        <v>0</v>
      </c>
      <c r="AO138" s="1">
        <v>0</v>
      </c>
      <c r="AP138" s="1" t="s">
        <v>168</v>
      </c>
      <c r="AQ138" s="1" t="s">
        <v>169</v>
      </c>
      <c r="AR138" s="1">
        <v>20.839943000000002</v>
      </c>
      <c r="AS138" s="1">
        <v>0</v>
      </c>
      <c r="AT138" s="1">
        <v>0</v>
      </c>
      <c r="AU138" s="1">
        <v>0</v>
      </c>
      <c r="AV138" s="1">
        <v>0</v>
      </c>
      <c r="AW138" s="1" t="s">
        <v>211</v>
      </c>
      <c r="AX138" s="1" t="s">
        <v>212</v>
      </c>
      <c r="AY138" s="1">
        <v>2.3155489999999999</v>
      </c>
      <c r="AZ138" s="1">
        <v>0.69466470000000002</v>
      </c>
      <c r="BA138" s="1">
        <v>4.6310980000000002E-3</v>
      </c>
      <c r="BB138" s="1">
        <v>0.24313264500000001</v>
      </c>
      <c r="BC138" s="1">
        <v>1.6208843000000001E-2</v>
      </c>
      <c r="BD138" s="1" t="s">
        <v>213</v>
      </c>
      <c r="BE138" s="1" t="s">
        <v>214</v>
      </c>
      <c r="BF138" s="1">
        <v>13.893293999999999</v>
      </c>
      <c r="BG138" s="1">
        <v>19.867410419999999</v>
      </c>
      <c r="BH138" s="1">
        <v>9.7253058000000003E-2</v>
      </c>
      <c r="BI138" s="1">
        <v>3.6122564399999999</v>
      </c>
      <c r="BJ138" s="1">
        <v>1.2503964599999999</v>
      </c>
      <c r="BK138" s="1" t="s">
        <v>172</v>
      </c>
      <c r="BL138" s="1" t="s">
        <v>173</v>
      </c>
      <c r="BM138" s="1">
        <v>1.013053</v>
      </c>
      <c r="BN138" s="1">
        <v>0.230976084</v>
      </c>
      <c r="BO138" s="1">
        <v>5.0652650000000002E-3</v>
      </c>
      <c r="BP138" s="1">
        <v>3.7482961000000002E-2</v>
      </c>
      <c r="BQ138" s="1">
        <v>2.2287166000000001E-2</v>
      </c>
      <c r="BR138" s="1" t="s">
        <v>89</v>
      </c>
      <c r="BS138" s="1" t="s">
        <v>90</v>
      </c>
      <c r="BT138" s="1">
        <v>0.72360899999999995</v>
      </c>
      <c r="BU138" s="1">
        <v>0.26845893900000001</v>
      </c>
      <c r="BV138" s="1">
        <v>5.7888719999999996E-3</v>
      </c>
      <c r="BW138" s="1">
        <v>4.6310975999999997E-2</v>
      </c>
      <c r="BX138" s="1">
        <v>2.0984661000000002E-2</v>
      </c>
      <c r="BY138" s="1" t="s">
        <v>215</v>
      </c>
      <c r="BZ138" s="1" t="s">
        <v>216</v>
      </c>
      <c r="CA138" s="1">
        <v>23.155491000000001</v>
      </c>
      <c r="CB138" s="1">
        <v>8.7990865800000009</v>
      </c>
      <c r="CC138" s="1">
        <v>2.3155491E-2</v>
      </c>
      <c r="CD138" s="1">
        <v>2.0839941899999999</v>
      </c>
      <c r="CE138" s="1">
        <v>0.162088437</v>
      </c>
      <c r="CF138" s="1" t="s">
        <v>176</v>
      </c>
      <c r="CG138" t="s">
        <v>557</v>
      </c>
      <c r="CH138" s="1">
        <v>5.2099859999999998</v>
      </c>
      <c r="CI138" s="1">
        <v>46.181315904000002</v>
      </c>
      <c r="CJ138" s="1">
        <v>5.2099859999999998</v>
      </c>
      <c r="CK138" s="1">
        <v>0</v>
      </c>
      <c r="CL138" s="1">
        <v>0</v>
      </c>
    </row>
    <row r="139" spans="1:118" ht="14.25" customHeight="1" x14ac:dyDescent="0.35">
      <c r="A139" s="1" t="s">
        <v>393</v>
      </c>
      <c r="B139" s="2">
        <f t="shared" si="10"/>
        <v>210.99</v>
      </c>
      <c r="C139" s="2">
        <f t="shared" si="11"/>
        <v>39</v>
      </c>
      <c r="D139" s="2">
        <f t="shared" si="12"/>
        <v>16.38</v>
      </c>
      <c r="E139" s="2">
        <f t="shared" si="13"/>
        <v>0.54600000000000004</v>
      </c>
      <c r="F139" s="2">
        <f t="shared" si="14"/>
        <v>14.43</v>
      </c>
      <c r="G139" s="1" t="s">
        <v>69</v>
      </c>
      <c r="H139" s="1" t="s">
        <v>70</v>
      </c>
      <c r="I139" s="1">
        <v>39</v>
      </c>
      <c r="J139" s="1">
        <v>210.99</v>
      </c>
      <c r="K139" s="1">
        <v>16.38</v>
      </c>
      <c r="L139" s="1">
        <v>0.54600000000000004</v>
      </c>
      <c r="M139" s="1">
        <v>14.43</v>
      </c>
    </row>
    <row r="140" spans="1:118" ht="14.25" customHeight="1" x14ac:dyDescent="0.35">
      <c r="A140" s="1" t="s">
        <v>100</v>
      </c>
      <c r="B140" s="2">
        <f t="shared" si="10"/>
        <v>102.66</v>
      </c>
      <c r="C140" s="2">
        <f t="shared" si="11"/>
        <v>174</v>
      </c>
      <c r="D140" s="2">
        <f t="shared" si="12"/>
        <v>0.69599999999999995</v>
      </c>
      <c r="E140" s="2">
        <f t="shared" si="13"/>
        <v>6.2640000000000002</v>
      </c>
      <c r="F140" s="2">
        <f t="shared" si="14"/>
        <v>17.399999999999999</v>
      </c>
      <c r="G140" s="1" t="s">
        <v>101</v>
      </c>
      <c r="H140" s="1" t="s">
        <v>102</v>
      </c>
      <c r="I140" s="1">
        <v>174</v>
      </c>
      <c r="J140" s="1">
        <v>102.66</v>
      </c>
      <c r="K140" s="1">
        <v>0.69599999999999995</v>
      </c>
      <c r="L140" s="1">
        <v>6.2640000000000002</v>
      </c>
      <c r="M140" s="1">
        <v>17.399999999999999</v>
      </c>
    </row>
    <row r="141" spans="1:118" ht="14.25" customHeight="1" x14ac:dyDescent="0.35">
      <c r="A141" s="1" t="s">
        <v>32</v>
      </c>
      <c r="B141" s="2">
        <f t="shared" si="10"/>
        <v>251.44499999999999</v>
      </c>
      <c r="C141" s="2">
        <f t="shared" si="11"/>
        <v>274</v>
      </c>
      <c r="D141" s="2">
        <f t="shared" si="12"/>
        <v>9.9220000000000006</v>
      </c>
      <c r="E141" s="2">
        <f t="shared" si="13"/>
        <v>17.648499999999999</v>
      </c>
      <c r="F141" s="2">
        <f t="shared" si="14"/>
        <v>20.945499999999999</v>
      </c>
      <c r="G141" s="1" t="s">
        <v>33</v>
      </c>
      <c r="H141" s="1" t="s">
        <v>34</v>
      </c>
      <c r="I141" s="1">
        <v>43</v>
      </c>
      <c r="J141" s="1">
        <v>140.18</v>
      </c>
      <c r="K141" s="1">
        <v>9.4600000000000009</v>
      </c>
      <c r="L141" s="1">
        <v>13.76</v>
      </c>
      <c r="M141" s="1">
        <v>1.1180000000000001</v>
      </c>
      <c r="N141" s="1" t="s">
        <v>35</v>
      </c>
      <c r="O141" s="1" t="s">
        <v>36</v>
      </c>
      <c r="P141" s="1">
        <v>192.5</v>
      </c>
      <c r="Q141" s="1">
        <v>100.1</v>
      </c>
      <c r="R141" s="1">
        <v>0.38500000000000001</v>
      </c>
      <c r="S141" s="1">
        <v>1.3474999999999999</v>
      </c>
      <c r="T141" s="1">
        <v>19.25</v>
      </c>
      <c r="U141" s="1" t="s">
        <v>37</v>
      </c>
      <c r="V141" s="1" t="s">
        <v>38</v>
      </c>
      <c r="W141" s="1">
        <v>38.5</v>
      </c>
      <c r="X141" s="1">
        <v>11.164999999999999</v>
      </c>
      <c r="Y141" s="1">
        <v>7.6999999999999999E-2</v>
      </c>
      <c r="Z141" s="1">
        <v>2.5409999999999999</v>
      </c>
      <c r="AA141" s="1">
        <v>0.57750000000000001</v>
      </c>
    </row>
    <row r="142" spans="1:118" ht="14.25" customHeight="1" x14ac:dyDescent="0.35">
      <c r="A142" s="1" t="s">
        <v>466</v>
      </c>
      <c r="B142" s="2">
        <f t="shared" si="10"/>
        <v>140.18</v>
      </c>
      <c r="C142" s="2">
        <f t="shared" si="11"/>
        <v>43</v>
      </c>
      <c r="D142" s="2">
        <f t="shared" si="12"/>
        <v>9.4600000000000009</v>
      </c>
      <c r="E142" s="2">
        <f t="shared" si="13"/>
        <v>13.76</v>
      </c>
      <c r="F142" s="2">
        <f t="shared" si="14"/>
        <v>1.1180000000000001</v>
      </c>
      <c r="G142" s="1" t="s">
        <v>33</v>
      </c>
      <c r="H142" s="1" t="s">
        <v>34</v>
      </c>
      <c r="I142" s="1">
        <v>43</v>
      </c>
      <c r="J142" s="1">
        <v>140.18</v>
      </c>
      <c r="K142" s="1">
        <v>9.4600000000000009</v>
      </c>
      <c r="L142" s="1">
        <v>13.76</v>
      </c>
      <c r="M142" s="1">
        <v>1.1180000000000001</v>
      </c>
    </row>
    <row r="143" spans="1:118" ht="14.25" customHeight="1" x14ac:dyDescent="0.35">
      <c r="A143" s="1" t="s">
        <v>304</v>
      </c>
      <c r="B143" s="2">
        <f t="shared" si="10"/>
        <v>302.815</v>
      </c>
      <c r="C143" s="2">
        <f t="shared" si="11"/>
        <v>276</v>
      </c>
      <c r="D143" s="2">
        <f t="shared" si="12"/>
        <v>21.432000000000002</v>
      </c>
      <c r="E143" s="2">
        <f t="shared" si="13"/>
        <v>6.8360000000000003</v>
      </c>
      <c r="F143" s="2">
        <f t="shared" si="14"/>
        <v>20.322500000000002</v>
      </c>
      <c r="G143" s="1" t="s">
        <v>30</v>
      </c>
      <c r="H143" s="1" t="s">
        <v>31</v>
      </c>
      <c r="I143" s="1">
        <v>192.5</v>
      </c>
      <c r="J143" s="1">
        <v>284.89999999999998</v>
      </c>
      <c r="K143" s="1">
        <v>21.175000000000001</v>
      </c>
      <c r="L143" s="1">
        <v>3.08</v>
      </c>
      <c r="M143" s="1">
        <v>19.25</v>
      </c>
      <c r="N143" s="1" t="s">
        <v>37</v>
      </c>
      <c r="O143" s="1" t="s">
        <v>38</v>
      </c>
      <c r="P143" s="1">
        <v>38.5</v>
      </c>
      <c r="Q143" s="1">
        <v>11.164999999999999</v>
      </c>
      <c r="R143" s="1">
        <v>7.6999999999999999E-2</v>
      </c>
      <c r="S143" s="1">
        <v>2.5409999999999999</v>
      </c>
      <c r="T143" s="1">
        <v>0.57750000000000001</v>
      </c>
      <c r="U143" s="1" t="s">
        <v>251</v>
      </c>
      <c r="V143" s="1" t="s">
        <v>252</v>
      </c>
      <c r="W143" s="1">
        <v>45</v>
      </c>
      <c r="X143" s="1">
        <v>6.75</v>
      </c>
      <c r="Y143" s="1">
        <v>0.18</v>
      </c>
      <c r="Z143" s="1">
        <v>1.2150000000000001</v>
      </c>
      <c r="AA143" s="1">
        <v>0.495</v>
      </c>
    </row>
    <row r="144" spans="1:118" ht="14.25" customHeight="1" x14ac:dyDescent="0.35">
      <c r="A144" s="1" t="s">
        <v>293</v>
      </c>
      <c r="B144" s="2">
        <f t="shared" si="10"/>
        <v>296.065</v>
      </c>
      <c r="C144" s="2">
        <f t="shared" si="11"/>
        <v>231</v>
      </c>
      <c r="D144" s="2">
        <f t="shared" si="12"/>
        <v>21.252000000000002</v>
      </c>
      <c r="E144" s="2">
        <f t="shared" si="13"/>
        <v>5.6210000000000004</v>
      </c>
      <c r="F144" s="2">
        <f t="shared" si="14"/>
        <v>19.827500000000001</v>
      </c>
      <c r="G144" s="1" t="s">
        <v>30</v>
      </c>
      <c r="H144" s="1" t="s">
        <v>31</v>
      </c>
      <c r="I144" s="1">
        <v>192.5</v>
      </c>
      <c r="J144" s="1">
        <v>284.89999999999998</v>
      </c>
      <c r="K144" s="1">
        <v>21.175000000000001</v>
      </c>
      <c r="L144" s="1">
        <v>3.08</v>
      </c>
      <c r="M144" s="1">
        <v>19.25</v>
      </c>
      <c r="N144" s="1" t="s">
        <v>37</v>
      </c>
      <c r="O144" s="1" t="s">
        <v>38</v>
      </c>
      <c r="P144" s="1">
        <v>38.5</v>
      </c>
      <c r="Q144" s="1">
        <v>11.164999999999999</v>
      </c>
      <c r="R144" s="1">
        <v>7.6999999999999999E-2</v>
      </c>
      <c r="S144" s="1">
        <v>2.5409999999999999</v>
      </c>
      <c r="T144" s="1">
        <v>0.57750000000000001</v>
      </c>
    </row>
    <row r="145" spans="1:132" ht="14.25" customHeight="1" x14ac:dyDescent="0.35">
      <c r="A145" s="1" t="s">
        <v>380</v>
      </c>
      <c r="B145" s="2">
        <f t="shared" si="10"/>
        <v>516.14699999999993</v>
      </c>
      <c r="C145" s="2">
        <f t="shared" si="11"/>
        <v>271</v>
      </c>
      <c r="D145" s="2">
        <f t="shared" si="12"/>
        <v>33.618000000000002</v>
      </c>
      <c r="E145" s="2">
        <f t="shared" si="13"/>
        <v>20.214000000000002</v>
      </c>
      <c r="F145" s="2">
        <f t="shared" si="14"/>
        <v>31.928000000000001</v>
      </c>
      <c r="G145" s="1" t="s">
        <v>69</v>
      </c>
      <c r="H145" s="1" t="s">
        <v>70</v>
      </c>
      <c r="I145" s="1">
        <v>43</v>
      </c>
      <c r="J145" s="1">
        <v>232.63</v>
      </c>
      <c r="K145" s="1">
        <v>18.059999999999999</v>
      </c>
      <c r="L145" s="1">
        <v>0.60199999999999998</v>
      </c>
      <c r="M145" s="1">
        <v>15.91</v>
      </c>
      <c r="N145" s="1" t="s">
        <v>30</v>
      </c>
      <c r="O145" s="1" t="s">
        <v>31</v>
      </c>
      <c r="P145" s="1">
        <v>130</v>
      </c>
      <c r="Q145" s="1">
        <v>192.4</v>
      </c>
      <c r="R145" s="1">
        <v>14.3</v>
      </c>
      <c r="S145" s="1">
        <v>2.08</v>
      </c>
      <c r="T145" s="1">
        <v>13</v>
      </c>
      <c r="U145" s="1" t="s">
        <v>71</v>
      </c>
      <c r="V145" s="1" t="s">
        <v>72</v>
      </c>
      <c r="W145" s="1">
        <v>51</v>
      </c>
      <c r="X145" s="1">
        <v>80.427000000000007</v>
      </c>
      <c r="Y145" s="1">
        <v>1.1220000000000001</v>
      </c>
      <c r="Z145" s="1">
        <v>15.249000000000001</v>
      </c>
      <c r="AA145" s="1">
        <v>2.3969999999999998</v>
      </c>
      <c r="AB145" s="1" t="s">
        <v>37</v>
      </c>
      <c r="AC145" s="1" t="s">
        <v>38</v>
      </c>
      <c r="AD145" s="1">
        <v>26</v>
      </c>
      <c r="AE145" s="1">
        <v>7.54</v>
      </c>
      <c r="AF145" s="1">
        <v>5.1999999999999998E-2</v>
      </c>
      <c r="AG145" s="1">
        <v>1.716</v>
      </c>
      <c r="AH145" s="1">
        <v>0.39</v>
      </c>
      <c r="AI145" s="1" t="s">
        <v>251</v>
      </c>
      <c r="AJ145" s="1" t="s">
        <v>252</v>
      </c>
      <c r="AK145" s="1">
        <v>21</v>
      </c>
      <c r="AL145" s="1">
        <v>3.15</v>
      </c>
      <c r="AM145" s="1">
        <v>8.4000000000000005E-2</v>
      </c>
      <c r="AN145" s="1">
        <v>0.56699999999999995</v>
      </c>
      <c r="AO145" s="1">
        <v>0.23100000000000001</v>
      </c>
    </row>
    <row r="146" spans="1:132" ht="14.25" customHeight="1" x14ac:dyDescent="0.35">
      <c r="A146" s="1" t="s">
        <v>465</v>
      </c>
      <c r="B146" s="2">
        <f t="shared" si="10"/>
        <v>512.99699999999996</v>
      </c>
      <c r="C146" s="2">
        <f t="shared" si="11"/>
        <v>250</v>
      </c>
      <c r="D146" s="2">
        <f t="shared" si="12"/>
        <v>33.533999999999999</v>
      </c>
      <c r="E146" s="2">
        <f t="shared" si="13"/>
        <v>19.647000000000002</v>
      </c>
      <c r="F146" s="2">
        <f t="shared" si="14"/>
        <v>31.696999999999999</v>
      </c>
      <c r="G146" s="1" t="s">
        <v>69</v>
      </c>
      <c r="H146" s="1" t="s">
        <v>70</v>
      </c>
      <c r="I146" s="1">
        <v>43</v>
      </c>
      <c r="J146" s="1">
        <v>232.63</v>
      </c>
      <c r="K146" s="1">
        <v>18.059999999999999</v>
      </c>
      <c r="L146" s="1">
        <v>0.60199999999999998</v>
      </c>
      <c r="M146" s="1">
        <v>15.91</v>
      </c>
      <c r="N146" s="1" t="s">
        <v>30</v>
      </c>
      <c r="O146" s="1" t="s">
        <v>31</v>
      </c>
      <c r="P146" s="1">
        <v>130</v>
      </c>
      <c r="Q146" s="1">
        <v>192.4</v>
      </c>
      <c r="R146" s="1">
        <v>14.3</v>
      </c>
      <c r="S146" s="1">
        <v>2.08</v>
      </c>
      <c r="T146" s="1">
        <v>13</v>
      </c>
      <c r="U146" s="1" t="s">
        <v>71</v>
      </c>
      <c r="V146" s="1" t="s">
        <v>72</v>
      </c>
      <c r="W146" s="1">
        <v>51</v>
      </c>
      <c r="X146" s="1">
        <v>80.427000000000007</v>
      </c>
      <c r="Y146" s="1">
        <v>1.1220000000000001</v>
      </c>
      <c r="Z146" s="1">
        <v>15.249000000000001</v>
      </c>
      <c r="AA146" s="1">
        <v>2.3969999999999998</v>
      </c>
      <c r="AB146" s="1" t="s">
        <v>37</v>
      </c>
      <c r="AC146" s="1" t="s">
        <v>38</v>
      </c>
      <c r="AD146" s="1">
        <v>26</v>
      </c>
      <c r="AE146" s="1">
        <v>7.54</v>
      </c>
      <c r="AF146" s="1">
        <v>5.1999999999999998E-2</v>
      </c>
      <c r="AG146" s="1">
        <v>1.716</v>
      </c>
      <c r="AH146" s="1">
        <v>0.39</v>
      </c>
    </row>
    <row r="147" spans="1:132" ht="14.25" customHeight="1" x14ac:dyDescent="0.35">
      <c r="A147" s="1" t="s">
        <v>399</v>
      </c>
      <c r="B147" s="2">
        <f t="shared" si="10"/>
        <v>432.57</v>
      </c>
      <c r="C147" s="2">
        <f t="shared" si="11"/>
        <v>199</v>
      </c>
      <c r="D147" s="2">
        <f t="shared" si="12"/>
        <v>32.411999999999999</v>
      </c>
      <c r="E147" s="2">
        <f t="shared" si="13"/>
        <v>4.3979999999999997</v>
      </c>
      <c r="F147" s="2">
        <f t="shared" si="14"/>
        <v>29.3</v>
      </c>
      <c r="G147" s="1" t="s">
        <v>69</v>
      </c>
      <c r="H147" s="1" t="s">
        <v>70</v>
      </c>
      <c r="I147" s="1">
        <v>43</v>
      </c>
      <c r="J147" s="1">
        <v>232.63</v>
      </c>
      <c r="K147" s="1">
        <v>18.059999999999999</v>
      </c>
      <c r="L147" s="1">
        <v>0.60199999999999998</v>
      </c>
      <c r="M147" s="1">
        <v>15.91</v>
      </c>
      <c r="N147" s="1" t="s">
        <v>30</v>
      </c>
      <c r="O147" s="1" t="s">
        <v>31</v>
      </c>
      <c r="P147" s="1">
        <v>130</v>
      </c>
      <c r="Q147" s="1">
        <v>192.4</v>
      </c>
      <c r="R147" s="1">
        <v>14.3</v>
      </c>
      <c r="S147" s="1">
        <v>2.08</v>
      </c>
      <c r="T147" s="1">
        <v>13</v>
      </c>
      <c r="U147" s="1" t="s">
        <v>37</v>
      </c>
      <c r="V147" s="1" t="s">
        <v>38</v>
      </c>
      <c r="W147" s="1">
        <v>26</v>
      </c>
      <c r="X147" s="1">
        <v>7.54</v>
      </c>
      <c r="Y147" s="1">
        <v>5.1999999999999998E-2</v>
      </c>
      <c r="Z147" s="1">
        <v>1.716</v>
      </c>
      <c r="AA147" s="1">
        <v>0.39</v>
      </c>
    </row>
    <row r="148" spans="1:132" ht="14.25" customHeight="1" x14ac:dyDescent="0.35">
      <c r="A148" s="1" t="s">
        <v>482</v>
      </c>
      <c r="B148" s="2">
        <f t="shared" si="10"/>
        <v>199.94</v>
      </c>
      <c r="C148" s="2">
        <f t="shared" si="11"/>
        <v>156</v>
      </c>
      <c r="D148" s="2">
        <f t="shared" si="12"/>
        <v>14.352</v>
      </c>
      <c r="E148" s="2">
        <f t="shared" si="13"/>
        <v>3.7960000000000003</v>
      </c>
      <c r="F148" s="2">
        <f t="shared" si="14"/>
        <v>13.39</v>
      </c>
      <c r="G148" s="1" t="s">
        <v>30</v>
      </c>
      <c r="H148" s="1" t="s">
        <v>31</v>
      </c>
      <c r="I148" s="1">
        <v>130</v>
      </c>
      <c r="J148" s="1">
        <v>192.4</v>
      </c>
      <c r="K148" s="1">
        <v>14.3</v>
      </c>
      <c r="L148" s="1">
        <v>2.08</v>
      </c>
      <c r="M148" s="1">
        <v>13</v>
      </c>
      <c r="N148" s="1" t="s">
        <v>37</v>
      </c>
      <c r="O148" s="1" t="s">
        <v>38</v>
      </c>
      <c r="P148" s="1">
        <v>26</v>
      </c>
      <c r="Q148" s="1">
        <v>7.54</v>
      </c>
      <c r="R148" s="1">
        <v>5.1999999999999998E-2</v>
      </c>
      <c r="S148" s="1">
        <v>1.716</v>
      </c>
      <c r="T148" s="1">
        <v>0.39</v>
      </c>
    </row>
    <row r="149" spans="1:132" ht="14.25" customHeight="1" x14ac:dyDescent="0.35">
      <c r="A149" s="1" t="s">
        <v>513</v>
      </c>
      <c r="B149" s="2">
        <f t="shared" si="10"/>
        <v>260.7</v>
      </c>
      <c r="C149" s="2">
        <f t="shared" si="11"/>
        <v>165</v>
      </c>
      <c r="D149" s="2">
        <f t="shared" si="12"/>
        <v>1.4850000000000001</v>
      </c>
      <c r="E149" s="2">
        <f t="shared" si="13"/>
        <v>51.15</v>
      </c>
      <c r="F149" s="2">
        <f t="shared" si="14"/>
        <v>9.9</v>
      </c>
      <c r="G149" s="1" t="s">
        <v>404</v>
      </c>
      <c r="H149" s="1" t="s">
        <v>405</v>
      </c>
      <c r="I149" s="1">
        <v>165</v>
      </c>
      <c r="J149" s="1">
        <v>260.7</v>
      </c>
      <c r="K149" s="1">
        <v>1.4850000000000001</v>
      </c>
      <c r="L149" s="1">
        <v>51.15</v>
      </c>
      <c r="M149" s="1">
        <v>9.9</v>
      </c>
    </row>
    <row r="150" spans="1:132" ht="14.25" customHeight="1" x14ac:dyDescent="0.35">
      <c r="A150" s="1" t="s">
        <v>351</v>
      </c>
      <c r="B150" s="2">
        <f t="shared" si="10"/>
        <v>108.01073502</v>
      </c>
      <c r="C150" s="2">
        <f t="shared" si="11"/>
        <v>107.00000099999998</v>
      </c>
      <c r="D150" s="2">
        <f t="shared" si="12"/>
        <v>10.210233945999999</v>
      </c>
      <c r="E150" s="2">
        <f t="shared" si="13"/>
        <v>3.9558804239999996</v>
      </c>
      <c r="F150" s="2">
        <f t="shared" si="14"/>
        <v>1.4574460529999997</v>
      </c>
      <c r="G150" s="1" t="s">
        <v>352</v>
      </c>
      <c r="H150" s="1" t="s">
        <v>353</v>
      </c>
      <c r="I150" s="1">
        <v>37.434401999999999</v>
      </c>
      <c r="J150" s="1">
        <v>10.48163256</v>
      </c>
      <c r="K150" s="1">
        <v>0.14973760799999999</v>
      </c>
      <c r="L150" s="1">
        <v>1.9840233060000001</v>
      </c>
      <c r="M150" s="1">
        <v>0.82355684399999995</v>
      </c>
      <c r="N150" s="1" t="s">
        <v>354</v>
      </c>
      <c r="O150" s="1" t="s">
        <v>355</v>
      </c>
      <c r="P150" s="1">
        <v>24.956268000000001</v>
      </c>
      <c r="Q150" s="1">
        <v>3.7434402000000002</v>
      </c>
      <c r="R150" s="1">
        <v>4.9912536E-2</v>
      </c>
      <c r="S150" s="1">
        <v>0.72373177200000005</v>
      </c>
      <c r="T150" s="1">
        <v>0.349387752</v>
      </c>
      <c r="U150" s="1" t="s">
        <v>139</v>
      </c>
      <c r="V150" s="1" t="s">
        <v>140</v>
      </c>
      <c r="W150" s="1">
        <v>12.478134000000001</v>
      </c>
      <c r="X150" s="1">
        <v>1.2478134000000001</v>
      </c>
      <c r="Y150" s="1">
        <v>0</v>
      </c>
      <c r="Z150" s="1">
        <v>0.24956268000000001</v>
      </c>
      <c r="AA150" s="1">
        <v>0.12478134</v>
      </c>
      <c r="AB150" s="1" t="s">
        <v>95</v>
      </c>
      <c r="AC150" s="1" t="s">
        <v>96</v>
      </c>
      <c r="AD150" s="1">
        <v>4.9912539999999996</v>
      </c>
      <c r="AE150" s="1">
        <v>1.9965016</v>
      </c>
      <c r="AF150" s="1">
        <v>4.9912539999999997E-3</v>
      </c>
      <c r="AG150" s="1">
        <v>0.44921285999999999</v>
      </c>
      <c r="AH150" s="1">
        <v>5.4903793999999999E-2</v>
      </c>
      <c r="AI150" s="1" t="s">
        <v>13</v>
      </c>
      <c r="AJ150" s="1" t="s">
        <v>14</v>
      </c>
      <c r="AK150" s="1">
        <v>9.9825079999999993</v>
      </c>
      <c r="AL150" s="1">
        <v>88.245370719999997</v>
      </c>
      <c r="AM150" s="1">
        <v>9.9825079999999993</v>
      </c>
      <c r="AN150" s="1">
        <v>0</v>
      </c>
      <c r="AO150" s="1">
        <v>0</v>
      </c>
      <c r="AP150" s="1" t="s">
        <v>147</v>
      </c>
      <c r="AQ150" s="1" t="s">
        <v>148</v>
      </c>
      <c r="AR150" s="1">
        <v>4.9912539999999996</v>
      </c>
      <c r="AS150" s="1">
        <v>0</v>
      </c>
      <c r="AT150" s="1">
        <v>0</v>
      </c>
      <c r="AU150" s="1">
        <v>0</v>
      </c>
      <c r="AV150" s="1">
        <v>0</v>
      </c>
      <c r="AW150" s="1" t="s">
        <v>17</v>
      </c>
      <c r="AX150" s="1" t="s">
        <v>18</v>
      </c>
      <c r="AY150" s="1">
        <v>0.62390699999999999</v>
      </c>
      <c r="AZ150" s="1">
        <v>0</v>
      </c>
      <c r="BA150" s="1">
        <v>0</v>
      </c>
      <c r="BB150" s="1">
        <v>0</v>
      </c>
      <c r="BC150" s="1">
        <v>0</v>
      </c>
      <c r="BD150" s="1" t="s">
        <v>114</v>
      </c>
      <c r="BE150" s="1" t="s">
        <v>115</v>
      </c>
      <c r="BF150" s="1">
        <v>0.31195299999999998</v>
      </c>
      <c r="BG150" s="1">
        <v>0.12478119999999999</v>
      </c>
      <c r="BH150" s="1">
        <v>6.2390600000000003E-4</v>
      </c>
      <c r="BI150" s="1">
        <v>2.9011629000000001E-2</v>
      </c>
      <c r="BJ150" s="1">
        <v>6.2390600000000003E-3</v>
      </c>
      <c r="BK150" s="1" t="s">
        <v>211</v>
      </c>
      <c r="BL150" s="1" t="s">
        <v>212</v>
      </c>
      <c r="BM150" s="1">
        <v>1.2478130000000001</v>
      </c>
      <c r="BN150" s="1">
        <v>0.37434390000000001</v>
      </c>
      <c r="BO150" s="1">
        <v>2.4956259999999999E-3</v>
      </c>
      <c r="BP150" s="1">
        <v>0.131020365</v>
      </c>
      <c r="BQ150" s="1">
        <v>8.7346909999999993E-3</v>
      </c>
      <c r="BR150" s="1" t="s">
        <v>81</v>
      </c>
      <c r="BS150" s="1" t="s">
        <v>82</v>
      </c>
      <c r="BT150" s="1">
        <v>9.9825079999999993</v>
      </c>
      <c r="BU150" s="1">
        <v>1.79685144</v>
      </c>
      <c r="BV150" s="1">
        <v>1.9965015999999999E-2</v>
      </c>
      <c r="BW150" s="1">
        <v>0.38931781199999999</v>
      </c>
      <c r="BX150" s="1">
        <v>8.9842571999999996E-2</v>
      </c>
    </row>
    <row r="151" spans="1:132" ht="14.25" customHeight="1" x14ac:dyDescent="0.35">
      <c r="A151" s="1" t="s">
        <v>403</v>
      </c>
      <c r="B151" s="2">
        <f t="shared" si="10"/>
        <v>267.02</v>
      </c>
      <c r="C151" s="2">
        <f t="shared" si="11"/>
        <v>169</v>
      </c>
      <c r="D151" s="2">
        <f t="shared" si="12"/>
        <v>1.5209999999999999</v>
      </c>
      <c r="E151" s="2">
        <f t="shared" si="13"/>
        <v>52.39</v>
      </c>
      <c r="F151" s="2">
        <f t="shared" si="14"/>
        <v>10.14</v>
      </c>
      <c r="G151" s="1" t="s">
        <v>404</v>
      </c>
      <c r="H151" s="1" t="s">
        <v>405</v>
      </c>
      <c r="I151" s="1">
        <v>169</v>
      </c>
      <c r="J151" s="1">
        <v>267.02</v>
      </c>
      <c r="K151" s="1">
        <v>1.5209999999999999</v>
      </c>
      <c r="L151" s="1">
        <v>52.39</v>
      </c>
      <c r="M151" s="1">
        <v>10.14</v>
      </c>
    </row>
    <row r="152" spans="1:132" ht="14.25" customHeight="1" x14ac:dyDescent="0.35">
      <c r="A152" s="1" t="s">
        <v>322</v>
      </c>
      <c r="B152" s="2">
        <f t="shared" si="10"/>
        <v>196.97866949400003</v>
      </c>
      <c r="C152" s="2">
        <f t="shared" si="11"/>
        <v>104.99999900000002</v>
      </c>
      <c r="D152" s="2">
        <f t="shared" si="12"/>
        <v>13.232124529999998</v>
      </c>
      <c r="E152" s="2">
        <f t="shared" si="13"/>
        <v>17.824648188999998</v>
      </c>
      <c r="F152" s="2">
        <f t="shared" si="14"/>
        <v>4.0842436710000003</v>
      </c>
      <c r="G152" s="1" t="s">
        <v>204</v>
      </c>
      <c r="H152" s="1" t="s">
        <v>205</v>
      </c>
      <c r="I152" s="1">
        <v>1.806217</v>
      </c>
      <c r="J152" s="1">
        <v>0.37027448499999999</v>
      </c>
      <c r="K152" s="1">
        <v>5.418651E-3</v>
      </c>
      <c r="L152" s="1">
        <v>6.1411378000000003E-2</v>
      </c>
      <c r="M152" s="1">
        <v>1.6255953E-2</v>
      </c>
      <c r="N152" s="1" t="s">
        <v>9</v>
      </c>
      <c r="O152" s="1" t="s">
        <v>10</v>
      </c>
      <c r="P152" s="1">
        <v>31.150383000000001</v>
      </c>
      <c r="Q152" s="1">
        <v>49.840612800000002</v>
      </c>
      <c r="R152" s="1">
        <v>4.6725574500000002</v>
      </c>
      <c r="S152" s="1">
        <v>2.8035344699999998</v>
      </c>
      <c r="T152" s="1">
        <v>0.62300765999999996</v>
      </c>
      <c r="U152" s="1" t="s">
        <v>178</v>
      </c>
      <c r="V152" s="1" t="s">
        <v>179</v>
      </c>
      <c r="W152" s="1">
        <v>0.44105299999999997</v>
      </c>
      <c r="X152" s="1">
        <v>1.7730330599999999</v>
      </c>
      <c r="Y152" s="1">
        <v>0.14554749</v>
      </c>
      <c r="Z152" s="1">
        <v>5.7336890000000001E-3</v>
      </c>
      <c r="AA152" s="1">
        <v>0.11026324999999999</v>
      </c>
      <c r="AB152" s="1" t="s">
        <v>323</v>
      </c>
      <c r="AC152" s="1" t="s">
        <v>324</v>
      </c>
      <c r="AD152" s="1">
        <v>1.680202</v>
      </c>
      <c r="AE152" s="1">
        <v>0.87370504000000004</v>
      </c>
      <c r="AF152" s="1">
        <v>3.360404E-3</v>
      </c>
      <c r="AG152" s="1">
        <v>0.23522828000000001</v>
      </c>
      <c r="AH152" s="1">
        <v>5.0406060000000004E-3</v>
      </c>
      <c r="AI152" s="1" t="s">
        <v>224</v>
      </c>
      <c r="AJ152" s="1" t="s">
        <v>225</v>
      </c>
      <c r="AK152" s="1">
        <v>5.1917299999999997</v>
      </c>
      <c r="AL152" s="1">
        <v>0.83067679999999999</v>
      </c>
      <c r="AM152" s="1">
        <v>5.1917300000000003E-3</v>
      </c>
      <c r="AN152" s="1">
        <v>0.17651881999999999</v>
      </c>
      <c r="AO152" s="1">
        <v>3.6342109999999997E-2</v>
      </c>
      <c r="AP152" s="1" t="s">
        <v>243</v>
      </c>
      <c r="AQ152" s="1" t="s">
        <v>244</v>
      </c>
      <c r="AR152" s="1">
        <v>3.3604050000000001</v>
      </c>
      <c r="AS152" s="1">
        <v>5.1178968149999999</v>
      </c>
      <c r="AT152" s="1">
        <v>0.32595928499999999</v>
      </c>
      <c r="AU152" s="1">
        <v>0.49733993999999998</v>
      </c>
      <c r="AV152" s="1">
        <v>3.3604050000000003E-2</v>
      </c>
      <c r="AW152" s="1" t="s">
        <v>95</v>
      </c>
      <c r="AX152" s="1" t="s">
        <v>96</v>
      </c>
      <c r="AY152" s="1">
        <v>0.693083</v>
      </c>
      <c r="AZ152" s="1">
        <v>0.27723320000000001</v>
      </c>
      <c r="BA152" s="1">
        <v>6.9308300000000005E-4</v>
      </c>
      <c r="BB152" s="1">
        <v>6.2377469999999997E-2</v>
      </c>
      <c r="BC152" s="1">
        <v>7.6239130000000004E-3</v>
      </c>
      <c r="BD152" s="1" t="s">
        <v>11</v>
      </c>
      <c r="BE152" s="1" t="s">
        <v>12</v>
      </c>
      <c r="BF152" s="1">
        <v>0.79357699999999998</v>
      </c>
      <c r="BG152" s="1">
        <v>2.2672494890000001</v>
      </c>
      <c r="BH152" s="1">
        <v>7.3009084000000002E-2</v>
      </c>
      <c r="BI152" s="1">
        <v>0.38885272999999998</v>
      </c>
      <c r="BJ152" s="1">
        <v>3.2536656999999997E-2</v>
      </c>
      <c r="BK152" s="1" t="s">
        <v>13</v>
      </c>
      <c r="BL152" s="1" t="s">
        <v>14</v>
      </c>
      <c r="BM152" s="1">
        <v>5.1917299999999997</v>
      </c>
      <c r="BN152" s="1">
        <v>45.894893199999999</v>
      </c>
      <c r="BO152" s="1">
        <v>5.1917299999999997</v>
      </c>
      <c r="BP152" s="1">
        <v>0</v>
      </c>
      <c r="BQ152" s="1">
        <v>0</v>
      </c>
      <c r="BR152" s="1" t="s">
        <v>162</v>
      </c>
      <c r="BS152" s="1" t="s">
        <v>163</v>
      </c>
      <c r="BT152" s="1">
        <v>0.66675899999999999</v>
      </c>
      <c r="BU152" s="1">
        <v>2.63369805</v>
      </c>
      <c r="BV152" s="1">
        <v>3.4004709000000001E-2</v>
      </c>
      <c r="BW152" s="1">
        <v>0.47539916700000001</v>
      </c>
      <c r="BX152" s="1">
        <v>8.8012188000000005E-2</v>
      </c>
      <c r="BY152" s="1" t="s">
        <v>154</v>
      </c>
      <c r="BZ152" s="1" t="s">
        <v>155</v>
      </c>
      <c r="CA152" s="1">
        <v>0.39590700000000001</v>
      </c>
      <c r="CB152" s="1">
        <v>0.61563538500000003</v>
      </c>
      <c r="CC152" s="1">
        <v>4.1570234999999997E-2</v>
      </c>
      <c r="CD152" s="1">
        <v>4.7508840000000004E-3</v>
      </c>
      <c r="CE152" s="1">
        <v>4.9488375000000001E-2</v>
      </c>
      <c r="CF152" s="1" t="s">
        <v>17</v>
      </c>
      <c r="CG152" s="1" t="s">
        <v>18</v>
      </c>
      <c r="CH152" s="1">
        <v>6.1044000000000001E-2</v>
      </c>
      <c r="CI152" s="1">
        <v>0</v>
      </c>
      <c r="CJ152" s="1">
        <v>0</v>
      </c>
      <c r="CK152" s="1">
        <v>0</v>
      </c>
      <c r="CL152" s="1">
        <v>0</v>
      </c>
      <c r="CM152" s="1" t="s">
        <v>168</v>
      </c>
      <c r="CN152" s="1" t="s">
        <v>169</v>
      </c>
      <c r="CO152" s="1">
        <v>1.176142</v>
      </c>
      <c r="CP152" s="1">
        <v>0</v>
      </c>
      <c r="CQ152" s="1">
        <v>0</v>
      </c>
      <c r="CR152" s="1">
        <v>0</v>
      </c>
      <c r="CS152" s="1">
        <v>0</v>
      </c>
      <c r="CT152" s="1" t="s">
        <v>42</v>
      </c>
      <c r="CU152" s="1" t="s">
        <v>43</v>
      </c>
      <c r="CV152" s="1">
        <v>20.766922000000001</v>
      </c>
      <c r="CW152" s="1">
        <v>6.0224073799999998</v>
      </c>
      <c r="CX152" s="1">
        <v>8.3067688000000001E-2</v>
      </c>
      <c r="CY152" s="1">
        <v>1.34984993</v>
      </c>
      <c r="CZ152" s="1">
        <v>0.18690229799999999</v>
      </c>
      <c r="DA152" s="1" t="s">
        <v>235</v>
      </c>
      <c r="DB152" s="1" t="s">
        <v>236</v>
      </c>
      <c r="DC152" s="1">
        <v>5.1917299999999997</v>
      </c>
      <c r="DD152" s="1">
        <v>29.5409437</v>
      </c>
      <c r="DE152" s="1">
        <v>2.3881958000000001</v>
      </c>
      <c r="DF152" s="1">
        <v>1.4536844</v>
      </c>
      <c r="DG152" s="1">
        <v>1.0902632999999999</v>
      </c>
      <c r="DH152" s="1" t="s">
        <v>249</v>
      </c>
      <c r="DI152" s="1" t="s">
        <v>250</v>
      </c>
      <c r="DJ152" s="1">
        <v>17.780231000000001</v>
      </c>
      <c r="DK152" s="1">
        <v>48.895635249999998</v>
      </c>
      <c r="DL152" s="1">
        <v>0.21336277200000001</v>
      </c>
      <c r="DM152" s="1">
        <v>9.9569293600000002</v>
      </c>
      <c r="DN152" s="1">
        <v>1.618001021</v>
      </c>
      <c r="DO152" s="1" t="s">
        <v>228</v>
      </c>
      <c r="DP152" s="1" t="s">
        <v>229</v>
      </c>
      <c r="DQ152" s="1">
        <v>6.922307</v>
      </c>
      <c r="DR152" s="1">
        <v>1.73057675</v>
      </c>
      <c r="DS152" s="1">
        <v>4.8456148999999997E-2</v>
      </c>
      <c r="DT152" s="1">
        <v>0.256125359</v>
      </c>
      <c r="DU152" s="1">
        <v>0.17997998200000001</v>
      </c>
      <c r="DV152" s="1" t="s">
        <v>87</v>
      </c>
      <c r="DW152" s="1" t="s">
        <v>88</v>
      </c>
      <c r="DX152" s="1">
        <v>1.730577</v>
      </c>
      <c r="DY152" s="1">
        <v>0.29419809000000002</v>
      </c>
      <c r="DZ152" s="1">
        <v>0</v>
      </c>
      <c r="EA152" s="1">
        <v>9.6912312E-2</v>
      </c>
      <c r="EB152" s="1">
        <v>6.9223080000000003E-3</v>
      </c>
    </row>
    <row r="153" spans="1:132" ht="14.25" customHeight="1" x14ac:dyDescent="0.35">
      <c r="A153" s="1" t="s">
        <v>234</v>
      </c>
      <c r="B153" s="2">
        <f t="shared" si="10"/>
        <v>136.42155820900001</v>
      </c>
      <c r="C153" s="2">
        <f t="shared" si="11"/>
        <v>77</v>
      </c>
      <c r="D153" s="2">
        <f t="shared" si="12"/>
        <v>12.462207900999999</v>
      </c>
      <c r="E153" s="2">
        <f t="shared" si="13"/>
        <v>6.5254780210000005</v>
      </c>
      <c r="F153" s="2">
        <f t="shared" si="14"/>
        <v>2.1559543149999998</v>
      </c>
      <c r="G153" s="1" t="s">
        <v>9</v>
      </c>
      <c r="H153" s="1" t="s">
        <v>10</v>
      </c>
      <c r="I153" s="1">
        <v>31.150383000000001</v>
      </c>
      <c r="J153" s="1">
        <v>49.840612800000002</v>
      </c>
      <c r="K153" s="1">
        <v>4.6725574500000002</v>
      </c>
      <c r="L153" s="1">
        <v>2.8035344699999998</v>
      </c>
      <c r="M153" s="1">
        <v>0.62300765999999996</v>
      </c>
      <c r="N153" s="1" t="s">
        <v>224</v>
      </c>
      <c r="O153" s="1" t="s">
        <v>225</v>
      </c>
      <c r="P153" s="1">
        <v>5.1917299999999997</v>
      </c>
      <c r="Q153" s="1">
        <v>0.83067679999999999</v>
      </c>
      <c r="R153" s="1">
        <v>5.1917300000000003E-3</v>
      </c>
      <c r="S153" s="1">
        <v>0.17651881999999999</v>
      </c>
      <c r="T153" s="1">
        <v>3.6342109999999997E-2</v>
      </c>
      <c r="U153" s="1" t="s">
        <v>11</v>
      </c>
      <c r="V153" s="1" t="s">
        <v>12</v>
      </c>
      <c r="W153" s="1">
        <v>0.79357699999999998</v>
      </c>
      <c r="X153" s="1">
        <v>2.2672494890000001</v>
      </c>
      <c r="Y153" s="1">
        <v>7.3009084000000002E-2</v>
      </c>
      <c r="Z153" s="1">
        <v>0.38885272999999998</v>
      </c>
      <c r="AA153" s="1">
        <v>3.2536656999999997E-2</v>
      </c>
      <c r="AB153" s="1" t="s">
        <v>13</v>
      </c>
      <c r="AC153" s="1" t="s">
        <v>14</v>
      </c>
      <c r="AD153" s="1">
        <v>5.1917299999999997</v>
      </c>
      <c r="AE153" s="1">
        <v>45.894893199999999</v>
      </c>
      <c r="AF153" s="1">
        <v>5.1917299999999997</v>
      </c>
      <c r="AG153" s="1">
        <v>0</v>
      </c>
      <c r="AH153" s="1">
        <v>0</v>
      </c>
      <c r="AI153" s="1" t="s">
        <v>17</v>
      </c>
      <c r="AJ153" s="1" t="s">
        <v>18</v>
      </c>
      <c r="AK153" s="1">
        <v>6.1044000000000001E-2</v>
      </c>
      <c r="AL153" s="1">
        <v>0</v>
      </c>
      <c r="AM153" s="1">
        <v>0</v>
      </c>
      <c r="AN153" s="1">
        <v>0</v>
      </c>
      <c r="AO153" s="1">
        <v>0</v>
      </c>
      <c r="AP153" s="1" t="s">
        <v>42</v>
      </c>
      <c r="AQ153" s="1" t="s">
        <v>43</v>
      </c>
      <c r="AR153" s="1">
        <v>20.766922000000001</v>
      </c>
      <c r="AS153" s="1">
        <v>6.0224073799999998</v>
      </c>
      <c r="AT153" s="1">
        <v>8.3067688000000001E-2</v>
      </c>
      <c r="AU153" s="1">
        <v>1.34984993</v>
      </c>
      <c r="AV153" s="1">
        <v>0.18690229799999999</v>
      </c>
      <c r="AW153" s="1" t="s">
        <v>235</v>
      </c>
      <c r="AX153" s="1" t="s">
        <v>236</v>
      </c>
      <c r="AY153" s="1">
        <v>5.1917299999999997</v>
      </c>
      <c r="AZ153" s="1">
        <v>29.5409437</v>
      </c>
      <c r="BA153" s="1">
        <v>2.3881958000000001</v>
      </c>
      <c r="BB153" s="1">
        <v>1.4536844</v>
      </c>
      <c r="BC153" s="1">
        <v>1.0902632999999999</v>
      </c>
      <c r="BD153" s="1" t="s">
        <v>228</v>
      </c>
      <c r="BE153" s="1" t="s">
        <v>229</v>
      </c>
      <c r="BF153" s="1">
        <v>6.922307</v>
      </c>
      <c r="BG153" s="1">
        <v>1.73057675</v>
      </c>
      <c r="BH153" s="1">
        <v>4.8456148999999997E-2</v>
      </c>
      <c r="BI153" s="1">
        <v>0.256125359</v>
      </c>
      <c r="BJ153" s="1">
        <v>0.17997998200000001</v>
      </c>
      <c r="BK153" s="1" t="s">
        <v>87</v>
      </c>
      <c r="BL153" s="1" t="s">
        <v>88</v>
      </c>
      <c r="BM153" s="1">
        <v>1.730577</v>
      </c>
      <c r="BN153" s="1">
        <v>0.29419809000000002</v>
      </c>
      <c r="BO153" s="1">
        <v>0</v>
      </c>
      <c r="BP153" s="1">
        <v>9.6912312E-2</v>
      </c>
      <c r="BQ153" s="1">
        <v>6.9223080000000003E-3</v>
      </c>
    </row>
    <row r="154" spans="1:132" ht="14.25" customHeight="1" x14ac:dyDescent="0.35">
      <c r="A154" s="1" t="s">
        <v>529</v>
      </c>
      <c r="B154" s="2">
        <f t="shared" si="10"/>
        <v>117.41</v>
      </c>
      <c r="C154" s="2">
        <f t="shared" si="11"/>
        <v>199</v>
      </c>
      <c r="D154" s="2">
        <f t="shared" si="12"/>
        <v>0.79600000000000004</v>
      </c>
      <c r="E154" s="2">
        <f t="shared" si="13"/>
        <v>7.1639999999999997</v>
      </c>
      <c r="F154" s="2">
        <f t="shared" si="14"/>
        <v>19.899999999999999</v>
      </c>
      <c r="G154" s="1" t="s">
        <v>101</v>
      </c>
      <c r="H154" s="1" t="s">
        <v>102</v>
      </c>
      <c r="I154" s="1">
        <v>199</v>
      </c>
      <c r="J154" s="1">
        <v>117.41</v>
      </c>
      <c r="K154" s="1">
        <v>0.79600000000000004</v>
      </c>
      <c r="L154" s="1">
        <v>7.1639999999999997</v>
      </c>
      <c r="M154" s="1">
        <v>19.899999999999999</v>
      </c>
    </row>
    <row r="155" spans="1:132" ht="14.25" customHeight="1" x14ac:dyDescent="0.35">
      <c r="A155" s="1" t="s">
        <v>483</v>
      </c>
      <c r="B155" s="2">
        <f t="shared" si="10"/>
        <v>702.71600000000001</v>
      </c>
      <c r="C155" s="2">
        <f t="shared" si="11"/>
        <v>357</v>
      </c>
      <c r="D155" s="2">
        <f t="shared" si="12"/>
        <v>51.373000000000005</v>
      </c>
      <c r="E155" s="2">
        <f t="shared" si="13"/>
        <v>18.738</v>
      </c>
      <c r="F155" s="2">
        <f t="shared" si="14"/>
        <v>39.027999999999999</v>
      </c>
      <c r="G155" s="1" t="s">
        <v>30</v>
      </c>
      <c r="H155" s="1" t="s">
        <v>31</v>
      </c>
      <c r="I155" s="1">
        <v>201</v>
      </c>
      <c r="J155" s="1">
        <v>297.48</v>
      </c>
      <c r="K155" s="1">
        <v>22.11</v>
      </c>
      <c r="L155" s="1">
        <v>3.2160000000000002</v>
      </c>
      <c r="M155" s="1">
        <v>20.100000000000001</v>
      </c>
      <c r="N155" s="1" t="s">
        <v>49</v>
      </c>
      <c r="O155" s="1" t="s">
        <v>50</v>
      </c>
      <c r="P155" s="1">
        <v>91</v>
      </c>
      <c r="Q155" s="1">
        <v>313.58600000000001</v>
      </c>
      <c r="R155" s="1">
        <v>24.843</v>
      </c>
      <c r="S155" s="1">
        <v>3.8220000000000001</v>
      </c>
      <c r="T155" s="1">
        <v>17.562999999999999</v>
      </c>
      <c r="U155" s="1" t="s">
        <v>27</v>
      </c>
      <c r="V155" s="1" t="s">
        <v>28</v>
      </c>
      <c r="W155" s="1">
        <v>65</v>
      </c>
      <c r="X155" s="1">
        <v>91.65</v>
      </c>
      <c r="Y155" s="1">
        <v>4.42</v>
      </c>
      <c r="Z155" s="1">
        <v>11.7</v>
      </c>
      <c r="AA155" s="1">
        <v>1.365</v>
      </c>
    </row>
    <row r="156" spans="1:132" ht="14.25" customHeight="1" x14ac:dyDescent="0.35">
      <c r="A156" s="1" t="s">
        <v>411</v>
      </c>
      <c r="B156" s="2">
        <f t="shared" si="10"/>
        <v>389.13</v>
      </c>
      <c r="C156" s="2">
        <f t="shared" si="11"/>
        <v>266</v>
      </c>
      <c r="D156" s="2">
        <f t="shared" si="12"/>
        <v>26.53</v>
      </c>
      <c r="E156" s="2">
        <f t="shared" si="13"/>
        <v>14.916</v>
      </c>
      <c r="F156" s="2">
        <f t="shared" si="14"/>
        <v>21.465</v>
      </c>
      <c r="G156" s="1" t="s">
        <v>30</v>
      </c>
      <c r="H156" s="1" t="s">
        <v>31</v>
      </c>
      <c r="I156" s="1">
        <v>201</v>
      </c>
      <c r="J156" s="1">
        <v>297.48</v>
      </c>
      <c r="K156" s="1">
        <v>22.11</v>
      </c>
      <c r="L156" s="1">
        <v>3.2160000000000002</v>
      </c>
      <c r="M156" s="1">
        <v>20.100000000000001</v>
      </c>
      <c r="N156" s="1" t="s">
        <v>27</v>
      </c>
      <c r="O156" s="1" t="s">
        <v>28</v>
      </c>
      <c r="P156" s="1">
        <v>65</v>
      </c>
      <c r="Q156" s="1">
        <v>91.65</v>
      </c>
      <c r="R156" s="1">
        <v>4.42</v>
      </c>
      <c r="S156" s="1">
        <v>11.7</v>
      </c>
      <c r="T156" s="1">
        <v>1.365</v>
      </c>
    </row>
    <row r="157" spans="1:132" ht="14.25" customHeight="1" x14ac:dyDescent="0.35">
      <c r="A157" s="1" t="s">
        <v>121</v>
      </c>
      <c r="B157" s="2">
        <f t="shared" si="10"/>
        <v>91.65</v>
      </c>
      <c r="C157" s="2">
        <f t="shared" si="11"/>
        <v>65</v>
      </c>
      <c r="D157" s="2">
        <f t="shared" si="12"/>
        <v>4.42</v>
      </c>
      <c r="E157" s="2">
        <f t="shared" si="13"/>
        <v>11.7</v>
      </c>
      <c r="F157" s="2">
        <f t="shared" si="14"/>
        <v>1.365</v>
      </c>
      <c r="G157" s="1" t="s">
        <v>27</v>
      </c>
      <c r="H157" s="1" t="s">
        <v>28</v>
      </c>
      <c r="I157" s="1">
        <v>65</v>
      </c>
      <c r="J157" s="1">
        <v>91.65</v>
      </c>
      <c r="K157" s="1">
        <v>4.42</v>
      </c>
      <c r="L157" s="1">
        <v>11.7</v>
      </c>
      <c r="M157" s="1">
        <v>1.365</v>
      </c>
    </row>
    <row r="158" spans="1:132" ht="14.25" customHeight="1" x14ac:dyDescent="0.35">
      <c r="A158" s="1" t="s">
        <v>51</v>
      </c>
      <c r="B158" s="2">
        <f t="shared" si="10"/>
        <v>365.20799999999997</v>
      </c>
      <c r="C158" s="2">
        <f t="shared" si="11"/>
        <v>236</v>
      </c>
      <c r="D158" s="2">
        <f t="shared" si="12"/>
        <v>23.704000000000001</v>
      </c>
      <c r="E158" s="2">
        <f t="shared" si="13"/>
        <v>21.484000000000002</v>
      </c>
      <c r="F158" s="2">
        <f t="shared" si="14"/>
        <v>16.22</v>
      </c>
      <c r="G158" s="1" t="s">
        <v>52</v>
      </c>
      <c r="H158" s="1" t="s">
        <v>53</v>
      </c>
      <c r="I158" s="1">
        <v>46</v>
      </c>
      <c r="J158" s="1">
        <v>15.18</v>
      </c>
      <c r="K158" s="1">
        <v>0.13800000000000001</v>
      </c>
      <c r="L158" s="1">
        <v>3.68</v>
      </c>
      <c r="M158" s="1">
        <v>0.32200000000000001</v>
      </c>
      <c r="N158" s="1" t="s">
        <v>30</v>
      </c>
      <c r="O158" s="1" t="s">
        <v>31</v>
      </c>
      <c r="P158" s="1">
        <v>68</v>
      </c>
      <c r="Q158" s="1">
        <v>100.64</v>
      </c>
      <c r="R158" s="1">
        <v>7.48</v>
      </c>
      <c r="S158" s="1">
        <v>1.0880000000000001</v>
      </c>
      <c r="T158" s="1">
        <v>6.8</v>
      </c>
      <c r="U158" s="1" t="s">
        <v>49</v>
      </c>
      <c r="V158" s="1" t="s">
        <v>50</v>
      </c>
      <c r="W158" s="1">
        <v>38</v>
      </c>
      <c r="X158" s="1">
        <v>130.94800000000001</v>
      </c>
      <c r="Y158" s="1">
        <v>10.374000000000001</v>
      </c>
      <c r="Z158" s="1">
        <v>1.5960000000000001</v>
      </c>
      <c r="AA158" s="1">
        <v>7.3339999999999996</v>
      </c>
      <c r="AB158" s="1" t="s">
        <v>27</v>
      </c>
      <c r="AC158" s="1" t="s">
        <v>28</v>
      </c>
      <c r="AD158" s="1">
        <v>84</v>
      </c>
      <c r="AE158" s="1">
        <v>118.44</v>
      </c>
      <c r="AF158" s="1">
        <v>5.7119999999999997</v>
      </c>
      <c r="AG158" s="1">
        <v>15.12</v>
      </c>
      <c r="AH158" s="1">
        <v>1.764</v>
      </c>
    </row>
    <row r="159" spans="1:132" ht="14.25" customHeight="1" x14ac:dyDescent="0.35">
      <c r="A159" s="1" t="s">
        <v>425</v>
      </c>
      <c r="B159" s="2">
        <f t="shared" si="10"/>
        <v>234.26</v>
      </c>
      <c r="C159" s="2">
        <f t="shared" si="11"/>
        <v>198</v>
      </c>
      <c r="D159" s="2">
        <f t="shared" si="12"/>
        <v>13.33</v>
      </c>
      <c r="E159" s="2">
        <f t="shared" si="13"/>
        <v>19.887999999999998</v>
      </c>
      <c r="F159" s="2">
        <f t="shared" si="14"/>
        <v>8.8859999999999992</v>
      </c>
      <c r="G159" s="1" t="s">
        <v>52</v>
      </c>
      <c r="H159" s="1" t="s">
        <v>53</v>
      </c>
      <c r="I159" s="1">
        <v>46</v>
      </c>
      <c r="J159" s="1">
        <v>15.18</v>
      </c>
      <c r="K159" s="1">
        <v>0.13800000000000001</v>
      </c>
      <c r="L159" s="1">
        <v>3.68</v>
      </c>
      <c r="M159" s="1">
        <v>0.32200000000000001</v>
      </c>
      <c r="N159" s="1" t="s">
        <v>30</v>
      </c>
      <c r="O159" s="1" t="s">
        <v>31</v>
      </c>
      <c r="P159" s="1">
        <v>68</v>
      </c>
      <c r="Q159" s="1">
        <v>100.64</v>
      </c>
      <c r="R159" s="1">
        <v>7.48</v>
      </c>
      <c r="S159" s="1">
        <v>1.0880000000000001</v>
      </c>
      <c r="T159" s="1">
        <v>6.8</v>
      </c>
      <c r="U159" s="1" t="s">
        <v>27</v>
      </c>
      <c r="V159" s="1" t="s">
        <v>28</v>
      </c>
      <c r="W159" s="1">
        <v>84</v>
      </c>
      <c r="X159" s="1">
        <v>118.44</v>
      </c>
      <c r="Y159" s="1">
        <v>5.7119999999999997</v>
      </c>
      <c r="Z159" s="1">
        <v>15.12</v>
      </c>
      <c r="AA159" s="1">
        <v>1.764</v>
      </c>
    </row>
    <row r="160" spans="1:132" ht="14.25" customHeight="1" x14ac:dyDescent="0.35">
      <c r="A160" s="1" t="s">
        <v>386</v>
      </c>
      <c r="B160" s="2">
        <f t="shared" si="10"/>
        <v>133.62</v>
      </c>
      <c r="C160" s="2">
        <f t="shared" si="11"/>
        <v>130</v>
      </c>
      <c r="D160" s="2">
        <f t="shared" si="12"/>
        <v>5.85</v>
      </c>
      <c r="E160" s="2">
        <f t="shared" si="13"/>
        <v>18.8</v>
      </c>
      <c r="F160" s="2">
        <f t="shared" si="14"/>
        <v>2.0859999999999999</v>
      </c>
      <c r="G160" s="1" t="s">
        <v>52</v>
      </c>
      <c r="H160" s="1" t="s">
        <v>53</v>
      </c>
      <c r="I160" s="1">
        <v>46</v>
      </c>
      <c r="J160" s="1">
        <v>15.18</v>
      </c>
      <c r="K160" s="1">
        <v>0.13800000000000001</v>
      </c>
      <c r="L160" s="1">
        <v>3.68</v>
      </c>
      <c r="M160" s="1">
        <v>0.32200000000000001</v>
      </c>
      <c r="N160" s="1" t="s">
        <v>27</v>
      </c>
      <c r="O160" s="1" t="s">
        <v>28</v>
      </c>
      <c r="P160" s="1">
        <v>84</v>
      </c>
      <c r="Q160" s="1">
        <v>118.44</v>
      </c>
      <c r="R160" s="1">
        <v>5.7119999999999997</v>
      </c>
      <c r="S160" s="1">
        <v>15.12</v>
      </c>
      <c r="T160" s="1">
        <v>1.764</v>
      </c>
    </row>
    <row r="161" spans="1:146" ht="14.25" customHeight="1" x14ac:dyDescent="0.35">
      <c r="A161" s="1" t="s">
        <v>494</v>
      </c>
      <c r="B161" s="2">
        <f t="shared" si="10"/>
        <v>15.18</v>
      </c>
      <c r="C161" s="2">
        <f t="shared" si="11"/>
        <v>46</v>
      </c>
      <c r="D161" s="2">
        <f t="shared" si="12"/>
        <v>0.13800000000000001</v>
      </c>
      <c r="E161" s="2">
        <f t="shared" si="13"/>
        <v>3.68</v>
      </c>
      <c r="F161" s="2">
        <f t="shared" si="14"/>
        <v>0.32200000000000001</v>
      </c>
      <c r="G161" s="1" t="s">
        <v>52</v>
      </c>
      <c r="H161" s="1" t="s">
        <v>53</v>
      </c>
      <c r="I161" s="1">
        <v>46</v>
      </c>
      <c r="J161" s="1">
        <v>15.18</v>
      </c>
      <c r="K161" s="1">
        <v>0.13800000000000001</v>
      </c>
      <c r="L161" s="1">
        <v>3.68</v>
      </c>
      <c r="M161" s="1">
        <v>0.32200000000000001</v>
      </c>
    </row>
    <row r="162" spans="1:146" ht="14.25" customHeight="1" x14ac:dyDescent="0.35">
      <c r="A162" s="1" t="s">
        <v>238</v>
      </c>
      <c r="B162" s="2">
        <f t="shared" si="10"/>
        <v>247.16</v>
      </c>
      <c r="C162" s="2">
        <f t="shared" si="11"/>
        <v>167</v>
      </c>
      <c r="D162" s="2">
        <f t="shared" si="12"/>
        <v>18.37</v>
      </c>
      <c r="E162" s="2">
        <f t="shared" si="13"/>
        <v>2.6720000000000002</v>
      </c>
      <c r="F162" s="2">
        <f t="shared" si="14"/>
        <v>16.7</v>
      </c>
      <c r="G162" s="1" t="s">
        <v>30</v>
      </c>
      <c r="H162" s="1" t="s">
        <v>31</v>
      </c>
      <c r="I162" s="1">
        <v>167</v>
      </c>
      <c r="J162" s="1">
        <v>247.16</v>
      </c>
      <c r="K162" s="1">
        <v>18.37</v>
      </c>
      <c r="L162" s="1">
        <v>2.6720000000000002</v>
      </c>
      <c r="M162" s="1">
        <v>16.7</v>
      </c>
    </row>
    <row r="163" spans="1:146" ht="14.25" customHeight="1" x14ac:dyDescent="0.35">
      <c r="A163" s="1" t="s">
        <v>407</v>
      </c>
      <c r="B163" s="2">
        <f t="shared" si="10"/>
        <v>160.87665648000001</v>
      </c>
      <c r="C163" s="2">
        <f t="shared" si="11"/>
        <v>333.99998099999999</v>
      </c>
      <c r="D163" s="2">
        <f t="shared" si="12"/>
        <v>0.66799996200000011</v>
      </c>
      <c r="E163" s="2">
        <f t="shared" si="13"/>
        <v>5.6223332790000002</v>
      </c>
      <c r="F163" s="2">
        <f t="shared" si="14"/>
        <v>28.66833132</v>
      </c>
      <c r="G163" s="1" t="s">
        <v>35</v>
      </c>
      <c r="H163" s="1" t="s">
        <v>36</v>
      </c>
      <c r="I163" s="1">
        <v>278.33331299999998</v>
      </c>
      <c r="J163" s="1">
        <v>144.73332275999999</v>
      </c>
      <c r="K163" s="1">
        <v>0.55666662600000005</v>
      </c>
      <c r="L163" s="1">
        <v>1.9483331909999999</v>
      </c>
      <c r="M163" s="1">
        <v>27.833331300000001</v>
      </c>
      <c r="N163" s="1" t="s">
        <v>37</v>
      </c>
      <c r="O163" s="1" t="s">
        <v>38</v>
      </c>
      <c r="P163" s="1">
        <v>55.666668000000001</v>
      </c>
      <c r="Q163" s="1">
        <v>16.143333720000001</v>
      </c>
      <c r="R163" s="1">
        <v>0.111333336</v>
      </c>
      <c r="S163" s="1">
        <v>3.6740000880000001</v>
      </c>
      <c r="T163" s="1">
        <v>0.83500001999999995</v>
      </c>
    </row>
    <row r="164" spans="1:146" ht="14.25" customHeight="1" x14ac:dyDescent="0.35">
      <c r="A164" s="1" t="s">
        <v>122</v>
      </c>
      <c r="B164" s="2">
        <f t="shared" si="10"/>
        <v>189.32</v>
      </c>
      <c r="C164" s="2">
        <f t="shared" si="11"/>
        <v>188</v>
      </c>
      <c r="D164" s="2">
        <f t="shared" si="12"/>
        <v>11.712</v>
      </c>
      <c r="E164" s="2">
        <f t="shared" si="13"/>
        <v>10.347999999999999</v>
      </c>
      <c r="F164" s="2">
        <f t="shared" si="14"/>
        <v>14.984000000000002</v>
      </c>
      <c r="G164" s="1" t="s">
        <v>123</v>
      </c>
      <c r="H164" s="1" t="s">
        <v>124</v>
      </c>
      <c r="I164" s="1">
        <v>132</v>
      </c>
      <c r="J164" s="1">
        <v>96.36</v>
      </c>
      <c r="K164" s="1">
        <v>6.3360000000000003</v>
      </c>
      <c r="L164" s="1">
        <v>2.508</v>
      </c>
      <c r="M164" s="1">
        <v>10.56</v>
      </c>
      <c r="N164" s="1" t="s">
        <v>24</v>
      </c>
      <c r="O164" s="1" t="s">
        <v>25</v>
      </c>
      <c r="P164" s="1">
        <v>56</v>
      </c>
      <c r="Q164" s="1">
        <v>92.96</v>
      </c>
      <c r="R164" s="1">
        <v>5.3760000000000003</v>
      </c>
      <c r="S164" s="1">
        <v>7.84</v>
      </c>
      <c r="T164" s="1">
        <v>4.4240000000000004</v>
      </c>
    </row>
    <row r="165" spans="1:146" ht="14.25" customHeight="1" x14ac:dyDescent="0.35">
      <c r="A165" s="1" t="s">
        <v>23</v>
      </c>
      <c r="B165" s="2">
        <f t="shared" si="10"/>
        <v>92.96</v>
      </c>
      <c r="C165" s="2">
        <f t="shared" si="11"/>
        <v>56</v>
      </c>
      <c r="D165" s="2">
        <f t="shared" si="12"/>
        <v>5.3760000000000003</v>
      </c>
      <c r="E165" s="2">
        <f t="shared" si="13"/>
        <v>7.84</v>
      </c>
      <c r="F165" s="2">
        <f t="shared" si="14"/>
        <v>4.4240000000000004</v>
      </c>
      <c r="G165" s="1" t="s">
        <v>24</v>
      </c>
      <c r="H165" s="1" t="s">
        <v>25</v>
      </c>
      <c r="I165" s="1">
        <v>56</v>
      </c>
      <c r="J165" s="1">
        <v>92.96</v>
      </c>
      <c r="K165" s="1">
        <v>5.3760000000000003</v>
      </c>
      <c r="L165" s="1">
        <v>7.84</v>
      </c>
      <c r="M165" s="1">
        <v>4.4240000000000004</v>
      </c>
    </row>
    <row r="166" spans="1:146" ht="14.25" customHeight="1" x14ac:dyDescent="0.35">
      <c r="A166" s="1" t="s">
        <v>271</v>
      </c>
      <c r="B166" s="2">
        <f t="shared" si="10"/>
        <v>205.69316939199999</v>
      </c>
      <c r="C166" s="2">
        <f t="shared" si="11"/>
        <v>136.00000200000002</v>
      </c>
      <c r="D166" s="3">
        <f t="shared" si="12"/>
        <v>16.481325149</v>
      </c>
      <c r="E166" s="2">
        <f t="shared" si="13"/>
        <v>4.8573715340000003</v>
      </c>
      <c r="F166" s="2">
        <f t="shared" si="14"/>
        <v>10.506058484</v>
      </c>
      <c r="G166" s="1" t="s">
        <v>222</v>
      </c>
      <c r="H166" s="1" t="s">
        <v>223</v>
      </c>
      <c r="I166" s="1">
        <v>5.8023569999999998</v>
      </c>
      <c r="J166" s="1">
        <v>6.4406162699999996</v>
      </c>
      <c r="K166" s="1">
        <v>5.2221213000000002E-2</v>
      </c>
      <c r="L166" s="1">
        <v>1.3345421099999999</v>
      </c>
      <c r="M166" s="1">
        <v>0.15086128200000001</v>
      </c>
      <c r="N166" s="1" t="s">
        <v>139</v>
      </c>
      <c r="O166" s="1" t="s">
        <v>140</v>
      </c>
      <c r="P166" s="1">
        <v>15.272728000000001</v>
      </c>
      <c r="Q166" s="1">
        <v>1.5272728</v>
      </c>
      <c r="R166" s="1">
        <v>0</v>
      </c>
      <c r="S166" s="1">
        <v>0.30545455999999999</v>
      </c>
      <c r="T166" s="1">
        <v>0.15272727999999999</v>
      </c>
      <c r="U166" s="1" t="s">
        <v>110</v>
      </c>
      <c r="V166" s="1" t="s">
        <v>111</v>
      </c>
      <c r="W166" s="1">
        <v>15.272728000000001</v>
      </c>
      <c r="X166" s="1">
        <v>6.1090911999999999</v>
      </c>
      <c r="Y166" s="1">
        <v>3.0545455999999999E-2</v>
      </c>
      <c r="Z166" s="1">
        <v>1.3745455200000001</v>
      </c>
      <c r="AA166" s="1">
        <v>0.30545455999999999</v>
      </c>
      <c r="AB166" s="1" t="s">
        <v>112</v>
      </c>
      <c r="AC166" s="1" t="s">
        <v>113</v>
      </c>
      <c r="AD166" s="1">
        <v>1.4505889999999999</v>
      </c>
      <c r="AE166" s="1">
        <v>0.33363546999999999</v>
      </c>
      <c r="AF166" s="1">
        <v>5.8023559999999998E-3</v>
      </c>
      <c r="AG166" s="1">
        <v>5.2221204E-2</v>
      </c>
      <c r="AH166" s="1">
        <v>4.2067080999999999E-2</v>
      </c>
      <c r="AI166" s="1" t="s">
        <v>123</v>
      </c>
      <c r="AJ166" s="1" t="s">
        <v>124</v>
      </c>
      <c r="AK166" s="1">
        <v>33</v>
      </c>
      <c r="AL166" s="1">
        <v>24.09</v>
      </c>
      <c r="AM166" s="1">
        <v>1.5840000000000001</v>
      </c>
      <c r="AN166" s="1">
        <v>0.627</v>
      </c>
      <c r="AO166" s="1">
        <v>2.64</v>
      </c>
      <c r="AP166" s="1" t="s">
        <v>224</v>
      </c>
      <c r="AQ166" s="1" t="s">
        <v>225</v>
      </c>
      <c r="AR166" s="1">
        <v>12.218182000000001</v>
      </c>
      <c r="AS166" s="1">
        <v>1.9549091199999999</v>
      </c>
      <c r="AT166" s="1">
        <v>1.2218181999999999E-2</v>
      </c>
      <c r="AU166" s="1">
        <v>0.41541818800000002</v>
      </c>
      <c r="AV166" s="1">
        <v>8.5527274E-2</v>
      </c>
      <c r="AW166" s="1" t="s">
        <v>95</v>
      </c>
      <c r="AX166" s="1" t="s">
        <v>96</v>
      </c>
      <c r="AY166" s="1">
        <v>0.58023599999999997</v>
      </c>
      <c r="AZ166" s="1">
        <v>0.23209440000000001</v>
      </c>
      <c r="BA166" s="1">
        <v>5.8023600000000003E-4</v>
      </c>
      <c r="BB166" s="1">
        <v>5.2221240000000002E-2</v>
      </c>
      <c r="BC166" s="1">
        <v>6.3825959999999999E-3</v>
      </c>
      <c r="BD166" s="1" t="s">
        <v>77</v>
      </c>
      <c r="BE166" s="1" t="s">
        <v>78</v>
      </c>
      <c r="BF166" s="1">
        <v>1.6339900000000001</v>
      </c>
      <c r="BG166" s="1">
        <v>2.4346451</v>
      </c>
      <c r="BH166" s="1">
        <v>8.1699500000000005E-3</v>
      </c>
      <c r="BI166" s="1">
        <v>0.53921669999999999</v>
      </c>
      <c r="BJ166" s="1">
        <v>0.10457536000000001</v>
      </c>
      <c r="BK166" s="1" t="s">
        <v>264</v>
      </c>
      <c r="BL166" s="1" t="s">
        <v>265</v>
      </c>
      <c r="BM166" s="1">
        <v>0.76363599999999998</v>
      </c>
      <c r="BN166" s="1">
        <v>0.46810886800000001</v>
      </c>
      <c r="BO166" s="1">
        <v>2.5199988E-2</v>
      </c>
      <c r="BP166" s="1">
        <v>4.5818159999999997E-2</v>
      </c>
      <c r="BQ166" s="1">
        <v>2.8254531999999999E-2</v>
      </c>
      <c r="BR166" s="1" t="s">
        <v>79</v>
      </c>
      <c r="BS166" s="1" t="s">
        <v>80</v>
      </c>
      <c r="BT166" s="1">
        <v>0.87035399999999996</v>
      </c>
      <c r="BU166" s="1">
        <v>0.1740708</v>
      </c>
      <c r="BV166" s="1">
        <v>1.7407080000000001E-3</v>
      </c>
      <c r="BW166" s="1">
        <v>2.8721681999999998E-2</v>
      </c>
      <c r="BX166" s="1">
        <v>1.3055310000000001E-2</v>
      </c>
      <c r="BY166" s="1" t="s">
        <v>13</v>
      </c>
      <c r="BZ166" s="1" t="s">
        <v>14</v>
      </c>
      <c r="CA166" s="1">
        <v>12.43577</v>
      </c>
      <c r="CB166" s="1">
        <v>109.9322068</v>
      </c>
      <c r="CC166" s="1">
        <v>12.43577</v>
      </c>
      <c r="CD166" s="1">
        <v>0</v>
      </c>
      <c r="CE166" s="1">
        <v>0</v>
      </c>
      <c r="CF166" s="1" t="s">
        <v>147</v>
      </c>
      <c r="CG166" s="1" t="s">
        <v>148</v>
      </c>
      <c r="CH166" s="1">
        <v>6.1090910000000003</v>
      </c>
      <c r="CI166" s="1">
        <v>0</v>
      </c>
      <c r="CJ166" s="1">
        <v>0</v>
      </c>
      <c r="CK166" s="1">
        <v>0</v>
      </c>
      <c r="CL166" s="1">
        <v>0</v>
      </c>
      <c r="CM166" s="1" t="s">
        <v>157</v>
      </c>
      <c r="CN166" s="1" t="s">
        <v>158</v>
      </c>
      <c r="CO166" s="1">
        <v>7.2528999999999996E-2</v>
      </c>
      <c r="CP166" s="1">
        <v>2.9011599999999999E-2</v>
      </c>
      <c r="CQ166" s="1">
        <v>2.9011599999999999E-4</v>
      </c>
      <c r="CR166" s="1">
        <v>6.4550809999999997E-3</v>
      </c>
      <c r="CS166" s="1">
        <v>1.3055219999999999E-3</v>
      </c>
      <c r="CT166" s="1" t="s">
        <v>17</v>
      </c>
      <c r="CU166" s="1" t="s">
        <v>18</v>
      </c>
      <c r="CV166" s="1">
        <v>0.45434799999999997</v>
      </c>
      <c r="CW166" s="1">
        <v>0</v>
      </c>
      <c r="CX166" s="1">
        <v>0</v>
      </c>
      <c r="CY166" s="1">
        <v>0</v>
      </c>
      <c r="CZ166" s="1">
        <v>0</v>
      </c>
      <c r="DA166" s="1" t="s">
        <v>272</v>
      </c>
      <c r="DB166" s="1" t="s">
        <v>273</v>
      </c>
      <c r="DC166" s="1">
        <v>29.011786000000001</v>
      </c>
      <c r="DD166" s="1">
        <v>51.640979080000001</v>
      </c>
      <c r="DE166" s="1">
        <v>2.32094288</v>
      </c>
      <c r="DF166" s="1">
        <v>0</v>
      </c>
      <c r="DG166" s="1">
        <v>6.9628286399999997</v>
      </c>
      <c r="DH166" s="1" t="s">
        <v>211</v>
      </c>
      <c r="DI166" s="1" t="s">
        <v>212</v>
      </c>
      <c r="DJ166" s="1">
        <v>3.6264999999999999E-2</v>
      </c>
      <c r="DK166" s="1">
        <v>1.08795E-2</v>
      </c>
      <c r="DL166" s="4">
        <v>7.2529999999999998E-5</v>
      </c>
      <c r="DM166" s="1">
        <v>3.8078249999999999E-3</v>
      </c>
      <c r="DN166" s="1">
        <v>2.5385499999999999E-4</v>
      </c>
      <c r="DO166" s="1" t="s">
        <v>42</v>
      </c>
      <c r="DP166" s="1" t="s">
        <v>43</v>
      </c>
      <c r="DQ166" s="1">
        <v>0.29011799999999999</v>
      </c>
      <c r="DR166" s="1">
        <v>8.4134219999999996E-2</v>
      </c>
      <c r="DS166" s="1">
        <v>1.1604720000000001E-3</v>
      </c>
      <c r="DT166" s="1">
        <v>1.885767E-2</v>
      </c>
      <c r="DU166" s="1">
        <v>2.6110619999999999E-3</v>
      </c>
      <c r="DV166" s="1" t="s">
        <v>87</v>
      </c>
      <c r="DW166" s="1" t="s">
        <v>88</v>
      </c>
      <c r="DX166" s="1">
        <v>0.29011799999999999</v>
      </c>
      <c r="DY166" s="1">
        <v>4.9320059999999999E-2</v>
      </c>
      <c r="DZ166" s="1">
        <v>0</v>
      </c>
      <c r="EA166" s="1">
        <v>1.6246607999999999E-2</v>
      </c>
      <c r="EB166" s="1">
        <v>1.1604720000000001E-3</v>
      </c>
      <c r="EC166" s="1" t="s">
        <v>172</v>
      </c>
      <c r="ED166" s="1" t="s">
        <v>173</v>
      </c>
      <c r="EE166" s="1">
        <v>0.29011799999999999</v>
      </c>
      <c r="EF166" s="1">
        <v>6.6146904000000006E-2</v>
      </c>
      <c r="EG166" s="1">
        <v>1.4505900000000001E-3</v>
      </c>
      <c r="EH166" s="1">
        <v>1.0734366E-2</v>
      </c>
      <c r="EI166" s="1">
        <v>6.3825959999999999E-3</v>
      </c>
      <c r="EJ166" s="1" t="s">
        <v>174</v>
      </c>
      <c r="EK166" s="1" t="s">
        <v>175</v>
      </c>
      <c r="EL166" s="1">
        <v>0.14505899999999999</v>
      </c>
      <c r="EM166" s="1">
        <v>0.1160472</v>
      </c>
      <c r="EN166" s="1">
        <v>1.1604720000000001E-3</v>
      </c>
      <c r="EO166" s="1">
        <v>2.6110620000000001E-2</v>
      </c>
      <c r="EP166" s="1">
        <v>2.6110619999999999E-3</v>
      </c>
    </row>
    <row r="167" spans="1:146" ht="14.25" customHeight="1" x14ac:dyDescent="0.35">
      <c r="A167" s="1" t="s">
        <v>296</v>
      </c>
      <c r="B167" s="2">
        <f t="shared" si="10"/>
        <v>86.487240884000016</v>
      </c>
      <c r="C167" s="2">
        <f t="shared" si="11"/>
        <v>73.000000000000028</v>
      </c>
      <c r="D167" s="3">
        <f t="shared" si="12"/>
        <v>4.1913613429999987</v>
      </c>
      <c r="E167" s="2">
        <f t="shared" si="13"/>
        <v>2.4641352259999998</v>
      </c>
      <c r="F167" s="2">
        <f t="shared" si="14"/>
        <v>9.8852221339999993</v>
      </c>
      <c r="G167" s="1" t="s">
        <v>222</v>
      </c>
      <c r="H167" s="1" t="s">
        <v>223</v>
      </c>
      <c r="I167" s="1">
        <v>5.8023569999999998</v>
      </c>
      <c r="J167" s="1">
        <v>6.4406162699999996</v>
      </c>
      <c r="K167" s="1">
        <v>5.2221213000000002E-2</v>
      </c>
      <c r="L167" s="1">
        <v>1.3345421099999999</v>
      </c>
      <c r="M167" s="1">
        <v>0.15086128200000001</v>
      </c>
      <c r="N167" s="1" t="s">
        <v>112</v>
      </c>
      <c r="O167" s="1" t="s">
        <v>113</v>
      </c>
      <c r="P167" s="1">
        <v>1.4505889999999999</v>
      </c>
      <c r="Q167" s="1">
        <v>0.33363546999999999</v>
      </c>
      <c r="R167" s="1">
        <v>5.8023559999999998E-3</v>
      </c>
      <c r="S167" s="1">
        <v>5.2221204E-2</v>
      </c>
      <c r="T167" s="1">
        <v>4.2067080999999999E-2</v>
      </c>
      <c r="U167" s="1" t="s">
        <v>123</v>
      </c>
      <c r="V167" s="1" t="s">
        <v>124</v>
      </c>
      <c r="W167" s="1">
        <v>33</v>
      </c>
      <c r="X167" s="1">
        <v>24.09</v>
      </c>
      <c r="Y167" s="1">
        <v>1.5840000000000001</v>
      </c>
      <c r="Z167" s="1">
        <v>0.627</v>
      </c>
      <c r="AA167" s="1">
        <v>2.64</v>
      </c>
      <c r="AB167" s="1" t="s">
        <v>95</v>
      </c>
      <c r="AC167" s="1" t="s">
        <v>96</v>
      </c>
      <c r="AD167" s="1">
        <v>0.58023599999999997</v>
      </c>
      <c r="AE167" s="1">
        <v>0.23209440000000001</v>
      </c>
      <c r="AF167" s="1">
        <v>5.8023600000000003E-4</v>
      </c>
      <c r="AG167" s="1">
        <v>5.2221240000000002E-2</v>
      </c>
      <c r="AH167" s="1">
        <v>6.3825959999999999E-3</v>
      </c>
      <c r="AI167" s="1" t="s">
        <v>77</v>
      </c>
      <c r="AJ167" s="1" t="s">
        <v>78</v>
      </c>
      <c r="AK167" s="1">
        <v>0.87035399999999996</v>
      </c>
      <c r="AL167" s="1">
        <v>1.29682746</v>
      </c>
      <c r="AM167" s="1">
        <v>4.3517699999999996E-3</v>
      </c>
      <c r="AN167" s="1">
        <v>0.28721681999999998</v>
      </c>
      <c r="AO167" s="1">
        <v>5.5702656000000003E-2</v>
      </c>
      <c r="AP167" s="1" t="s">
        <v>79</v>
      </c>
      <c r="AQ167" s="1" t="s">
        <v>80</v>
      </c>
      <c r="AR167" s="1">
        <v>0.87035399999999996</v>
      </c>
      <c r="AS167" s="1">
        <v>0.1740708</v>
      </c>
      <c r="AT167" s="1">
        <v>1.7407080000000001E-3</v>
      </c>
      <c r="AU167" s="1">
        <v>2.8721681999999998E-2</v>
      </c>
      <c r="AV167" s="1">
        <v>1.3055310000000001E-2</v>
      </c>
      <c r="AW167" s="1" t="s">
        <v>13</v>
      </c>
      <c r="AX167" s="1" t="s">
        <v>14</v>
      </c>
      <c r="AY167" s="1">
        <v>0.217588</v>
      </c>
      <c r="AZ167" s="1">
        <v>1.9234779200000001</v>
      </c>
      <c r="BA167" s="1">
        <v>0.217588</v>
      </c>
      <c r="BB167" s="1">
        <v>0</v>
      </c>
      <c r="BC167" s="1">
        <v>0</v>
      </c>
      <c r="BD167" s="1" t="s">
        <v>157</v>
      </c>
      <c r="BE167" s="1" t="s">
        <v>158</v>
      </c>
      <c r="BF167" s="1">
        <v>7.2528999999999996E-2</v>
      </c>
      <c r="BG167" s="1">
        <v>2.9011599999999999E-2</v>
      </c>
      <c r="BH167" s="1">
        <v>2.9011599999999999E-4</v>
      </c>
      <c r="BI167" s="1">
        <v>6.4550809999999997E-3</v>
      </c>
      <c r="BJ167" s="1">
        <v>1.3055219999999999E-3</v>
      </c>
      <c r="BK167" s="1" t="s">
        <v>17</v>
      </c>
      <c r="BL167" s="1" t="s">
        <v>18</v>
      </c>
      <c r="BM167" s="1">
        <v>7.2528999999999996E-2</v>
      </c>
      <c r="BN167" s="1">
        <v>0</v>
      </c>
      <c r="BO167" s="1">
        <v>0</v>
      </c>
      <c r="BP167" s="1">
        <v>0</v>
      </c>
      <c r="BQ167" s="1">
        <v>0</v>
      </c>
      <c r="BR167" s="1" t="s">
        <v>272</v>
      </c>
      <c r="BS167" s="1" t="s">
        <v>273</v>
      </c>
      <c r="BT167" s="1">
        <v>29.011786000000001</v>
      </c>
      <c r="BU167" s="1">
        <v>51.640979080000001</v>
      </c>
      <c r="BV167" s="1">
        <v>2.32094288</v>
      </c>
      <c r="BW167" s="1">
        <v>0</v>
      </c>
      <c r="BX167" s="1">
        <v>6.9628286399999997</v>
      </c>
      <c r="BY167" s="1" t="s">
        <v>211</v>
      </c>
      <c r="BZ167" s="1" t="s">
        <v>212</v>
      </c>
      <c r="CA167" s="1">
        <v>3.6264999999999999E-2</v>
      </c>
      <c r="CB167" s="1">
        <v>1.08795E-2</v>
      </c>
      <c r="CC167" s="4">
        <v>7.2529999999999998E-5</v>
      </c>
      <c r="CD167" s="1">
        <v>3.8078249999999999E-3</v>
      </c>
      <c r="CE167" s="1">
        <v>2.5385499999999999E-4</v>
      </c>
      <c r="CF167" s="1" t="s">
        <v>42</v>
      </c>
      <c r="CG167" s="1" t="s">
        <v>43</v>
      </c>
      <c r="CH167" s="1">
        <v>0.29011799999999999</v>
      </c>
      <c r="CI167" s="1">
        <v>8.4134219999999996E-2</v>
      </c>
      <c r="CJ167" s="1">
        <v>1.1604720000000001E-3</v>
      </c>
      <c r="CK167" s="1">
        <v>1.885767E-2</v>
      </c>
      <c r="CL167" s="1">
        <v>2.6110619999999999E-3</v>
      </c>
      <c r="CM167" s="1" t="s">
        <v>87</v>
      </c>
      <c r="CN167" s="1" t="s">
        <v>88</v>
      </c>
      <c r="CO167" s="1">
        <v>0.29011799999999999</v>
      </c>
      <c r="CP167" s="1">
        <v>4.9320059999999999E-2</v>
      </c>
      <c r="CQ167" s="1">
        <v>0</v>
      </c>
      <c r="CR167" s="1">
        <v>1.6246607999999999E-2</v>
      </c>
      <c r="CS167" s="1">
        <v>1.1604720000000001E-3</v>
      </c>
      <c r="CT167" s="1" t="s">
        <v>172</v>
      </c>
      <c r="CU167" s="1" t="s">
        <v>173</v>
      </c>
      <c r="CV167" s="1">
        <v>0.29011799999999999</v>
      </c>
      <c r="CW167" s="1">
        <v>6.6146904000000006E-2</v>
      </c>
      <c r="CX167" s="1">
        <v>1.4505900000000001E-3</v>
      </c>
      <c r="CY167" s="1">
        <v>1.0734366E-2</v>
      </c>
      <c r="CZ167" s="1">
        <v>6.3825959999999999E-3</v>
      </c>
      <c r="DA167" s="1" t="s">
        <v>174</v>
      </c>
      <c r="DB167" s="1" t="s">
        <v>175</v>
      </c>
      <c r="DC167" s="1">
        <v>0.14505899999999999</v>
      </c>
      <c r="DD167" s="1">
        <v>0.1160472</v>
      </c>
      <c r="DE167" s="1">
        <v>1.1604720000000001E-3</v>
      </c>
      <c r="DF167" s="1">
        <v>2.6110620000000001E-2</v>
      </c>
      <c r="DG167" s="1">
        <v>2.6110619999999999E-3</v>
      </c>
    </row>
    <row r="168" spans="1:146" ht="14.25" customHeight="1" x14ac:dyDescent="0.35">
      <c r="A168" s="1" t="s">
        <v>392</v>
      </c>
      <c r="B168" s="2">
        <f t="shared" si="10"/>
        <v>62.397240883999999</v>
      </c>
      <c r="C168" s="2">
        <f t="shared" si="11"/>
        <v>40</v>
      </c>
      <c r="D168" s="3">
        <f t="shared" si="12"/>
        <v>2.6073613430000004</v>
      </c>
      <c r="E168" s="2">
        <f t="shared" si="13"/>
        <v>1.8371352260000002</v>
      </c>
      <c r="F168" s="2">
        <f t="shared" si="14"/>
        <v>7.2452221339999987</v>
      </c>
      <c r="G168" s="1" t="s">
        <v>222</v>
      </c>
      <c r="H168" s="1" t="s">
        <v>223</v>
      </c>
      <c r="I168" s="1">
        <v>5.8023569999999998</v>
      </c>
      <c r="J168" s="1">
        <v>6.4406162699999996</v>
      </c>
      <c r="K168" s="1">
        <v>5.2221213000000002E-2</v>
      </c>
      <c r="L168" s="1">
        <v>1.3345421099999999</v>
      </c>
      <c r="M168" s="1">
        <v>0.15086128200000001</v>
      </c>
      <c r="N168" s="1" t="s">
        <v>112</v>
      </c>
      <c r="O168" s="1" t="s">
        <v>113</v>
      </c>
      <c r="P168" s="1">
        <v>1.4505889999999999</v>
      </c>
      <c r="Q168" s="1">
        <v>0.33363546999999999</v>
      </c>
      <c r="R168" s="1">
        <v>5.8023559999999998E-3</v>
      </c>
      <c r="S168" s="1">
        <v>5.2221204E-2</v>
      </c>
      <c r="T168" s="1">
        <v>4.2067080999999999E-2</v>
      </c>
      <c r="U168" s="1" t="s">
        <v>95</v>
      </c>
      <c r="V168" s="1" t="s">
        <v>96</v>
      </c>
      <c r="W168" s="1">
        <v>0.58023599999999997</v>
      </c>
      <c r="X168" s="1">
        <v>0.23209440000000001</v>
      </c>
      <c r="Y168" s="1">
        <v>5.8023600000000003E-4</v>
      </c>
      <c r="Z168" s="1">
        <v>5.2221240000000002E-2</v>
      </c>
      <c r="AA168" s="1">
        <v>6.3825959999999999E-3</v>
      </c>
      <c r="AB168" s="1" t="s">
        <v>77</v>
      </c>
      <c r="AC168" s="1" t="s">
        <v>78</v>
      </c>
      <c r="AD168" s="1">
        <v>0.87035399999999996</v>
      </c>
      <c r="AE168" s="1">
        <v>1.29682746</v>
      </c>
      <c r="AF168" s="1">
        <v>4.3517699999999996E-3</v>
      </c>
      <c r="AG168" s="1">
        <v>0.28721681999999998</v>
      </c>
      <c r="AH168" s="1">
        <v>5.5702656000000003E-2</v>
      </c>
      <c r="AI168" s="1" t="s">
        <v>79</v>
      </c>
      <c r="AJ168" s="1" t="s">
        <v>80</v>
      </c>
      <c r="AK168" s="1">
        <v>0.87035399999999996</v>
      </c>
      <c r="AL168" s="1">
        <v>0.1740708</v>
      </c>
      <c r="AM168" s="1">
        <v>1.7407080000000001E-3</v>
      </c>
      <c r="AN168" s="1">
        <v>2.8721681999999998E-2</v>
      </c>
      <c r="AO168" s="1">
        <v>1.3055310000000001E-2</v>
      </c>
      <c r="AP168" s="1" t="s">
        <v>13</v>
      </c>
      <c r="AQ168" s="1" t="s">
        <v>14</v>
      </c>
      <c r="AR168" s="1">
        <v>0.217588</v>
      </c>
      <c r="AS168" s="1">
        <v>1.9234779200000001</v>
      </c>
      <c r="AT168" s="1">
        <v>0.217588</v>
      </c>
      <c r="AU168" s="1">
        <v>0</v>
      </c>
      <c r="AV168" s="1">
        <v>0</v>
      </c>
      <c r="AW168" s="1" t="s">
        <v>157</v>
      </c>
      <c r="AX168" s="1" t="s">
        <v>158</v>
      </c>
      <c r="AY168" s="1">
        <v>7.2528999999999996E-2</v>
      </c>
      <c r="AZ168" s="1">
        <v>2.9011599999999999E-2</v>
      </c>
      <c r="BA168" s="1">
        <v>2.9011599999999999E-4</v>
      </c>
      <c r="BB168" s="1">
        <v>6.4550809999999997E-3</v>
      </c>
      <c r="BC168" s="1">
        <v>1.3055219999999999E-3</v>
      </c>
      <c r="BD168" s="1" t="s">
        <v>17</v>
      </c>
      <c r="BE168" s="1" t="s">
        <v>18</v>
      </c>
      <c r="BF168" s="1">
        <v>7.2528999999999996E-2</v>
      </c>
      <c r="BG168" s="1">
        <v>0</v>
      </c>
      <c r="BH168" s="1">
        <v>0</v>
      </c>
      <c r="BI168" s="1">
        <v>0</v>
      </c>
      <c r="BJ168" s="1">
        <v>0</v>
      </c>
      <c r="BK168" s="1" t="s">
        <v>272</v>
      </c>
      <c r="BL168" s="1" t="s">
        <v>273</v>
      </c>
      <c r="BM168" s="1">
        <v>29.011786000000001</v>
      </c>
      <c r="BN168" s="1">
        <v>51.640979080000001</v>
      </c>
      <c r="BO168" s="1">
        <v>2.32094288</v>
      </c>
      <c r="BP168" s="1">
        <v>0</v>
      </c>
      <c r="BQ168" s="1">
        <v>6.9628286399999997</v>
      </c>
      <c r="BR168" s="1" t="s">
        <v>211</v>
      </c>
      <c r="BS168" s="1" t="s">
        <v>212</v>
      </c>
      <c r="BT168" s="1">
        <v>3.6264999999999999E-2</v>
      </c>
      <c r="BU168" s="1">
        <v>1.08795E-2</v>
      </c>
      <c r="BV168" s="4">
        <v>7.2529999999999998E-5</v>
      </c>
      <c r="BW168" s="1">
        <v>3.8078249999999999E-3</v>
      </c>
      <c r="BX168" s="1">
        <v>2.5385499999999999E-4</v>
      </c>
      <c r="BY168" s="1" t="s">
        <v>42</v>
      </c>
      <c r="BZ168" s="1" t="s">
        <v>43</v>
      </c>
      <c r="CA168" s="1">
        <v>0.29011799999999999</v>
      </c>
      <c r="CB168" s="1">
        <v>8.4134219999999996E-2</v>
      </c>
      <c r="CC168" s="1">
        <v>1.1604720000000001E-3</v>
      </c>
      <c r="CD168" s="1">
        <v>1.885767E-2</v>
      </c>
      <c r="CE168" s="1">
        <v>2.6110619999999999E-3</v>
      </c>
      <c r="CF168" s="1" t="s">
        <v>87</v>
      </c>
      <c r="CG168" s="1" t="s">
        <v>88</v>
      </c>
      <c r="CH168" s="1">
        <v>0.29011799999999999</v>
      </c>
      <c r="CI168" s="1">
        <v>4.9320059999999999E-2</v>
      </c>
      <c r="CJ168" s="1">
        <v>0</v>
      </c>
      <c r="CK168" s="1">
        <v>1.6246607999999999E-2</v>
      </c>
      <c r="CL168" s="1">
        <v>1.1604720000000001E-3</v>
      </c>
      <c r="CM168" s="1" t="s">
        <v>172</v>
      </c>
      <c r="CN168" s="1" t="s">
        <v>173</v>
      </c>
      <c r="CO168" s="1">
        <v>0.29011799999999999</v>
      </c>
      <c r="CP168" s="1">
        <v>6.6146904000000006E-2</v>
      </c>
      <c r="CQ168" s="1">
        <v>1.4505900000000001E-3</v>
      </c>
      <c r="CR168" s="1">
        <v>1.0734366E-2</v>
      </c>
      <c r="CS168" s="1">
        <v>6.3825959999999999E-3</v>
      </c>
      <c r="CT168" s="1" t="s">
        <v>174</v>
      </c>
      <c r="CU168" s="1" t="s">
        <v>175</v>
      </c>
      <c r="CV168" s="1">
        <v>0.14505899999999999</v>
      </c>
      <c r="CW168" s="1">
        <v>0.1160472</v>
      </c>
      <c r="CX168" s="1">
        <v>1.1604720000000001E-3</v>
      </c>
      <c r="CY168" s="1">
        <v>2.6110620000000001E-2</v>
      </c>
      <c r="CZ168" s="1">
        <v>2.6110619999999999E-3</v>
      </c>
    </row>
    <row r="169" spans="1:146" ht="14.25" customHeight="1" x14ac:dyDescent="0.35">
      <c r="A169" s="1" t="s">
        <v>437</v>
      </c>
      <c r="B169" s="2">
        <f t="shared" si="10"/>
        <v>47.243809141999996</v>
      </c>
      <c r="C169" s="2">
        <f t="shared" si="11"/>
        <v>71.999995999999996</v>
      </c>
      <c r="D169" s="2">
        <f t="shared" si="12"/>
        <v>0.77210362999999993</v>
      </c>
      <c r="E169" s="2">
        <f t="shared" si="13"/>
        <v>9.6014484020000008</v>
      </c>
      <c r="F169" s="2">
        <f t="shared" si="14"/>
        <v>1.1028055729999999</v>
      </c>
      <c r="G169" s="1" t="s">
        <v>262</v>
      </c>
      <c r="H169" s="1" t="s">
        <v>263</v>
      </c>
      <c r="I169" s="1">
        <v>30.757072000000001</v>
      </c>
      <c r="J169" s="1">
        <v>18.761813920000002</v>
      </c>
      <c r="K169" s="1">
        <v>9.2271216000000003E-2</v>
      </c>
      <c r="L169" s="1">
        <v>4.3059900799999999</v>
      </c>
      <c r="M169" s="1">
        <v>0.46135608</v>
      </c>
      <c r="N169" s="1" t="s">
        <v>13</v>
      </c>
      <c r="O169" s="1" t="s">
        <v>14</v>
      </c>
      <c r="P169" s="1">
        <v>0.542462</v>
      </c>
      <c r="Q169" s="1">
        <v>4.7953640799999997</v>
      </c>
      <c r="R169" s="1">
        <v>0.542462</v>
      </c>
      <c r="S169" s="1">
        <v>0</v>
      </c>
      <c r="T169" s="1">
        <v>0</v>
      </c>
      <c r="U169" s="1" t="s">
        <v>429</v>
      </c>
      <c r="V169" s="1" t="s">
        <v>430</v>
      </c>
      <c r="W169" s="1">
        <v>14.763394999999999</v>
      </c>
      <c r="X169" s="1">
        <v>18.321373195</v>
      </c>
      <c r="Y169" s="1">
        <v>2.9526790000000001E-2</v>
      </c>
      <c r="Z169" s="1">
        <v>4.3404381299999999</v>
      </c>
      <c r="AA169" s="1">
        <v>0.23621432000000001</v>
      </c>
      <c r="AB169" s="1" t="s">
        <v>17</v>
      </c>
      <c r="AC169" s="1" t="s">
        <v>18</v>
      </c>
      <c r="AD169" s="1">
        <v>11.072546000000001</v>
      </c>
      <c r="AE169" s="1">
        <v>0</v>
      </c>
      <c r="AF169" s="1">
        <v>0</v>
      </c>
      <c r="AG169" s="1">
        <v>0</v>
      </c>
      <c r="AH169" s="1">
        <v>0</v>
      </c>
      <c r="AI169" s="1" t="s">
        <v>37</v>
      </c>
      <c r="AJ169" s="1" t="s">
        <v>38</v>
      </c>
      <c r="AK169" s="1">
        <v>1.845424</v>
      </c>
      <c r="AL169" s="1">
        <v>0.53517296000000003</v>
      </c>
      <c r="AM169" s="1">
        <v>3.690848E-3</v>
      </c>
      <c r="AN169" s="1">
        <v>0.121797984</v>
      </c>
      <c r="AO169" s="1">
        <v>2.7681359999999999E-2</v>
      </c>
      <c r="AP169" s="1" t="s">
        <v>89</v>
      </c>
      <c r="AQ169" s="1" t="s">
        <v>90</v>
      </c>
      <c r="AR169" s="1">
        <v>13.019097</v>
      </c>
      <c r="AS169" s="1">
        <v>4.8300849870000002</v>
      </c>
      <c r="AT169" s="1">
        <v>0.104152776</v>
      </c>
      <c r="AU169" s="1">
        <v>0.83322220800000002</v>
      </c>
      <c r="AV169" s="1">
        <v>0.37755381300000002</v>
      </c>
    </row>
    <row r="170" spans="1:146" ht="14.25" customHeight="1" x14ac:dyDescent="0.35">
      <c r="A170" s="1" t="s">
        <v>297</v>
      </c>
      <c r="B170" s="2">
        <f t="shared" si="10"/>
        <v>478.89883632999994</v>
      </c>
      <c r="C170" s="2">
        <f t="shared" si="11"/>
        <v>306.99999599999995</v>
      </c>
      <c r="D170" s="2">
        <f t="shared" si="12"/>
        <v>20.011500888</v>
      </c>
      <c r="E170" s="2">
        <f t="shared" si="13"/>
        <v>14.100012035999999</v>
      </c>
      <c r="F170" s="2">
        <f t="shared" si="14"/>
        <v>55.607078190999992</v>
      </c>
      <c r="G170" s="1" t="s">
        <v>222</v>
      </c>
      <c r="H170" s="1" t="s">
        <v>223</v>
      </c>
      <c r="I170" s="1">
        <v>44.533092000000003</v>
      </c>
      <c r="J170" s="1">
        <v>49.431732119999999</v>
      </c>
      <c r="K170" s="1">
        <v>0.40079782800000002</v>
      </c>
      <c r="L170" s="1">
        <v>10.242611159999999</v>
      </c>
      <c r="M170" s="1">
        <v>1.1578603919999999</v>
      </c>
      <c r="N170" s="1" t="s">
        <v>112</v>
      </c>
      <c r="O170" s="1" t="s">
        <v>113</v>
      </c>
      <c r="P170" s="1">
        <v>11.133273000000001</v>
      </c>
      <c r="Q170" s="1">
        <v>2.5606527899999998</v>
      </c>
      <c r="R170" s="1">
        <v>4.4533092000000003E-2</v>
      </c>
      <c r="S170" s="1">
        <v>0.40079782800000002</v>
      </c>
      <c r="T170" s="1">
        <v>0.32286491699999997</v>
      </c>
      <c r="U170" s="1" t="s">
        <v>95</v>
      </c>
      <c r="V170" s="1" t="s">
        <v>96</v>
      </c>
      <c r="W170" s="1">
        <v>4.453309</v>
      </c>
      <c r="X170" s="1">
        <v>1.7813235999999999</v>
      </c>
      <c r="Y170" s="1">
        <v>4.4533089999999999E-3</v>
      </c>
      <c r="Z170" s="1">
        <v>0.40079780999999998</v>
      </c>
      <c r="AA170" s="1">
        <v>4.8986399E-2</v>
      </c>
      <c r="AB170" s="1" t="s">
        <v>77</v>
      </c>
      <c r="AC170" s="1" t="s">
        <v>78</v>
      </c>
      <c r="AD170" s="1">
        <v>6.679964</v>
      </c>
      <c r="AE170" s="1">
        <v>9.9531463599999999</v>
      </c>
      <c r="AF170" s="1">
        <v>3.3399819999999997E-2</v>
      </c>
      <c r="AG170" s="1">
        <v>2.20438812</v>
      </c>
      <c r="AH170" s="1">
        <v>0.427517696</v>
      </c>
      <c r="AI170" s="1" t="s">
        <v>79</v>
      </c>
      <c r="AJ170" s="1" t="s">
        <v>80</v>
      </c>
      <c r="AK170" s="1">
        <v>6.679964</v>
      </c>
      <c r="AL170" s="1">
        <v>1.3359928000000001</v>
      </c>
      <c r="AM170" s="1">
        <v>1.3359928E-2</v>
      </c>
      <c r="AN170" s="1">
        <v>0.22043881200000001</v>
      </c>
      <c r="AO170" s="1">
        <v>0.10019946</v>
      </c>
      <c r="AP170" s="1" t="s">
        <v>13</v>
      </c>
      <c r="AQ170" s="1" t="s">
        <v>14</v>
      </c>
      <c r="AR170" s="1">
        <v>1.669991</v>
      </c>
      <c r="AS170" s="1">
        <v>14.762720440000001</v>
      </c>
      <c r="AT170" s="1">
        <v>1.669991</v>
      </c>
      <c r="AU170" s="1">
        <v>0</v>
      </c>
      <c r="AV170" s="1">
        <v>0</v>
      </c>
      <c r="AW170" s="1" t="s">
        <v>157</v>
      </c>
      <c r="AX170" s="1" t="s">
        <v>158</v>
      </c>
      <c r="AY170" s="1">
        <v>0.55666400000000005</v>
      </c>
      <c r="AZ170" s="1">
        <v>0.22266559999999999</v>
      </c>
      <c r="BA170" s="1">
        <v>2.226656E-3</v>
      </c>
      <c r="BB170" s="1">
        <v>4.9543096000000002E-2</v>
      </c>
      <c r="BC170" s="1">
        <v>1.0019952E-2</v>
      </c>
      <c r="BD170" s="1" t="s">
        <v>17</v>
      </c>
      <c r="BE170" s="1" t="s">
        <v>18</v>
      </c>
      <c r="BF170" s="1">
        <v>0.55666400000000005</v>
      </c>
      <c r="BG170" s="1">
        <v>0</v>
      </c>
      <c r="BH170" s="1">
        <v>0</v>
      </c>
      <c r="BI170" s="1">
        <v>0</v>
      </c>
      <c r="BJ170" s="1">
        <v>0</v>
      </c>
      <c r="BK170" s="1" t="s">
        <v>272</v>
      </c>
      <c r="BL170" s="1" t="s">
        <v>273</v>
      </c>
      <c r="BM170" s="1">
        <v>222.66545099999999</v>
      </c>
      <c r="BN170" s="1">
        <v>396.34450278000003</v>
      </c>
      <c r="BO170" s="1">
        <v>17.813236079999999</v>
      </c>
      <c r="BP170" s="1">
        <v>0</v>
      </c>
      <c r="BQ170" s="1">
        <v>53.439708240000002</v>
      </c>
      <c r="BR170" s="1" t="s">
        <v>211</v>
      </c>
      <c r="BS170" s="1" t="s">
        <v>212</v>
      </c>
      <c r="BT170" s="1">
        <v>0.27833200000000002</v>
      </c>
      <c r="BU170" s="1">
        <v>8.3499599999999993E-2</v>
      </c>
      <c r="BV170" s="1">
        <v>5.5666400000000001E-4</v>
      </c>
      <c r="BW170" s="1">
        <v>2.9224859999999998E-2</v>
      </c>
      <c r="BX170" s="1">
        <v>1.948324E-3</v>
      </c>
      <c r="BY170" s="1" t="s">
        <v>42</v>
      </c>
      <c r="BZ170" s="1" t="s">
        <v>43</v>
      </c>
      <c r="CA170" s="1">
        <v>2.2266550000000001</v>
      </c>
      <c r="CB170" s="1">
        <v>0.64572995</v>
      </c>
      <c r="CC170" s="1">
        <v>8.9066200000000005E-3</v>
      </c>
      <c r="CD170" s="1">
        <v>0.144732575</v>
      </c>
      <c r="CE170" s="1">
        <v>2.0039894999999999E-2</v>
      </c>
      <c r="CF170" s="1" t="s">
        <v>87</v>
      </c>
      <c r="CG170" s="1" t="s">
        <v>88</v>
      </c>
      <c r="CH170" s="1">
        <v>2.2266550000000001</v>
      </c>
      <c r="CI170" s="1">
        <v>0.37853134999999999</v>
      </c>
      <c r="CJ170" s="1">
        <v>0</v>
      </c>
      <c r="CK170" s="1">
        <v>0.12469268</v>
      </c>
      <c r="CL170" s="1">
        <v>8.9066200000000005E-3</v>
      </c>
      <c r="CM170" s="1" t="s">
        <v>172</v>
      </c>
      <c r="CN170" s="1" t="s">
        <v>173</v>
      </c>
      <c r="CO170" s="1">
        <v>2.2266550000000001</v>
      </c>
      <c r="CP170" s="1">
        <v>0.50767733999999998</v>
      </c>
      <c r="CQ170" s="1">
        <v>1.1133275E-2</v>
      </c>
      <c r="CR170" s="1">
        <v>8.2386235000000002E-2</v>
      </c>
      <c r="CS170" s="1">
        <v>4.8986410000000001E-2</v>
      </c>
      <c r="CT170" s="1" t="s">
        <v>174</v>
      </c>
      <c r="CU170" s="1" t="s">
        <v>175</v>
      </c>
      <c r="CV170" s="1">
        <v>1.113327</v>
      </c>
      <c r="CW170" s="1">
        <v>0.89066160000000005</v>
      </c>
      <c r="CX170" s="1">
        <v>8.9066159999999991E-3</v>
      </c>
      <c r="CY170" s="1">
        <v>0.20039886000000001</v>
      </c>
      <c r="CZ170" s="1">
        <v>2.0039886E-2</v>
      </c>
    </row>
    <row r="171" spans="1:146" ht="14.25" customHeight="1" x14ac:dyDescent="0.35">
      <c r="A171" s="1" t="s">
        <v>455</v>
      </c>
      <c r="B171" s="2">
        <f t="shared" si="10"/>
        <v>76.89</v>
      </c>
      <c r="C171" s="2">
        <f t="shared" si="11"/>
        <v>233</v>
      </c>
      <c r="D171" s="2">
        <f t="shared" si="12"/>
        <v>0.69899999999999995</v>
      </c>
      <c r="E171" s="2">
        <f t="shared" si="13"/>
        <v>18.64</v>
      </c>
      <c r="F171" s="2">
        <f t="shared" si="14"/>
        <v>1.631</v>
      </c>
      <c r="G171" s="1" t="s">
        <v>52</v>
      </c>
      <c r="H171" s="1" t="s">
        <v>53</v>
      </c>
      <c r="I171" s="1">
        <v>233</v>
      </c>
      <c r="J171" s="1">
        <v>76.89</v>
      </c>
      <c r="K171" s="1">
        <v>0.69899999999999995</v>
      </c>
      <c r="L171" s="1">
        <v>18.64</v>
      </c>
      <c r="M171" s="1">
        <v>1.631</v>
      </c>
    </row>
    <row r="172" spans="1:146" ht="14.25" customHeight="1" x14ac:dyDescent="0.35">
      <c r="A172" s="1" t="s">
        <v>546</v>
      </c>
      <c r="B172" s="2">
        <f t="shared" si="10"/>
        <v>125.71499999999999</v>
      </c>
      <c r="C172" s="2">
        <f t="shared" si="11"/>
        <v>261</v>
      </c>
      <c r="D172" s="2">
        <f t="shared" si="12"/>
        <v>0.52200000000000002</v>
      </c>
      <c r="E172" s="2">
        <f t="shared" si="13"/>
        <v>4.3934999999999995</v>
      </c>
      <c r="F172" s="2">
        <f t="shared" si="14"/>
        <v>22.4025</v>
      </c>
      <c r="G172" s="1" t="s">
        <v>35</v>
      </c>
      <c r="H172" s="1" t="s">
        <v>36</v>
      </c>
      <c r="I172" s="1">
        <v>217.5</v>
      </c>
      <c r="J172" s="1">
        <v>113.1</v>
      </c>
      <c r="K172" s="1">
        <v>0.435</v>
      </c>
      <c r="L172" s="1">
        <v>1.5225</v>
      </c>
      <c r="M172" s="1">
        <v>21.75</v>
      </c>
      <c r="N172" s="1" t="s">
        <v>37</v>
      </c>
      <c r="O172" s="1" t="s">
        <v>38</v>
      </c>
      <c r="P172" s="1">
        <v>43.5</v>
      </c>
      <c r="Q172" s="1">
        <v>12.615</v>
      </c>
      <c r="R172" s="1">
        <v>8.6999999999999994E-2</v>
      </c>
      <c r="S172" s="1">
        <v>2.871</v>
      </c>
      <c r="T172" s="1">
        <v>0.65249999999999997</v>
      </c>
    </row>
    <row r="173" spans="1:146" ht="14.25" customHeight="1" x14ac:dyDescent="0.35">
      <c r="A173" s="1" t="s">
        <v>217</v>
      </c>
      <c r="B173" s="2">
        <f t="shared" si="10"/>
        <v>602.85209495000004</v>
      </c>
      <c r="C173" s="2">
        <f t="shared" si="11"/>
        <v>316.99999800000001</v>
      </c>
      <c r="D173" s="2">
        <f t="shared" si="12"/>
        <v>42.647755059999994</v>
      </c>
      <c r="E173" s="2">
        <f t="shared" si="13"/>
        <v>32.626089606000001</v>
      </c>
      <c r="F173" s="2">
        <f t="shared" si="14"/>
        <v>23.860320684000001</v>
      </c>
      <c r="G173" s="1" t="s">
        <v>30</v>
      </c>
      <c r="H173" s="1" t="s">
        <v>31</v>
      </c>
      <c r="I173" s="1">
        <v>130.83332799999999</v>
      </c>
      <c r="J173" s="1">
        <v>193.63332543999999</v>
      </c>
      <c r="K173" s="1">
        <v>14.39166608</v>
      </c>
      <c r="L173" s="1">
        <v>2.093333248</v>
      </c>
      <c r="M173" s="1">
        <v>13.083332800000001</v>
      </c>
      <c r="N173" s="1" t="s">
        <v>33</v>
      </c>
      <c r="O173" s="1" t="s">
        <v>34</v>
      </c>
      <c r="P173" s="1">
        <v>75</v>
      </c>
      <c r="Q173" s="1">
        <v>244.5</v>
      </c>
      <c r="R173" s="1">
        <v>16.5</v>
      </c>
      <c r="S173" s="1">
        <v>24</v>
      </c>
      <c r="T173" s="1">
        <v>1.95</v>
      </c>
      <c r="U173" s="1" t="s">
        <v>47</v>
      </c>
      <c r="V173" s="1" t="s">
        <v>48</v>
      </c>
      <c r="W173" s="1">
        <v>45.853661000000002</v>
      </c>
      <c r="X173" s="1">
        <v>16.048781349999999</v>
      </c>
      <c r="Y173" s="1">
        <v>0.18341464399999999</v>
      </c>
      <c r="Z173" s="1">
        <v>3.2097562700000002</v>
      </c>
      <c r="AA173" s="1">
        <v>1.100487864</v>
      </c>
      <c r="AB173" s="1" t="s">
        <v>49</v>
      </c>
      <c r="AC173" s="1" t="s">
        <v>50</v>
      </c>
      <c r="AD173" s="1">
        <v>38</v>
      </c>
      <c r="AE173" s="1">
        <v>130.94800000000001</v>
      </c>
      <c r="AF173" s="1">
        <v>10.374000000000001</v>
      </c>
      <c r="AG173" s="1">
        <v>1.5960000000000001</v>
      </c>
      <c r="AH173" s="1">
        <v>7.3339999999999996</v>
      </c>
      <c r="AI173" s="1" t="s">
        <v>13</v>
      </c>
      <c r="AJ173" s="1" t="s">
        <v>14</v>
      </c>
      <c r="AK173" s="1">
        <v>1.1463410000000001</v>
      </c>
      <c r="AL173" s="1">
        <v>10.133654440000001</v>
      </c>
      <c r="AM173" s="1">
        <v>1.1463410000000001</v>
      </c>
      <c r="AN173" s="1">
        <v>0</v>
      </c>
      <c r="AO173" s="1">
        <v>0</v>
      </c>
      <c r="AP173" s="1" t="s">
        <v>37</v>
      </c>
      <c r="AQ173" s="1" t="s">
        <v>38</v>
      </c>
      <c r="AR173" s="1">
        <v>26.166668000000001</v>
      </c>
      <c r="AS173" s="1">
        <v>7.5883337199999996</v>
      </c>
      <c r="AT173" s="1">
        <v>5.2333336000000001E-2</v>
      </c>
      <c r="AU173" s="1">
        <v>1.727000088</v>
      </c>
      <c r="AV173" s="1">
        <v>0.39250002000000001</v>
      </c>
    </row>
    <row r="174" spans="1:146" ht="14.25" customHeight="1" x14ac:dyDescent="0.35">
      <c r="A174" s="1" t="s">
        <v>46</v>
      </c>
      <c r="B174" s="2">
        <f t="shared" si="10"/>
        <v>401.63043578999998</v>
      </c>
      <c r="C174" s="2">
        <f t="shared" si="11"/>
        <v>160.00000199999999</v>
      </c>
      <c r="D174" s="2">
        <f t="shared" si="12"/>
        <v>28.203755643999997</v>
      </c>
      <c r="E174" s="2">
        <f t="shared" si="13"/>
        <v>28.80575627</v>
      </c>
      <c r="F174" s="2">
        <f t="shared" si="14"/>
        <v>10.384487864</v>
      </c>
      <c r="G174" s="1" t="s">
        <v>33</v>
      </c>
      <c r="H174" s="1" t="s">
        <v>34</v>
      </c>
      <c r="I174" s="1">
        <v>75</v>
      </c>
      <c r="J174" s="1">
        <v>244.5</v>
      </c>
      <c r="K174" s="1">
        <v>16.5</v>
      </c>
      <c r="L174" s="1">
        <v>24</v>
      </c>
      <c r="M174" s="1">
        <v>1.95</v>
      </c>
      <c r="N174" s="1" t="s">
        <v>47</v>
      </c>
      <c r="O174" s="1" t="s">
        <v>48</v>
      </c>
      <c r="P174" s="1">
        <v>45.853661000000002</v>
      </c>
      <c r="Q174" s="1">
        <v>16.048781349999999</v>
      </c>
      <c r="R174" s="1">
        <v>0.18341464399999999</v>
      </c>
      <c r="S174" s="1">
        <v>3.2097562700000002</v>
      </c>
      <c r="T174" s="1">
        <v>1.100487864</v>
      </c>
      <c r="U174" s="1" t="s">
        <v>49</v>
      </c>
      <c r="V174" s="1" t="s">
        <v>50</v>
      </c>
      <c r="W174" s="1">
        <v>38</v>
      </c>
      <c r="X174" s="1">
        <v>130.94800000000001</v>
      </c>
      <c r="Y174" s="1">
        <v>10.374000000000001</v>
      </c>
      <c r="Z174" s="1">
        <v>1.5960000000000001</v>
      </c>
      <c r="AA174" s="1">
        <v>7.3339999999999996</v>
      </c>
      <c r="AB174" s="1" t="s">
        <v>13</v>
      </c>
      <c r="AC174" s="1" t="s">
        <v>14</v>
      </c>
      <c r="AD174" s="1">
        <v>1.1463410000000001</v>
      </c>
      <c r="AE174" s="1">
        <v>10.133654440000001</v>
      </c>
      <c r="AF174" s="1">
        <v>1.1463410000000001</v>
      </c>
      <c r="AG174" s="1">
        <v>0</v>
      </c>
      <c r="AH174" s="1">
        <v>0</v>
      </c>
    </row>
    <row r="175" spans="1:146" ht="14.25" customHeight="1" x14ac:dyDescent="0.35">
      <c r="A175" s="1" t="s">
        <v>106</v>
      </c>
      <c r="B175" s="2">
        <f t="shared" si="10"/>
        <v>157.13043578999998</v>
      </c>
      <c r="C175" s="2">
        <f t="shared" si="11"/>
        <v>85.000002000000009</v>
      </c>
      <c r="D175" s="2">
        <f t="shared" si="12"/>
        <v>11.703755644000001</v>
      </c>
      <c r="E175" s="2">
        <f t="shared" si="13"/>
        <v>4.8057562699999998</v>
      </c>
      <c r="F175" s="2">
        <f t="shared" si="14"/>
        <v>8.4344878639999994</v>
      </c>
      <c r="G175" s="1" t="s">
        <v>47</v>
      </c>
      <c r="H175" s="1" t="s">
        <v>48</v>
      </c>
      <c r="I175" s="1">
        <v>45.853661000000002</v>
      </c>
      <c r="J175" s="1">
        <v>16.048781349999999</v>
      </c>
      <c r="K175" s="1">
        <v>0.18341464399999999</v>
      </c>
      <c r="L175" s="1">
        <v>3.2097562700000002</v>
      </c>
      <c r="M175" s="1">
        <v>1.100487864</v>
      </c>
      <c r="N175" s="1" t="s">
        <v>49</v>
      </c>
      <c r="O175" s="1" t="s">
        <v>50</v>
      </c>
      <c r="P175" s="1">
        <v>38</v>
      </c>
      <c r="Q175" s="1">
        <v>130.94800000000001</v>
      </c>
      <c r="R175" s="1">
        <v>10.374000000000001</v>
      </c>
      <c r="S175" s="1">
        <v>1.5960000000000001</v>
      </c>
      <c r="T175" s="1">
        <v>7.3339999999999996</v>
      </c>
      <c r="U175" s="1" t="s">
        <v>13</v>
      </c>
      <c r="V175" s="1" t="s">
        <v>14</v>
      </c>
      <c r="W175" s="1">
        <v>1.1463410000000001</v>
      </c>
      <c r="X175" s="1">
        <v>10.133654440000001</v>
      </c>
      <c r="Y175" s="1">
        <v>1.1463410000000001</v>
      </c>
      <c r="Z175" s="1">
        <v>0</v>
      </c>
      <c r="AA175" s="1">
        <v>0</v>
      </c>
    </row>
    <row r="176" spans="1:146" ht="14.25" customHeight="1" x14ac:dyDescent="0.35">
      <c r="A176" s="1" t="s">
        <v>298</v>
      </c>
      <c r="B176" s="2">
        <f t="shared" si="10"/>
        <v>130.94800000000001</v>
      </c>
      <c r="C176" s="2">
        <f t="shared" si="11"/>
        <v>38</v>
      </c>
      <c r="D176" s="2">
        <f t="shared" si="12"/>
        <v>10.374000000000001</v>
      </c>
      <c r="E176" s="2">
        <f t="shared" si="13"/>
        <v>1.5960000000000001</v>
      </c>
      <c r="F176" s="2">
        <f t="shared" si="14"/>
        <v>7.3339999999999996</v>
      </c>
      <c r="G176" s="1" t="s">
        <v>49</v>
      </c>
      <c r="H176" s="1" t="s">
        <v>50</v>
      </c>
      <c r="I176" s="1">
        <v>38</v>
      </c>
      <c r="J176" s="1">
        <v>130.94800000000001</v>
      </c>
      <c r="K176" s="1">
        <v>10.374000000000001</v>
      </c>
      <c r="L176" s="1">
        <v>1.5960000000000001</v>
      </c>
      <c r="M176" s="1">
        <v>7.3339999999999996</v>
      </c>
    </row>
    <row r="177" spans="1:139" ht="14.25" customHeight="1" x14ac:dyDescent="0.35">
      <c r="A177" s="1" t="s">
        <v>156</v>
      </c>
      <c r="B177" s="2">
        <f t="shared" si="10"/>
        <v>49.6</v>
      </c>
      <c r="C177" s="2">
        <f t="shared" si="11"/>
        <v>124</v>
      </c>
      <c r="D177" s="2">
        <f t="shared" si="12"/>
        <v>0.496</v>
      </c>
      <c r="E177" s="2">
        <f t="shared" si="13"/>
        <v>11.036</v>
      </c>
      <c r="F177" s="2">
        <f t="shared" si="14"/>
        <v>2.2320000000000002</v>
      </c>
      <c r="G177" s="1" t="s">
        <v>157</v>
      </c>
      <c r="H177" s="1" t="s">
        <v>158</v>
      </c>
      <c r="I177" s="1">
        <v>124</v>
      </c>
      <c r="J177" s="1">
        <v>49.6</v>
      </c>
      <c r="K177" s="1">
        <v>0.496</v>
      </c>
      <c r="L177" s="1">
        <v>11.036</v>
      </c>
      <c r="M177" s="1">
        <v>2.2320000000000002</v>
      </c>
    </row>
    <row r="178" spans="1:139" ht="14.25" customHeight="1" x14ac:dyDescent="0.35">
      <c r="A178" s="1" t="s">
        <v>278</v>
      </c>
      <c r="B178" s="2">
        <f t="shared" si="10"/>
        <v>226.17</v>
      </c>
      <c r="C178" s="2">
        <f t="shared" si="11"/>
        <v>150</v>
      </c>
      <c r="D178" s="2">
        <f t="shared" si="12"/>
        <v>15.66</v>
      </c>
      <c r="E178" s="2">
        <f t="shared" si="13"/>
        <v>9.99</v>
      </c>
      <c r="F178" s="2">
        <f t="shared" si="14"/>
        <v>12.780000000000001</v>
      </c>
      <c r="G178" s="1" t="s">
        <v>139</v>
      </c>
      <c r="H178" s="1" t="s">
        <v>140</v>
      </c>
      <c r="I178" s="1">
        <v>60</v>
      </c>
      <c r="J178" s="1">
        <v>6</v>
      </c>
      <c r="K178" s="1">
        <v>0</v>
      </c>
      <c r="L178" s="1">
        <v>1.2</v>
      </c>
      <c r="M178" s="1">
        <v>0.6</v>
      </c>
      <c r="N178" s="1" t="s">
        <v>279</v>
      </c>
      <c r="O178" s="1" t="s">
        <v>280</v>
      </c>
      <c r="P178" s="1">
        <v>30</v>
      </c>
      <c r="Q178" s="1">
        <v>120.57</v>
      </c>
      <c r="R178" s="1">
        <v>9.9</v>
      </c>
      <c r="S178" s="1">
        <v>0.39</v>
      </c>
      <c r="T178" s="1">
        <v>7.44</v>
      </c>
      <c r="U178" s="1" t="s">
        <v>24</v>
      </c>
      <c r="V178" s="1" t="s">
        <v>25</v>
      </c>
      <c r="W178" s="1">
        <v>60</v>
      </c>
      <c r="X178" s="1">
        <v>99.6</v>
      </c>
      <c r="Y178" s="1">
        <v>5.76</v>
      </c>
      <c r="Z178" s="1">
        <v>8.4</v>
      </c>
      <c r="AA178" s="1">
        <v>4.74</v>
      </c>
    </row>
    <row r="179" spans="1:139" ht="14.25" customHeight="1" x14ac:dyDescent="0.35">
      <c r="A179" s="1" t="s">
        <v>299</v>
      </c>
      <c r="B179" s="2">
        <f t="shared" si="10"/>
        <v>105.6</v>
      </c>
      <c r="C179" s="2">
        <f t="shared" si="11"/>
        <v>120</v>
      </c>
      <c r="D179" s="2">
        <f t="shared" si="12"/>
        <v>5.76</v>
      </c>
      <c r="E179" s="2">
        <f t="shared" si="13"/>
        <v>9.6</v>
      </c>
      <c r="F179" s="2">
        <f t="shared" si="14"/>
        <v>5.34</v>
      </c>
      <c r="G179" s="1" t="s">
        <v>139</v>
      </c>
      <c r="H179" s="1" t="s">
        <v>140</v>
      </c>
      <c r="I179" s="1">
        <v>60</v>
      </c>
      <c r="J179" s="1">
        <v>6</v>
      </c>
      <c r="K179" s="1">
        <v>0</v>
      </c>
      <c r="L179" s="1">
        <v>1.2</v>
      </c>
      <c r="M179" s="1">
        <v>0.6</v>
      </c>
      <c r="N179" s="1" t="s">
        <v>24</v>
      </c>
      <c r="O179" s="1" t="s">
        <v>25</v>
      </c>
      <c r="P179" s="1">
        <v>60</v>
      </c>
      <c r="Q179" s="1">
        <v>99.6</v>
      </c>
      <c r="R179" s="1">
        <v>5.76</v>
      </c>
      <c r="S179" s="1">
        <v>8.4</v>
      </c>
      <c r="T179" s="1">
        <v>4.74</v>
      </c>
    </row>
    <row r="180" spans="1:139" ht="14.25" customHeight="1" x14ac:dyDescent="0.35">
      <c r="A180" s="1" t="s">
        <v>512</v>
      </c>
      <c r="B180" s="2">
        <f t="shared" si="10"/>
        <v>6</v>
      </c>
      <c r="C180" s="2">
        <f t="shared" si="11"/>
        <v>60</v>
      </c>
      <c r="D180" s="2">
        <f t="shared" si="12"/>
        <v>0</v>
      </c>
      <c r="E180" s="2">
        <f t="shared" si="13"/>
        <v>1.2</v>
      </c>
      <c r="F180" s="2">
        <f t="shared" si="14"/>
        <v>0.6</v>
      </c>
      <c r="G180" s="1" t="s">
        <v>139</v>
      </c>
      <c r="H180" s="1" t="s">
        <v>140</v>
      </c>
      <c r="I180" s="1">
        <v>60</v>
      </c>
      <c r="J180" s="1">
        <v>6</v>
      </c>
      <c r="K180" s="1">
        <v>0</v>
      </c>
      <c r="L180" s="1">
        <v>1.2</v>
      </c>
      <c r="M180" s="1">
        <v>0.6</v>
      </c>
    </row>
    <row r="181" spans="1:139" ht="14.25" customHeight="1" x14ac:dyDescent="0.35">
      <c r="A181" s="1" t="s">
        <v>470</v>
      </c>
      <c r="B181" s="2">
        <f t="shared" si="10"/>
        <v>235.47</v>
      </c>
      <c r="C181" s="2">
        <f t="shared" si="11"/>
        <v>167</v>
      </c>
      <c r="D181" s="2">
        <f t="shared" si="12"/>
        <v>11.356</v>
      </c>
      <c r="E181" s="2">
        <f t="shared" si="13"/>
        <v>30.06</v>
      </c>
      <c r="F181" s="2">
        <f t="shared" si="14"/>
        <v>3.5070000000000001</v>
      </c>
      <c r="G181" s="1" t="s">
        <v>27</v>
      </c>
      <c r="H181" s="1" t="s">
        <v>28</v>
      </c>
      <c r="I181" s="1">
        <v>167</v>
      </c>
      <c r="J181" s="1">
        <v>235.47</v>
      </c>
      <c r="K181" s="1">
        <v>11.356</v>
      </c>
      <c r="L181" s="1">
        <v>30.06</v>
      </c>
      <c r="M181" s="1">
        <v>3.5070000000000001</v>
      </c>
    </row>
    <row r="182" spans="1:139" ht="14.25" customHeight="1" x14ac:dyDescent="0.35">
      <c r="A182" s="1" t="s">
        <v>374</v>
      </c>
      <c r="B182" s="2">
        <f t="shared" si="10"/>
        <v>170.51</v>
      </c>
      <c r="C182" s="2">
        <f t="shared" si="11"/>
        <v>289</v>
      </c>
      <c r="D182" s="2">
        <f t="shared" si="12"/>
        <v>1.1559999999999999</v>
      </c>
      <c r="E182" s="2">
        <f t="shared" si="13"/>
        <v>10.404</v>
      </c>
      <c r="F182" s="2">
        <f t="shared" si="14"/>
        <v>28.9</v>
      </c>
      <c r="G182" s="1" t="s">
        <v>101</v>
      </c>
      <c r="H182" s="1" t="s">
        <v>102</v>
      </c>
      <c r="I182" s="1">
        <v>289</v>
      </c>
      <c r="J182" s="1">
        <v>170.51</v>
      </c>
      <c r="K182" s="1">
        <v>1.1559999999999999</v>
      </c>
      <c r="L182" s="1">
        <v>10.404</v>
      </c>
      <c r="M182" s="1">
        <v>28.9</v>
      </c>
    </row>
    <row r="183" spans="1:139" ht="14.25" customHeight="1" x14ac:dyDescent="0.35">
      <c r="A183" s="1" t="s">
        <v>345</v>
      </c>
      <c r="B183" s="2">
        <f t="shared" si="10"/>
        <v>271.54506211</v>
      </c>
      <c r="C183" s="2">
        <f t="shared" si="11"/>
        <v>245.00000400000002</v>
      </c>
      <c r="D183" s="2">
        <f t="shared" si="12"/>
        <v>11.696334835</v>
      </c>
      <c r="E183" s="2">
        <f t="shared" si="13"/>
        <v>16.404816046000001</v>
      </c>
      <c r="F183" s="2">
        <f t="shared" si="14"/>
        <v>25.867653339</v>
      </c>
      <c r="G183" s="1" t="s">
        <v>108</v>
      </c>
      <c r="H183" s="1" t="s">
        <v>109</v>
      </c>
      <c r="I183" s="1">
        <v>61.549422999999997</v>
      </c>
      <c r="J183" s="1">
        <v>101.55654795</v>
      </c>
      <c r="K183" s="1">
        <v>2.2157792280000002</v>
      </c>
      <c r="L183" s="1">
        <v>0</v>
      </c>
      <c r="M183" s="1">
        <v>19.080321130000002</v>
      </c>
      <c r="N183" s="1" t="s">
        <v>139</v>
      </c>
      <c r="O183" s="1" t="s">
        <v>140</v>
      </c>
      <c r="P183" s="1">
        <v>73</v>
      </c>
      <c r="Q183" s="1">
        <v>7.3</v>
      </c>
      <c r="R183" s="1">
        <v>0</v>
      </c>
      <c r="S183" s="1">
        <v>1.46</v>
      </c>
      <c r="T183" s="1">
        <v>0.73</v>
      </c>
      <c r="U183" s="1" t="s">
        <v>7</v>
      </c>
      <c r="V183" s="1" t="s">
        <v>8</v>
      </c>
      <c r="W183" s="1">
        <v>7.6936780000000002</v>
      </c>
      <c r="X183" s="1">
        <v>2.61585052</v>
      </c>
      <c r="Y183" s="1">
        <v>5.3855746000000003E-2</v>
      </c>
      <c r="Z183" s="1">
        <v>0.52317010399999997</v>
      </c>
      <c r="AA183" s="1">
        <v>5.3855746000000003E-2</v>
      </c>
      <c r="AB183" s="1" t="s">
        <v>110</v>
      </c>
      <c r="AC183" s="1" t="s">
        <v>111</v>
      </c>
      <c r="AD183" s="1">
        <v>7.6936780000000002</v>
      </c>
      <c r="AE183" s="1">
        <v>3.0774712000000002</v>
      </c>
      <c r="AF183" s="1">
        <v>1.5387356E-2</v>
      </c>
      <c r="AG183" s="1">
        <v>0.69243102000000001</v>
      </c>
      <c r="AH183" s="1">
        <v>0.15387355999999999</v>
      </c>
      <c r="AI183" s="1" t="s">
        <v>112</v>
      </c>
      <c r="AJ183" s="1" t="s">
        <v>113</v>
      </c>
      <c r="AK183" s="1">
        <v>3.0774710000000001</v>
      </c>
      <c r="AL183" s="1">
        <v>0.70781833000000005</v>
      </c>
      <c r="AM183" s="1">
        <v>1.2309884E-2</v>
      </c>
      <c r="AN183" s="1">
        <v>0.11078895599999999</v>
      </c>
      <c r="AO183" s="1">
        <v>8.9246659000000006E-2</v>
      </c>
      <c r="AP183" s="1" t="s">
        <v>95</v>
      </c>
      <c r="AQ183" s="1" t="s">
        <v>96</v>
      </c>
      <c r="AR183" s="1">
        <v>3.0774710000000001</v>
      </c>
      <c r="AS183" s="1">
        <v>1.2309884</v>
      </c>
      <c r="AT183" s="1">
        <v>3.077471E-3</v>
      </c>
      <c r="AU183" s="1">
        <v>0.27697239000000001</v>
      </c>
      <c r="AV183" s="1">
        <v>3.3852181000000002E-2</v>
      </c>
      <c r="AW183" s="1" t="s">
        <v>77</v>
      </c>
      <c r="AX183" s="1" t="s">
        <v>78</v>
      </c>
      <c r="AY183" s="1">
        <v>1.5387360000000001</v>
      </c>
      <c r="AZ183" s="1">
        <v>2.2927166400000001</v>
      </c>
      <c r="BA183" s="1">
        <v>7.6936799999999996E-3</v>
      </c>
      <c r="BB183" s="1">
        <v>0.50778288000000005</v>
      </c>
      <c r="BC183" s="1">
        <v>9.8479103999999998E-2</v>
      </c>
      <c r="BD183" s="1" t="s">
        <v>13</v>
      </c>
      <c r="BE183" s="1" t="s">
        <v>14</v>
      </c>
      <c r="BF183" s="1">
        <v>3.0774710000000001</v>
      </c>
      <c r="BG183" s="1">
        <v>27.20484364</v>
      </c>
      <c r="BH183" s="1">
        <v>3.0774710000000001</v>
      </c>
      <c r="BI183" s="1">
        <v>0</v>
      </c>
      <c r="BJ183" s="1">
        <v>0</v>
      </c>
      <c r="BK183" s="1" t="s">
        <v>17</v>
      </c>
      <c r="BL183" s="1" t="s">
        <v>18</v>
      </c>
      <c r="BM183" s="1">
        <v>1.5387360000000001</v>
      </c>
      <c r="BN183" s="1">
        <v>0</v>
      </c>
      <c r="BO183" s="1">
        <v>0</v>
      </c>
      <c r="BP183" s="1">
        <v>0</v>
      </c>
      <c r="BQ183" s="1">
        <v>0</v>
      </c>
      <c r="BR183" s="1" t="s">
        <v>114</v>
      </c>
      <c r="BS183" s="1" t="s">
        <v>115</v>
      </c>
      <c r="BT183" s="1">
        <v>0.28851300000000002</v>
      </c>
      <c r="BU183" s="1">
        <v>0.1154052</v>
      </c>
      <c r="BV183" s="1">
        <v>5.7702600000000001E-4</v>
      </c>
      <c r="BW183" s="1">
        <v>2.6831708999999999E-2</v>
      </c>
      <c r="BX183" s="1">
        <v>5.7702600000000001E-3</v>
      </c>
      <c r="BY183" s="1" t="s">
        <v>24</v>
      </c>
      <c r="BZ183" s="1" t="s">
        <v>25</v>
      </c>
      <c r="CA183" s="1">
        <v>64</v>
      </c>
      <c r="CB183" s="1">
        <v>106.24</v>
      </c>
      <c r="CC183" s="1">
        <v>6.1440000000000001</v>
      </c>
      <c r="CD183" s="1">
        <v>8.9600000000000009</v>
      </c>
      <c r="CE183" s="1">
        <v>5.056</v>
      </c>
      <c r="CF183" s="1" t="s">
        <v>42</v>
      </c>
      <c r="CG183" s="1" t="s">
        <v>43</v>
      </c>
      <c r="CH183" s="1">
        <v>3.0774710000000001</v>
      </c>
      <c r="CI183" s="1">
        <v>0.89246658999999995</v>
      </c>
      <c r="CJ183" s="1">
        <v>1.2309884E-2</v>
      </c>
      <c r="CK183" s="1">
        <v>0.200035615</v>
      </c>
      <c r="CL183" s="1">
        <v>2.7697238999999998E-2</v>
      </c>
      <c r="CM183" s="1" t="s">
        <v>116</v>
      </c>
      <c r="CN183" s="1" t="s">
        <v>117</v>
      </c>
      <c r="CO183" s="1">
        <v>15.387356</v>
      </c>
      <c r="CP183" s="1">
        <v>18.310953640000001</v>
      </c>
      <c r="CQ183" s="1">
        <v>0.15387355999999999</v>
      </c>
      <c r="CR183" s="1">
        <v>3.6468033719999999</v>
      </c>
      <c r="CS183" s="1">
        <v>0.53855746000000004</v>
      </c>
    </row>
    <row r="184" spans="1:139" ht="14.25" customHeight="1" x14ac:dyDescent="0.35">
      <c r="A184" s="1" t="s">
        <v>379</v>
      </c>
      <c r="B184" s="2">
        <f t="shared" si="10"/>
        <v>165.30506210999999</v>
      </c>
      <c r="C184" s="2">
        <f t="shared" si="11"/>
        <v>181.00000400000002</v>
      </c>
      <c r="D184" s="2">
        <f t="shared" si="12"/>
        <v>5.5523348350000008</v>
      </c>
      <c r="E184" s="2">
        <f t="shared" si="13"/>
        <v>7.4448160459999997</v>
      </c>
      <c r="F184" s="2">
        <f t="shared" si="14"/>
        <v>20.811653338999999</v>
      </c>
      <c r="G184" s="1" t="s">
        <v>108</v>
      </c>
      <c r="H184" s="1" t="s">
        <v>109</v>
      </c>
      <c r="I184" s="1">
        <v>61.549422999999997</v>
      </c>
      <c r="J184" s="1">
        <v>101.55654795</v>
      </c>
      <c r="K184" s="1">
        <v>2.2157792280000002</v>
      </c>
      <c r="L184" s="1">
        <v>0</v>
      </c>
      <c r="M184" s="1">
        <v>19.080321130000002</v>
      </c>
      <c r="N184" s="1" t="s">
        <v>139</v>
      </c>
      <c r="O184" s="1" t="s">
        <v>140</v>
      </c>
      <c r="P184" s="1">
        <v>73</v>
      </c>
      <c r="Q184" s="1">
        <v>7.3</v>
      </c>
      <c r="R184" s="1">
        <v>0</v>
      </c>
      <c r="S184" s="1">
        <v>1.46</v>
      </c>
      <c r="T184" s="1">
        <v>0.73</v>
      </c>
      <c r="U184" s="1" t="s">
        <v>7</v>
      </c>
      <c r="V184" s="1" t="s">
        <v>8</v>
      </c>
      <c r="W184" s="1">
        <v>7.6936780000000002</v>
      </c>
      <c r="X184" s="1">
        <v>2.61585052</v>
      </c>
      <c r="Y184" s="1">
        <v>5.3855746000000003E-2</v>
      </c>
      <c r="Z184" s="1">
        <v>0.52317010399999997</v>
      </c>
      <c r="AA184" s="1">
        <v>5.3855746000000003E-2</v>
      </c>
      <c r="AB184" s="1" t="s">
        <v>110</v>
      </c>
      <c r="AC184" s="1" t="s">
        <v>111</v>
      </c>
      <c r="AD184" s="1">
        <v>7.6936780000000002</v>
      </c>
      <c r="AE184" s="1">
        <v>3.0774712000000002</v>
      </c>
      <c r="AF184" s="1">
        <v>1.5387356E-2</v>
      </c>
      <c r="AG184" s="1">
        <v>0.69243102000000001</v>
      </c>
      <c r="AH184" s="1">
        <v>0.15387355999999999</v>
      </c>
      <c r="AI184" s="1" t="s">
        <v>112</v>
      </c>
      <c r="AJ184" s="1" t="s">
        <v>113</v>
      </c>
      <c r="AK184" s="1">
        <v>3.0774710000000001</v>
      </c>
      <c r="AL184" s="1">
        <v>0.70781833000000005</v>
      </c>
      <c r="AM184" s="1">
        <v>1.2309884E-2</v>
      </c>
      <c r="AN184" s="1">
        <v>0.11078895599999999</v>
      </c>
      <c r="AO184" s="1">
        <v>8.9246659000000006E-2</v>
      </c>
      <c r="AP184" s="1" t="s">
        <v>95</v>
      </c>
      <c r="AQ184" s="1" t="s">
        <v>96</v>
      </c>
      <c r="AR184" s="1">
        <v>3.0774710000000001</v>
      </c>
      <c r="AS184" s="1">
        <v>1.2309884</v>
      </c>
      <c r="AT184" s="1">
        <v>3.077471E-3</v>
      </c>
      <c r="AU184" s="1">
        <v>0.27697239000000001</v>
      </c>
      <c r="AV184" s="1">
        <v>3.3852181000000002E-2</v>
      </c>
      <c r="AW184" s="1" t="s">
        <v>77</v>
      </c>
      <c r="AX184" s="1" t="s">
        <v>78</v>
      </c>
      <c r="AY184" s="1">
        <v>1.5387360000000001</v>
      </c>
      <c r="AZ184" s="1">
        <v>2.2927166400000001</v>
      </c>
      <c r="BA184" s="1">
        <v>7.6936799999999996E-3</v>
      </c>
      <c r="BB184" s="1">
        <v>0.50778288000000005</v>
      </c>
      <c r="BC184" s="1">
        <v>9.8479103999999998E-2</v>
      </c>
      <c r="BD184" s="1" t="s">
        <v>13</v>
      </c>
      <c r="BE184" s="1" t="s">
        <v>14</v>
      </c>
      <c r="BF184" s="1">
        <v>3.0774710000000001</v>
      </c>
      <c r="BG184" s="1">
        <v>27.20484364</v>
      </c>
      <c r="BH184" s="1">
        <v>3.0774710000000001</v>
      </c>
      <c r="BI184" s="1">
        <v>0</v>
      </c>
      <c r="BJ184" s="1">
        <v>0</v>
      </c>
      <c r="BK184" s="1" t="s">
        <v>17</v>
      </c>
      <c r="BL184" s="1" t="s">
        <v>18</v>
      </c>
      <c r="BM184" s="1">
        <v>1.5387360000000001</v>
      </c>
      <c r="BN184" s="1">
        <v>0</v>
      </c>
      <c r="BO184" s="1">
        <v>0</v>
      </c>
      <c r="BP184" s="1">
        <v>0</v>
      </c>
      <c r="BQ184" s="1">
        <v>0</v>
      </c>
      <c r="BR184" s="1" t="s">
        <v>114</v>
      </c>
      <c r="BS184" s="1" t="s">
        <v>115</v>
      </c>
      <c r="BT184" s="1">
        <v>0.28851300000000002</v>
      </c>
      <c r="BU184" s="1">
        <v>0.1154052</v>
      </c>
      <c r="BV184" s="1">
        <v>5.7702600000000001E-4</v>
      </c>
      <c r="BW184" s="1">
        <v>2.6831708999999999E-2</v>
      </c>
      <c r="BX184" s="1">
        <v>5.7702600000000001E-3</v>
      </c>
      <c r="BY184" s="1" t="s">
        <v>42</v>
      </c>
      <c r="BZ184" s="1" t="s">
        <v>43</v>
      </c>
      <c r="CA184" s="1">
        <v>3.0774710000000001</v>
      </c>
      <c r="CB184" s="1">
        <v>0.89246658999999995</v>
      </c>
      <c r="CC184" s="1">
        <v>1.2309884E-2</v>
      </c>
      <c r="CD184" s="1">
        <v>0.200035615</v>
      </c>
      <c r="CE184" s="1">
        <v>2.7697238999999998E-2</v>
      </c>
      <c r="CF184" s="1" t="s">
        <v>116</v>
      </c>
      <c r="CG184" s="1" t="s">
        <v>117</v>
      </c>
      <c r="CH184" s="1">
        <v>15.387356</v>
      </c>
      <c r="CI184" s="1">
        <v>18.310953640000001</v>
      </c>
      <c r="CJ184" s="1">
        <v>0.15387355999999999</v>
      </c>
      <c r="CK184" s="1">
        <v>3.6468033719999999</v>
      </c>
      <c r="CL184" s="1">
        <v>0.53855746000000004</v>
      </c>
    </row>
    <row r="185" spans="1:139" ht="14.25" customHeight="1" x14ac:dyDescent="0.35">
      <c r="A185" s="1" t="s">
        <v>107</v>
      </c>
      <c r="B185" s="2">
        <f t="shared" si="10"/>
        <v>158.00506210999998</v>
      </c>
      <c r="C185" s="2">
        <f t="shared" si="11"/>
        <v>108.000004</v>
      </c>
      <c r="D185" s="2">
        <f t="shared" si="12"/>
        <v>5.5523348350000008</v>
      </c>
      <c r="E185" s="2">
        <f t="shared" si="13"/>
        <v>5.9848160460000006</v>
      </c>
      <c r="F185" s="2">
        <f t="shared" si="14"/>
        <v>20.081653338999999</v>
      </c>
      <c r="G185" s="1" t="s">
        <v>108</v>
      </c>
      <c r="H185" s="1" t="s">
        <v>109</v>
      </c>
      <c r="I185" s="1">
        <v>61.549422999999997</v>
      </c>
      <c r="J185" s="1">
        <v>101.55654795</v>
      </c>
      <c r="K185" s="1">
        <v>2.2157792280000002</v>
      </c>
      <c r="L185" s="1">
        <v>0</v>
      </c>
      <c r="M185" s="1">
        <v>19.080321130000002</v>
      </c>
      <c r="N185" s="1" t="s">
        <v>7</v>
      </c>
      <c r="O185" s="1" t="s">
        <v>8</v>
      </c>
      <c r="P185" s="1">
        <v>7.6936780000000002</v>
      </c>
      <c r="Q185" s="1">
        <v>2.61585052</v>
      </c>
      <c r="R185" s="1">
        <v>5.3855746000000003E-2</v>
      </c>
      <c r="S185" s="1">
        <v>0.52317010399999997</v>
      </c>
      <c r="T185" s="1">
        <v>5.3855746000000003E-2</v>
      </c>
      <c r="U185" s="1" t="s">
        <v>110</v>
      </c>
      <c r="V185" s="1" t="s">
        <v>111</v>
      </c>
      <c r="W185" s="1">
        <v>7.6936780000000002</v>
      </c>
      <c r="X185" s="1">
        <v>3.0774712000000002</v>
      </c>
      <c r="Y185" s="1">
        <v>1.5387356E-2</v>
      </c>
      <c r="Z185" s="1">
        <v>0.69243102000000001</v>
      </c>
      <c r="AA185" s="1">
        <v>0.15387355999999999</v>
      </c>
      <c r="AB185" s="1" t="s">
        <v>112</v>
      </c>
      <c r="AC185" s="1" t="s">
        <v>113</v>
      </c>
      <c r="AD185" s="1">
        <v>3.0774710000000001</v>
      </c>
      <c r="AE185" s="1">
        <v>0.70781833000000005</v>
      </c>
      <c r="AF185" s="1">
        <v>1.2309884E-2</v>
      </c>
      <c r="AG185" s="1">
        <v>0.11078895599999999</v>
      </c>
      <c r="AH185" s="1">
        <v>8.9246659000000006E-2</v>
      </c>
      <c r="AI185" s="1" t="s">
        <v>95</v>
      </c>
      <c r="AJ185" s="1" t="s">
        <v>96</v>
      </c>
      <c r="AK185" s="1">
        <v>3.0774710000000001</v>
      </c>
      <c r="AL185" s="1">
        <v>1.2309884</v>
      </c>
      <c r="AM185" s="1">
        <v>3.077471E-3</v>
      </c>
      <c r="AN185" s="1">
        <v>0.27697239000000001</v>
      </c>
      <c r="AO185" s="1">
        <v>3.3852181000000002E-2</v>
      </c>
      <c r="AP185" s="1" t="s">
        <v>77</v>
      </c>
      <c r="AQ185" s="1" t="s">
        <v>78</v>
      </c>
      <c r="AR185" s="1">
        <v>1.5387360000000001</v>
      </c>
      <c r="AS185" s="1">
        <v>2.2927166400000001</v>
      </c>
      <c r="AT185" s="1">
        <v>7.6936799999999996E-3</v>
      </c>
      <c r="AU185" s="1">
        <v>0.50778288000000005</v>
      </c>
      <c r="AV185" s="1">
        <v>9.8479103999999998E-2</v>
      </c>
      <c r="AW185" s="1" t="s">
        <v>13</v>
      </c>
      <c r="AX185" s="1" t="s">
        <v>14</v>
      </c>
      <c r="AY185" s="1">
        <v>3.0774710000000001</v>
      </c>
      <c r="AZ185" s="1">
        <v>27.20484364</v>
      </c>
      <c r="BA185" s="1">
        <v>3.0774710000000001</v>
      </c>
      <c r="BB185" s="1">
        <v>0</v>
      </c>
      <c r="BC185" s="1">
        <v>0</v>
      </c>
      <c r="BD185" s="1" t="s">
        <v>17</v>
      </c>
      <c r="BE185" s="1" t="s">
        <v>18</v>
      </c>
      <c r="BF185" s="1">
        <v>1.5387360000000001</v>
      </c>
      <c r="BG185" s="1">
        <v>0</v>
      </c>
      <c r="BH185" s="1">
        <v>0</v>
      </c>
      <c r="BI185" s="1">
        <v>0</v>
      </c>
      <c r="BJ185" s="1">
        <v>0</v>
      </c>
      <c r="BK185" s="1" t="s">
        <v>114</v>
      </c>
      <c r="BL185" s="1" t="s">
        <v>115</v>
      </c>
      <c r="BM185" s="1">
        <v>0.28851300000000002</v>
      </c>
      <c r="BN185" s="1">
        <v>0.1154052</v>
      </c>
      <c r="BO185" s="1">
        <v>5.7702600000000001E-4</v>
      </c>
      <c r="BP185" s="1">
        <v>2.6831708999999999E-2</v>
      </c>
      <c r="BQ185" s="1">
        <v>5.7702600000000001E-3</v>
      </c>
      <c r="BR185" s="1" t="s">
        <v>42</v>
      </c>
      <c r="BS185" s="1" t="s">
        <v>43</v>
      </c>
      <c r="BT185" s="1">
        <v>3.0774710000000001</v>
      </c>
      <c r="BU185" s="1">
        <v>0.89246658999999995</v>
      </c>
      <c r="BV185" s="1">
        <v>1.2309884E-2</v>
      </c>
      <c r="BW185" s="1">
        <v>0.200035615</v>
      </c>
      <c r="BX185" s="1">
        <v>2.7697238999999998E-2</v>
      </c>
      <c r="BY185" s="1" t="s">
        <v>116</v>
      </c>
      <c r="BZ185" s="1" t="s">
        <v>117</v>
      </c>
      <c r="CA185" s="1">
        <v>15.387356</v>
      </c>
      <c r="CB185" s="1">
        <v>18.310953640000001</v>
      </c>
      <c r="CC185" s="1">
        <v>0.15387355999999999</v>
      </c>
      <c r="CD185" s="1">
        <v>3.6468033719999999</v>
      </c>
      <c r="CE185" s="1">
        <v>0.53855746000000004</v>
      </c>
    </row>
    <row r="186" spans="1:139" ht="14.25" customHeight="1" x14ac:dyDescent="0.35">
      <c r="A186" s="1" t="s">
        <v>396</v>
      </c>
      <c r="B186" s="2">
        <f t="shared" si="10"/>
        <v>125.71499999999999</v>
      </c>
      <c r="C186" s="2">
        <f t="shared" si="11"/>
        <v>261</v>
      </c>
      <c r="D186" s="2">
        <f t="shared" si="12"/>
        <v>0.52200000000000002</v>
      </c>
      <c r="E186" s="2">
        <f t="shared" si="13"/>
        <v>4.3934999999999995</v>
      </c>
      <c r="F186" s="2">
        <f t="shared" si="14"/>
        <v>22.4025</v>
      </c>
      <c r="G186" s="1" t="s">
        <v>35</v>
      </c>
      <c r="H186" s="1" t="s">
        <v>36</v>
      </c>
      <c r="I186" s="1">
        <v>217.5</v>
      </c>
      <c r="J186" s="1">
        <v>113.1</v>
      </c>
      <c r="K186" s="1">
        <v>0.435</v>
      </c>
      <c r="L186" s="1">
        <v>1.5225</v>
      </c>
      <c r="M186" s="1">
        <v>21.75</v>
      </c>
      <c r="N186" s="1" t="s">
        <v>37</v>
      </c>
      <c r="O186" s="1" t="s">
        <v>38</v>
      </c>
      <c r="P186" s="1">
        <v>43.5</v>
      </c>
      <c r="Q186" s="1">
        <v>12.615</v>
      </c>
      <c r="R186" s="1">
        <v>8.6999999999999994E-2</v>
      </c>
      <c r="S186" s="1">
        <v>2.871</v>
      </c>
      <c r="T186" s="1">
        <v>0.65249999999999997</v>
      </c>
    </row>
    <row r="187" spans="1:139" ht="14.25" customHeight="1" x14ac:dyDescent="0.35">
      <c r="A187" s="1" t="s">
        <v>291</v>
      </c>
      <c r="B187" s="2">
        <f t="shared" si="10"/>
        <v>80.19</v>
      </c>
      <c r="C187" s="2">
        <f t="shared" si="11"/>
        <v>243</v>
      </c>
      <c r="D187" s="2">
        <f t="shared" si="12"/>
        <v>0.72899999999999998</v>
      </c>
      <c r="E187" s="2">
        <f t="shared" si="13"/>
        <v>19.440000000000001</v>
      </c>
      <c r="F187" s="2">
        <f t="shared" si="14"/>
        <v>1.7010000000000001</v>
      </c>
      <c r="G187" s="1" t="s">
        <v>52</v>
      </c>
      <c r="H187" s="1" t="s">
        <v>53</v>
      </c>
      <c r="I187" s="1">
        <v>243</v>
      </c>
      <c r="J187" s="1">
        <v>80.19</v>
      </c>
      <c r="K187" s="1">
        <v>0.72899999999999998</v>
      </c>
      <c r="L187" s="1">
        <v>19.440000000000001</v>
      </c>
      <c r="M187" s="1">
        <v>1.7010000000000001</v>
      </c>
    </row>
    <row r="188" spans="1:139" ht="14.25" customHeight="1" x14ac:dyDescent="0.35">
      <c r="A188" s="1" t="s">
        <v>277</v>
      </c>
      <c r="B188" s="2">
        <f t="shared" si="10"/>
        <v>401.36</v>
      </c>
      <c r="C188" s="2">
        <f t="shared" si="11"/>
        <v>181</v>
      </c>
      <c r="D188" s="2">
        <f t="shared" si="12"/>
        <v>29.470000000000002</v>
      </c>
      <c r="E188" s="2">
        <f t="shared" si="13"/>
        <v>4.8140000000000001</v>
      </c>
      <c r="F188" s="2">
        <f t="shared" si="14"/>
        <v>28.62</v>
      </c>
      <c r="G188" s="1" t="s">
        <v>69</v>
      </c>
      <c r="H188" s="1" t="s">
        <v>70</v>
      </c>
      <c r="I188" s="1">
        <v>61</v>
      </c>
      <c r="J188" s="1">
        <v>330.01</v>
      </c>
      <c r="K188" s="1">
        <v>25.62</v>
      </c>
      <c r="L188" s="1">
        <v>0.85399999999999998</v>
      </c>
      <c r="M188" s="1">
        <v>22.57</v>
      </c>
      <c r="N188" s="1" t="s">
        <v>30</v>
      </c>
      <c r="O188" s="1" t="s">
        <v>31</v>
      </c>
      <c r="P188" s="1">
        <v>35</v>
      </c>
      <c r="Q188" s="1">
        <v>51.8</v>
      </c>
      <c r="R188" s="1">
        <v>3.85</v>
      </c>
      <c r="S188" s="1">
        <v>0.56000000000000005</v>
      </c>
      <c r="T188" s="1">
        <v>3.5</v>
      </c>
      <c r="U188" s="1" t="s">
        <v>226</v>
      </c>
      <c r="V188" s="1" t="s">
        <v>227</v>
      </c>
      <c r="W188" s="1">
        <v>85</v>
      </c>
      <c r="X188" s="1">
        <v>19.55</v>
      </c>
      <c r="Y188" s="1">
        <v>0</v>
      </c>
      <c r="Z188" s="1">
        <v>3.4</v>
      </c>
      <c r="AA188" s="1">
        <v>2.5499999999999998</v>
      </c>
    </row>
    <row r="189" spans="1:139" ht="14.25" customHeight="1" x14ac:dyDescent="0.35">
      <c r="A189" s="1" t="s">
        <v>194</v>
      </c>
      <c r="B189" s="2">
        <f t="shared" si="10"/>
        <v>381.81</v>
      </c>
      <c r="C189" s="2">
        <f t="shared" si="11"/>
        <v>96</v>
      </c>
      <c r="D189" s="2">
        <f t="shared" si="12"/>
        <v>29.470000000000002</v>
      </c>
      <c r="E189" s="2">
        <f t="shared" si="13"/>
        <v>1.4140000000000001</v>
      </c>
      <c r="F189" s="2">
        <f t="shared" si="14"/>
        <v>26.07</v>
      </c>
      <c r="G189" s="1" t="s">
        <v>69</v>
      </c>
      <c r="H189" s="1" t="s">
        <v>70</v>
      </c>
      <c r="I189" s="1">
        <v>61</v>
      </c>
      <c r="J189" s="1">
        <v>330.01</v>
      </c>
      <c r="K189" s="1">
        <v>25.62</v>
      </c>
      <c r="L189" s="1">
        <v>0.85399999999999998</v>
      </c>
      <c r="M189" s="1">
        <v>22.57</v>
      </c>
      <c r="N189" s="1" t="s">
        <v>30</v>
      </c>
      <c r="O189" s="1" t="s">
        <v>31</v>
      </c>
      <c r="P189" s="1">
        <v>35</v>
      </c>
      <c r="Q189" s="1">
        <v>51.8</v>
      </c>
      <c r="R189" s="1">
        <v>3.85</v>
      </c>
      <c r="S189" s="1">
        <v>0.56000000000000005</v>
      </c>
      <c r="T189" s="1">
        <v>3.5</v>
      </c>
    </row>
    <row r="190" spans="1:139" ht="14.25" customHeight="1" x14ac:dyDescent="0.35">
      <c r="A190" s="1" t="s">
        <v>422</v>
      </c>
      <c r="B190" s="2">
        <f t="shared" si="10"/>
        <v>330.01</v>
      </c>
      <c r="C190" s="2">
        <f t="shared" si="11"/>
        <v>61</v>
      </c>
      <c r="D190" s="2">
        <f t="shared" si="12"/>
        <v>25.62</v>
      </c>
      <c r="E190" s="2">
        <f t="shared" si="13"/>
        <v>0.85399999999999998</v>
      </c>
      <c r="F190" s="2">
        <f t="shared" si="14"/>
        <v>22.57</v>
      </c>
      <c r="G190" s="1" t="s">
        <v>69</v>
      </c>
      <c r="H190" s="1" t="s">
        <v>70</v>
      </c>
      <c r="I190" s="1">
        <v>61</v>
      </c>
      <c r="J190" s="1">
        <v>330.01</v>
      </c>
      <c r="K190" s="1">
        <v>25.62</v>
      </c>
      <c r="L190" s="1">
        <v>0.85399999999999998</v>
      </c>
      <c r="M190" s="1">
        <v>22.57</v>
      </c>
    </row>
    <row r="191" spans="1:139" ht="14.25" customHeight="1" x14ac:dyDescent="0.35">
      <c r="A191" s="1" t="s">
        <v>287</v>
      </c>
      <c r="B191" s="2">
        <f t="shared" si="10"/>
        <v>321.79652687499993</v>
      </c>
      <c r="C191" s="2">
        <f t="shared" si="11"/>
        <v>217.999999</v>
      </c>
      <c r="D191" s="2">
        <f t="shared" si="12"/>
        <v>15.082743872999998</v>
      </c>
      <c r="E191" s="2">
        <f t="shared" si="13"/>
        <v>26.568502214999995</v>
      </c>
      <c r="F191" s="2">
        <f t="shared" si="14"/>
        <v>19.221490041999999</v>
      </c>
      <c r="G191" s="1" t="s">
        <v>200</v>
      </c>
      <c r="H191" s="1" t="s">
        <v>201</v>
      </c>
      <c r="I191" s="1">
        <v>51</v>
      </c>
      <c r="J191" s="1">
        <v>66.3</v>
      </c>
      <c r="K191" s="1">
        <v>0.153</v>
      </c>
      <c r="L191" s="1">
        <v>14.28</v>
      </c>
      <c r="M191" s="1">
        <v>1.377</v>
      </c>
      <c r="N191" s="1" t="s">
        <v>7</v>
      </c>
      <c r="O191" s="1" t="s">
        <v>8</v>
      </c>
      <c r="P191" s="1">
        <v>17.480574000000001</v>
      </c>
      <c r="Q191" s="1">
        <v>5.9433951599999997</v>
      </c>
      <c r="R191" s="1">
        <v>0.122364018</v>
      </c>
      <c r="S191" s="1">
        <v>1.188679032</v>
      </c>
      <c r="T191" s="1">
        <v>0.122364018</v>
      </c>
      <c r="U191" s="1" t="s">
        <v>95</v>
      </c>
      <c r="V191" s="1" t="s">
        <v>96</v>
      </c>
      <c r="W191" s="1">
        <v>6.356573</v>
      </c>
      <c r="X191" s="1">
        <v>2.5426291999999999</v>
      </c>
      <c r="Y191" s="1">
        <v>6.3565729999999999E-3</v>
      </c>
      <c r="Z191" s="1">
        <v>0.57209156999999999</v>
      </c>
      <c r="AA191" s="1">
        <v>6.9922303000000005E-2</v>
      </c>
      <c r="AB191" s="1" t="s">
        <v>77</v>
      </c>
      <c r="AC191" s="1" t="s">
        <v>78</v>
      </c>
      <c r="AD191" s="1">
        <v>1.3237559999999999</v>
      </c>
      <c r="AE191" s="1">
        <v>1.97239644</v>
      </c>
      <c r="AF191" s="1">
        <v>6.6187800000000003E-3</v>
      </c>
      <c r="AG191" s="1">
        <v>0.43683948</v>
      </c>
      <c r="AH191" s="1">
        <v>8.4720383999999996E-2</v>
      </c>
      <c r="AI191" s="1" t="s">
        <v>166</v>
      </c>
      <c r="AJ191" s="1" t="s">
        <v>167</v>
      </c>
      <c r="AK191" s="1">
        <v>47.674294000000003</v>
      </c>
      <c r="AL191" s="1">
        <v>84.478848967999994</v>
      </c>
      <c r="AM191" s="1">
        <v>3.9569664019999999</v>
      </c>
      <c r="AN191" s="1">
        <v>0</v>
      </c>
      <c r="AO191" s="1">
        <v>11.394156266</v>
      </c>
      <c r="AP191" s="1" t="s">
        <v>13</v>
      </c>
      <c r="AQ191" s="1" t="s">
        <v>14</v>
      </c>
      <c r="AR191" s="1">
        <v>3.708602</v>
      </c>
      <c r="AS191" s="1">
        <v>32.784041680000001</v>
      </c>
      <c r="AT191" s="1">
        <v>3.708602</v>
      </c>
      <c r="AU191" s="1">
        <v>0</v>
      </c>
      <c r="AV191" s="1">
        <v>0</v>
      </c>
      <c r="AW191" s="1" t="s">
        <v>157</v>
      </c>
      <c r="AX191" s="1" t="s">
        <v>158</v>
      </c>
      <c r="AY191" s="1">
        <v>3.1782999999999999E-2</v>
      </c>
      <c r="AZ191" s="1">
        <v>1.2713199999999999E-2</v>
      </c>
      <c r="BA191" s="1">
        <v>1.2713199999999999E-4</v>
      </c>
      <c r="BB191" s="1">
        <v>2.8286869999999999E-3</v>
      </c>
      <c r="BC191" s="1">
        <v>5.7209399999999999E-4</v>
      </c>
      <c r="BD191" s="1" t="s">
        <v>57</v>
      </c>
      <c r="BE191" s="1" t="s">
        <v>58</v>
      </c>
      <c r="BF191" s="1">
        <v>14.834409000000001</v>
      </c>
      <c r="BG191" s="1">
        <v>41.180319384000001</v>
      </c>
      <c r="BH191" s="1">
        <v>2.536683939</v>
      </c>
      <c r="BI191" s="1">
        <v>0.47470108799999999</v>
      </c>
      <c r="BJ191" s="1">
        <v>4.1536345199999998</v>
      </c>
      <c r="BK191" s="1" t="s">
        <v>17</v>
      </c>
      <c r="BL191" s="1" t="s">
        <v>18</v>
      </c>
      <c r="BM191" s="1">
        <v>5.6055000000000001E-2</v>
      </c>
      <c r="BN191" s="1">
        <v>0</v>
      </c>
      <c r="BO191" s="1">
        <v>0</v>
      </c>
      <c r="BP191" s="1">
        <v>0</v>
      </c>
      <c r="BQ191" s="1">
        <v>0</v>
      </c>
      <c r="BR191" s="1" t="s">
        <v>168</v>
      </c>
      <c r="BS191" s="1" t="s">
        <v>169</v>
      </c>
      <c r="BT191" s="1">
        <v>25.791792000000001</v>
      </c>
      <c r="BU191" s="1">
        <v>0</v>
      </c>
      <c r="BV191" s="1">
        <v>0</v>
      </c>
      <c r="BW191" s="1">
        <v>0</v>
      </c>
      <c r="BX191" s="1">
        <v>0</v>
      </c>
      <c r="BY191" s="1" t="s">
        <v>170</v>
      </c>
      <c r="BZ191" s="1" t="s">
        <v>171</v>
      </c>
      <c r="CA191" s="1">
        <v>9.6778809999999993</v>
      </c>
      <c r="CB191" s="1">
        <v>32.546713803000003</v>
      </c>
      <c r="CC191" s="1">
        <v>3.5421044460000002</v>
      </c>
      <c r="CD191" s="1">
        <v>0.26130278699999998</v>
      </c>
      <c r="CE191" s="1">
        <v>0.27098066799999998</v>
      </c>
      <c r="CF191" s="1" t="s">
        <v>87</v>
      </c>
      <c r="CG191" s="1" t="s">
        <v>88</v>
      </c>
      <c r="CH191" s="1">
        <v>9.9321000000000007E-2</v>
      </c>
      <c r="CI191" s="1">
        <v>1.6884570000000002E-2</v>
      </c>
      <c r="CJ191" s="1">
        <v>0</v>
      </c>
      <c r="CK191" s="1">
        <v>5.5619759999999997E-3</v>
      </c>
      <c r="CL191" s="1">
        <v>3.9728400000000003E-4</v>
      </c>
      <c r="CM191" s="1" t="s">
        <v>63</v>
      </c>
      <c r="CN191" s="1" t="s">
        <v>64</v>
      </c>
      <c r="CO191" s="1">
        <v>3.708602</v>
      </c>
      <c r="CP191" s="1">
        <v>0.89006448000000005</v>
      </c>
      <c r="CQ191" s="1">
        <v>0</v>
      </c>
      <c r="CR191" s="1">
        <v>7.4172039999999995E-2</v>
      </c>
      <c r="CS191" s="1">
        <v>0.14834407999999999</v>
      </c>
      <c r="CT191" s="1" t="s">
        <v>172</v>
      </c>
      <c r="CU191" s="1" t="s">
        <v>173</v>
      </c>
      <c r="CV191" s="1">
        <v>1.0583689999999999</v>
      </c>
      <c r="CW191" s="1">
        <v>0.24130813200000001</v>
      </c>
      <c r="CX191" s="1">
        <v>5.2918449999999999E-3</v>
      </c>
      <c r="CY191" s="1">
        <v>3.9159653000000003E-2</v>
      </c>
      <c r="CZ191" s="1">
        <v>2.3284117999999999E-2</v>
      </c>
      <c r="DA191" s="1" t="s">
        <v>174</v>
      </c>
      <c r="DB191" s="1" t="s">
        <v>175</v>
      </c>
      <c r="DC191" s="1">
        <v>0.79457199999999994</v>
      </c>
      <c r="DD191" s="1">
        <v>0.63565760000000004</v>
      </c>
      <c r="DE191" s="1">
        <v>6.3565760000000001E-3</v>
      </c>
      <c r="DF191" s="1">
        <v>0.14302296</v>
      </c>
      <c r="DG191" s="1">
        <v>1.4302296000000001E-2</v>
      </c>
      <c r="DH191" s="1" t="s">
        <v>101</v>
      </c>
      <c r="DI191" s="1" t="s">
        <v>102</v>
      </c>
      <c r="DJ191" s="1">
        <v>3.5755720000000002</v>
      </c>
      <c r="DK191" s="1">
        <v>2.1095874800000001</v>
      </c>
      <c r="DL191" s="1">
        <v>1.4302288E-2</v>
      </c>
      <c r="DM191" s="1">
        <v>0.12872059199999999</v>
      </c>
      <c r="DN191" s="1">
        <v>0.35755720000000002</v>
      </c>
      <c r="DO191" s="1" t="s">
        <v>65</v>
      </c>
      <c r="DP191" t="s">
        <v>553</v>
      </c>
      <c r="DQ191" s="1">
        <v>19.622579999999999</v>
      </c>
      <c r="DR191" s="1">
        <v>46.211175900000001</v>
      </c>
      <c r="DS191" s="1">
        <v>0.92226125999999997</v>
      </c>
      <c r="DT191" s="1">
        <v>8.1826158600000003</v>
      </c>
      <c r="DU191" s="1">
        <v>1.0596193199999999</v>
      </c>
      <c r="DV191" s="1" t="s">
        <v>66</v>
      </c>
      <c r="DW191" t="s">
        <v>555</v>
      </c>
      <c r="DX191" s="1">
        <v>11.125807</v>
      </c>
      <c r="DY191" s="1">
        <v>3.2264840299999999</v>
      </c>
      <c r="DZ191" s="1">
        <v>2.2251613999999999E-2</v>
      </c>
      <c r="EA191" s="1">
        <v>0.77880649000000002</v>
      </c>
      <c r="EB191" s="1">
        <v>0.144635491</v>
      </c>
      <c r="EC191" s="1" t="s">
        <v>176</v>
      </c>
      <c r="ED191" t="s">
        <v>557</v>
      </c>
      <c r="EE191" s="1">
        <v>7.9457E-2</v>
      </c>
      <c r="EF191" s="1">
        <v>0.70430684799999999</v>
      </c>
      <c r="EG191" s="1">
        <v>7.9457E-2</v>
      </c>
      <c r="EH191" s="1">
        <v>0</v>
      </c>
      <c r="EI191" s="1">
        <v>0</v>
      </c>
    </row>
    <row r="192" spans="1:139" ht="14.25" customHeight="1" x14ac:dyDescent="0.35">
      <c r="A192" s="1" t="s">
        <v>199</v>
      </c>
      <c r="B192" s="2">
        <f t="shared" si="10"/>
        <v>190.59208547400002</v>
      </c>
      <c r="C192" s="2">
        <f t="shared" si="11"/>
        <v>104</v>
      </c>
      <c r="D192" s="2">
        <f t="shared" si="12"/>
        <v>7.3427988129999999</v>
      </c>
      <c r="E192" s="2">
        <f t="shared" si="13"/>
        <v>23.790295478000001</v>
      </c>
      <c r="F192" s="2">
        <f t="shared" si="14"/>
        <v>6.883233411</v>
      </c>
      <c r="G192" s="1" t="s">
        <v>200</v>
      </c>
      <c r="H192" s="1" t="s">
        <v>201</v>
      </c>
      <c r="I192" s="1">
        <v>51</v>
      </c>
      <c r="J192" s="1">
        <v>66.3</v>
      </c>
      <c r="K192" s="1">
        <v>0.153</v>
      </c>
      <c r="L192" s="1">
        <v>14.28</v>
      </c>
      <c r="M192" s="1">
        <v>1.377</v>
      </c>
      <c r="N192" s="1" t="s">
        <v>13</v>
      </c>
      <c r="O192" s="1" t="s">
        <v>14</v>
      </c>
      <c r="P192" s="1">
        <v>3.708602</v>
      </c>
      <c r="Q192" s="1">
        <v>32.784041680000001</v>
      </c>
      <c r="R192" s="1">
        <v>3.708602</v>
      </c>
      <c r="S192" s="1">
        <v>0</v>
      </c>
      <c r="T192" s="1">
        <v>0</v>
      </c>
      <c r="U192" s="1" t="s">
        <v>57</v>
      </c>
      <c r="V192" s="1" t="s">
        <v>58</v>
      </c>
      <c r="W192" s="1">
        <v>14.834409000000001</v>
      </c>
      <c r="X192" s="1">
        <v>41.180319384000001</v>
      </c>
      <c r="Y192" s="1">
        <v>2.536683939</v>
      </c>
      <c r="Z192" s="1">
        <v>0.47470108799999999</v>
      </c>
      <c r="AA192" s="1">
        <v>4.1536345199999998</v>
      </c>
      <c r="AB192" s="1" t="s">
        <v>63</v>
      </c>
      <c r="AC192" s="1" t="s">
        <v>64</v>
      </c>
      <c r="AD192" s="1">
        <v>3.708602</v>
      </c>
      <c r="AE192" s="1">
        <v>0.89006448000000005</v>
      </c>
      <c r="AF192" s="1">
        <v>0</v>
      </c>
      <c r="AG192" s="1">
        <v>7.4172039999999995E-2</v>
      </c>
      <c r="AH192" s="1">
        <v>0.14834407999999999</v>
      </c>
      <c r="AI192" s="1" t="s">
        <v>65</v>
      </c>
      <c r="AJ192" t="s">
        <v>553</v>
      </c>
      <c r="AK192" s="1">
        <v>19.622579999999999</v>
      </c>
      <c r="AL192" s="1">
        <v>46.211175900000001</v>
      </c>
      <c r="AM192" s="1">
        <v>0.92226125999999997</v>
      </c>
      <c r="AN192" s="1">
        <v>8.1826158600000003</v>
      </c>
      <c r="AO192" s="1">
        <v>1.0596193199999999</v>
      </c>
      <c r="AP192" s="1" t="s">
        <v>66</v>
      </c>
      <c r="AQ192" t="s">
        <v>555</v>
      </c>
      <c r="AR192" s="1">
        <v>11.125807</v>
      </c>
      <c r="AS192" s="1">
        <v>3.2264840299999999</v>
      </c>
      <c r="AT192" s="1">
        <v>2.2251613999999999E-2</v>
      </c>
      <c r="AU192" s="1">
        <v>0.77880649000000002</v>
      </c>
      <c r="AV192" s="1">
        <v>0.144635491</v>
      </c>
    </row>
    <row r="193" spans="1:125" ht="14.25" customHeight="1" x14ac:dyDescent="0.35">
      <c r="A193" s="1" t="s">
        <v>462</v>
      </c>
      <c r="B193" s="2">
        <f t="shared" si="10"/>
        <v>124.292085474</v>
      </c>
      <c r="C193" s="2">
        <f t="shared" si="11"/>
        <v>53</v>
      </c>
      <c r="D193" s="2">
        <f t="shared" si="12"/>
        <v>7.1897988130000003</v>
      </c>
      <c r="E193" s="2">
        <f t="shared" si="13"/>
        <v>9.5102954779999997</v>
      </c>
      <c r="F193" s="2">
        <f t="shared" si="14"/>
        <v>5.5062334109999993</v>
      </c>
      <c r="G193" s="1" t="s">
        <v>13</v>
      </c>
      <c r="H193" s="1" t="s">
        <v>14</v>
      </c>
      <c r="I193" s="1">
        <v>3.708602</v>
      </c>
      <c r="J193" s="1">
        <v>32.784041680000001</v>
      </c>
      <c r="K193" s="1">
        <v>3.708602</v>
      </c>
      <c r="L193" s="1">
        <v>0</v>
      </c>
      <c r="M193" s="1">
        <v>0</v>
      </c>
      <c r="N193" s="1" t="s">
        <v>57</v>
      </c>
      <c r="O193" s="1" t="s">
        <v>58</v>
      </c>
      <c r="P193" s="1">
        <v>14.834409000000001</v>
      </c>
      <c r="Q193" s="1">
        <v>41.180319384000001</v>
      </c>
      <c r="R193" s="1">
        <v>2.536683939</v>
      </c>
      <c r="S193" s="1">
        <v>0.47470108799999999</v>
      </c>
      <c r="T193" s="1">
        <v>4.1536345199999998</v>
      </c>
      <c r="U193" s="1" t="s">
        <v>63</v>
      </c>
      <c r="V193" s="1" t="s">
        <v>64</v>
      </c>
      <c r="W193" s="1">
        <v>3.708602</v>
      </c>
      <c r="X193" s="1">
        <v>0.89006448000000005</v>
      </c>
      <c r="Y193" s="1">
        <v>0</v>
      </c>
      <c r="Z193" s="1">
        <v>7.4172039999999995E-2</v>
      </c>
      <c r="AA193" s="1">
        <v>0.14834407999999999</v>
      </c>
      <c r="AB193" s="1" t="s">
        <v>65</v>
      </c>
      <c r="AC193" t="s">
        <v>553</v>
      </c>
      <c r="AD193" s="1">
        <v>19.622579999999999</v>
      </c>
      <c r="AE193" s="1">
        <v>46.211175900000001</v>
      </c>
      <c r="AF193" s="1">
        <v>0.92226125999999997</v>
      </c>
      <c r="AG193" s="1">
        <v>8.1826158600000003</v>
      </c>
      <c r="AH193" s="1">
        <v>1.0596193199999999</v>
      </c>
      <c r="AI193" s="1" t="s">
        <v>66</v>
      </c>
      <c r="AJ193" t="s">
        <v>555</v>
      </c>
      <c r="AK193" s="1">
        <v>11.125807</v>
      </c>
      <c r="AL193" s="1">
        <v>3.2264840299999999</v>
      </c>
      <c r="AM193" s="1">
        <v>2.2251613999999999E-2</v>
      </c>
      <c r="AN193" s="1">
        <v>0.77880649000000002</v>
      </c>
      <c r="AO193" s="1">
        <v>0.144635491</v>
      </c>
    </row>
    <row r="194" spans="1:125" ht="14.25" customHeight="1" x14ac:dyDescent="0.35">
      <c r="A194" s="1" t="s">
        <v>308</v>
      </c>
      <c r="B194" s="2">
        <f t="shared" ref="B194:B239" si="15">J194+Q194+X194+AE194+AL194+AS194+AZ194+BG194+BN194+BU194+CB194+CI194+CP194+CW194+DD194+DK194+DR194+DY194+EF194+EM194+ET194</f>
        <v>322.18507075499997</v>
      </c>
      <c r="C194" s="2">
        <f t="shared" ref="C194:C239" si="16">I194+P194+W194+AD194+AK194+AR194+AY194+BF194+BM194+BT194+CA194+CH194+CO194+CV194+DC194+DJ194+DQ194+DX194+EE194+EL194+ES194</f>
        <v>271.00000299999994</v>
      </c>
      <c r="D194" s="2">
        <f t="shared" ref="D194:D239" si="17">K194+R194+Y194+AF194+AM194+AT194+BA194+BH194+BO194+BV194+CC194+CJ194+CQ194+CX194+DE194+DL194+DS194+DZ194+EG194+EN194+EU194</f>
        <v>13.921640527000001</v>
      </c>
      <c r="E194" s="2">
        <f t="shared" ref="E194:E239" si="18">L194+S194+Z194+AG194+AN194+AU194+BB194+BI194+BP194+BW194+CD194+CK194+CR194+CY194+DF194+DM194+DT194+EA194+EH194+EO194+EV194</f>
        <v>24.242787403999998</v>
      </c>
      <c r="F194" s="2">
        <f t="shared" ref="F194:F239" si="19">M194+T194+AA194+AH194+AO194+AV194+BC194+BJ194+BQ194+BX194+CE194+CL194+CS194+CZ194+DG194+DN194+DU194+EB194+EI194+EP194+EW194</f>
        <v>23.725524641999996</v>
      </c>
      <c r="G194" s="1" t="s">
        <v>200</v>
      </c>
      <c r="H194" s="1" t="s">
        <v>201</v>
      </c>
      <c r="I194" s="1">
        <v>69</v>
      </c>
      <c r="J194" s="1">
        <v>89.7</v>
      </c>
      <c r="K194" s="1">
        <v>0.20699999999999999</v>
      </c>
      <c r="L194" s="1">
        <v>19.32</v>
      </c>
      <c r="M194" s="1">
        <v>1.863</v>
      </c>
      <c r="N194" s="1" t="s">
        <v>7</v>
      </c>
      <c r="O194" s="1" t="s">
        <v>8</v>
      </c>
      <c r="P194" s="1">
        <v>30.974352</v>
      </c>
      <c r="Q194" s="1">
        <v>10.531279680000001</v>
      </c>
      <c r="R194" s="1">
        <v>0.21682046399999999</v>
      </c>
      <c r="S194" s="1">
        <v>2.1062559360000002</v>
      </c>
      <c r="T194" s="1">
        <v>0.21682046399999999</v>
      </c>
      <c r="U194" s="1" t="s">
        <v>95</v>
      </c>
      <c r="V194" s="1" t="s">
        <v>96</v>
      </c>
      <c r="W194" s="1">
        <v>11.263400000000001</v>
      </c>
      <c r="X194" s="1">
        <v>4.5053599999999996</v>
      </c>
      <c r="Y194" s="1">
        <v>1.12634E-2</v>
      </c>
      <c r="Z194" s="1">
        <v>1.013706</v>
      </c>
      <c r="AA194" s="1">
        <v>0.1238974</v>
      </c>
      <c r="AB194" s="1" t="s">
        <v>77</v>
      </c>
      <c r="AC194" s="1" t="s">
        <v>78</v>
      </c>
      <c r="AD194" s="1">
        <v>2.3456030000000001</v>
      </c>
      <c r="AE194" s="1">
        <v>3.4949484700000002</v>
      </c>
      <c r="AF194" s="1">
        <v>1.1728015E-2</v>
      </c>
      <c r="AG194" s="1">
        <v>0.77404899000000005</v>
      </c>
      <c r="AH194" s="1">
        <v>0.150118592</v>
      </c>
      <c r="AI194" s="1" t="s">
        <v>166</v>
      </c>
      <c r="AJ194" s="1" t="s">
        <v>167</v>
      </c>
      <c r="AK194" s="1">
        <v>84.475502000000006</v>
      </c>
      <c r="AL194" s="1">
        <v>149.69058954400001</v>
      </c>
      <c r="AM194" s="1">
        <v>7.0114666659999996</v>
      </c>
      <c r="AN194" s="1">
        <v>0</v>
      </c>
      <c r="AO194" s="1">
        <v>20.189644978</v>
      </c>
      <c r="AP194" s="1" t="s">
        <v>157</v>
      </c>
      <c r="AQ194" s="1" t="s">
        <v>158</v>
      </c>
      <c r="AR194" s="1">
        <v>5.6316999999999999E-2</v>
      </c>
      <c r="AS194" s="1">
        <v>2.25268E-2</v>
      </c>
      <c r="AT194" s="1">
        <v>2.2526800000000001E-4</v>
      </c>
      <c r="AU194" s="1">
        <v>5.0122129999999997E-3</v>
      </c>
      <c r="AV194" s="1">
        <v>1.0137060000000001E-3</v>
      </c>
      <c r="AW194" s="1" t="s">
        <v>17</v>
      </c>
      <c r="AX194" s="1" t="s">
        <v>18</v>
      </c>
      <c r="AY194" s="1">
        <v>9.9325999999999998E-2</v>
      </c>
      <c r="AZ194" s="1">
        <v>0</v>
      </c>
      <c r="BA194" s="1">
        <v>0</v>
      </c>
      <c r="BB194" s="1">
        <v>0</v>
      </c>
      <c r="BC194" s="1">
        <v>0</v>
      </c>
      <c r="BD194" s="1" t="s">
        <v>168</v>
      </c>
      <c r="BE194" s="1" t="s">
        <v>169</v>
      </c>
      <c r="BF194" s="1">
        <v>45.701248</v>
      </c>
      <c r="BG194" s="1">
        <v>0</v>
      </c>
      <c r="BH194" s="1">
        <v>0</v>
      </c>
      <c r="BI194" s="1">
        <v>0</v>
      </c>
      <c r="BJ194" s="1">
        <v>0</v>
      </c>
      <c r="BK194" s="1" t="s">
        <v>170</v>
      </c>
      <c r="BL194" s="1" t="s">
        <v>171</v>
      </c>
      <c r="BM194" s="1">
        <v>17.148527000000001</v>
      </c>
      <c r="BN194" s="1">
        <v>57.670496301</v>
      </c>
      <c r="BO194" s="1">
        <v>6.2763608819999996</v>
      </c>
      <c r="BP194" s="1">
        <v>0.463010229</v>
      </c>
      <c r="BQ194" s="1">
        <v>0.48015875600000002</v>
      </c>
      <c r="BR194" s="1" t="s">
        <v>87</v>
      </c>
      <c r="BS194" s="1" t="s">
        <v>88</v>
      </c>
      <c r="BT194" s="1">
        <v>0.17599100000000001</v>
      </c>
      <c r="BU194" s="1">
        <v>2.9918469999999999E-2</v>
      </c>
      <c r="BV194" s="1">
        <v>0</v>
      </c>
      <c r="BW194" s="1">
        <v>9.855496E-3</v>
      </c>
      <c r="BX194" s="1">
        <v>7.0396399999999996E-4</v>
      </c>
      <c r="BY194" s="1" t="s">
        <v>172</v>
      </c>
      <c r="BZ194" s="1" t="s">
        <v>173</v>
      </c>
      <c r="CA194" s="1">
        <v>1.875356</v>
      </c>
      <c r="CB194" s="1">
        <v>0.42758116800000001</v>
      </c>
      <c r="CC194" s="1">
        <v>9.3767799999999995E-3</v>
      </c>
      <c r="CD194" s="1">
        <v>6.9388171999999998E-2</v>
      </c>
      <c r="CE194" s="1">
        <v>4.1257832000000001E-2</v>
      </c>
      <c r="CF194" s="1" t="s">
        <v>174</v>
      </c>
      <c r="CG194" s="1" t="s">
        <v>175</v>
      </c>
      <c r="CH194" s="1">
        <v>1.4079250000000001</v>
      </c>
      <c r="CI194" s="1">
        <v>1.1263399999999999</v>
      </c>
      <c r="CJ194" s="1">
        <v>1.12634E-2</v>
      </c>
      <c r="CK194" s="1">
        <v>0.2534265</v>
      </c>
      <c r="CL194" s="1">
        <v>2.5342650000000001E-2</v>
      </c>
      <c r="CM194" s="1" t="s">
        <v>101</v>
      </c>
      <c r="CN194" s="1" t="s">
        <v>102</v>
      </c>
      <c r="CO194" s="1">
        <v>6.3356630000000003</v>
      </c>
      <c r="CP194" s="1">
        <v>3.7380411699999998</v>
      </c>
      <c r="CQ194" s="1">
        <v>2.5342652E-2</v>
      </c>
      <c r="CR194" s="1">
        <v>0.228083868</v>
      </c>
      <c r="CS194" s="1">
        <v>0.63356630000000003</v>
      </c>
      <c r="CT194" s="1" t="s">
        <v>176</v>
      </c>
      <c r="CU194" t="s">
        <v>557</v>
      </c>
      <c r="CV194" s="1">
        <v>0.140793</v>
      </c>
      <c r="CW194" s="1">
        <v>1.2479891519999999</v>
      </c>
      <c r="CX194" s="1">
        <v>0.140793</v>
      </c>
      <c r="CY194" s="1">
        <v>0</v>
      </c>
      <c r="CZ194" s="1">
        <v>0</v>
      </c>
    </row>
    <row r="195" spans="1:125" ht="14.25" customHeight="1" x14ac:dyDescent="0.35">
      <c r="A195" s="1" t="s">
        <v>395</v>
      </c>
      <c r="B195" s="2">
        <f t="shared" si="15"/>
        <v>232.48507075500004</v>
      </c>
      <c r="C195" s="2">
        <f t="shared" si="16"/>
        <v>202.00000300000002</v>
      </c>
      <c r="D195" s="2">
        <f t="shared" si="17"/>
        <v>13.714640527000002</v>
      </c>
      <c r="E195" s="2">
        <f t="shared" si="18"/>
        <v>4.9227874040000001</v>
      </c>
      <c r="F195" s="2">
        <f t="shared" si="19"/>
        <v>21.862524641999997</v>
      </c>
      <c r="G195" s="1" t="s">
        <v>7</v>
      </c>
      <c r="H195" s="1" t="s">
        <v>8</v>
      </c>
      <c r="I195" s="1">
        <v>30.974352</v>
      </c>
      <c r="J195" s="1">
        <v>10.531279680000001</v>
      </c>
      <c r="K195" s="1">
        <v>0.21682046399999999</v>
      </c>
      <c r="L195" s="1">
        <v>2.1062559360000002</v>
      </c>
      <c r="M195" s="1">
        <v>0.21682046399999999</v>
      </c>
      <c r="N195" s="1" t="s">
        <v>95</v>
      </c>
      <c r="O195" s="1" t="s">
        <v>96</v>
      </c>
      <c r="P195" s="1">
        <v>11.263400000000001</v>
      </c>
      <c r="Q195" s="1">
        <v>4.5053599999999996</v>
      </c>
      <c r="R195" s="1">
        <v>1.12634E-2</v>
      </c>
      <c r="S195" s="1">
        <v>1.013706</v>
      </c>
      <c r="T195" s="1">
        <v>0.1238974</v>
      </c>
      <c r="U195" s="1" t="s">
        <v>77</v>
      </c>
      <c r="V195" s="1" t="s">
        <v>78</v>
      </c>
      <c r="W195" s="1">
        <v>2.3456030000000001</v>
      </c>
      <c r="X195" s="1">
        <v>3.4949484700000002</v>
      </c>
      <c r="Y195" s="1">
        <v>1.1728015E-2</v>
      </c>
      <c r="Z195" s="1">
        <v>0.77404899000000005</v>
      </c>
      <c r="AA195" s="1">
        <v>0.150118592</v>
      </c>
      <c r="AB195" s="1" t="s">
        <v>166</v>
      </c>
      <c r="AC195" s="1" t="s">
        <v>167</v>
      </c>
      <c r="AD195" s="1">
        <v>84.475502000000006</v>
      </c>
      <c r="AE195" s="1">
        <v>149.69058954400001</v>
      </c>
      <c r="AF195" s="1">
        <v>7.0114666659999996</v>
      </c>
      <c r="AG195" s="1">
        <v>0</v>
      </c>
      <c r="AH195" s="1">
        <v>20.189644978</v>
      </c>
      <c r="AI195" s="1" t="s">
        <v>157</v>
      </c>
      <c r="AJ195" s="1" t="s">
        <v>158</v>
      </c>
      <c r="AK195" s="1">
        <v>5.6316999999999999E-2</v>
      </c>
      <c r="AL195" s="1">
        <v>2.25268E-2</v>
      </c>
      <c r="AM195" s="1">
        <v>2.2526800000000001E-4</v>
      </c>
      <c r="AN195" s="1">
        <v>5.0122129999999997E-3</v>
      </c>
      <c r="AO195" s="1">
        <v>1.0137060000000001E-3</v>
      </c>
      <c r="AP195" s="1" t="s">
        <v>17</v>
      </c>
      <c r="AQ195" s="1" t="s">
        <v>18</v>
      </c>
      <c r="AR195" s="1">
        <v>9.9325999999999998E-2</v>
      </c>
      <c r="AS195" s="1">
        <v>0</v>
      </c>
      <c r="AT195" s="1">
        <v>0</v>
      </c>
      <c r="AU195" s="1">
        <v>0</v>
      </c>
      <c r="AV195" s="1">
        <v>0</v>
      </c>
      <c r="AW195" s="1" t="s">
        <v>168</v>
      </c>
      <c r="AX195" s="1" t="s">
        <v>169</v>
      </c>
      <c r="AY195" s="1">
        <v>45.701248</v>
      </c>
      <c r="AZ195" s="1">
        <v>0</v>
      </c>
      <c r="BA195" s="1">
        <v>0</v>
      </c>
      <c r="BB195" s="1">
        <v>0</v>
      </c>
      <c r="BC195" s="1">
        <v>0</v>
      </c>
      <c r="BD195" s="1" t="s">
        <v>170</v>
      </c>
      <c r="BE195" s="1" t="s">
        <v>171</v>
      </c>
      <c r="BF195" s="1">
        <v>17.148527000000001</v>
      </c>
      <c r="BG195" s="1">
        <v>57.670496301</v>
      </c>
      <c r="BH195" s="1">
        <v>6.2763608819999996</v>
      </c>
      <c r="BI195" s="1">
        <v>0.463010229</v>
      </c>
      <c r="BJ195" s="1">
        <v>0.48015875600000002</v>
      </c>
      <c r="BK195" s="1" t="s">
        <v>87</v>
      </c>
      <c r="BL195" s="1" t="s">
        <v>88</v>
      </c>
      <c r="BM195" s="1">
        <v>0.17599100000000001</v>
      </c>
      <c r="BN195" s="1">
        <v>2.9918469999999999E-2</v>
      </c>
      <c r="BO195" s="1">
        <v>0</v>
      </c>
      <c r="BP195" s="1">
        <v>9.855496E-3</v>
      </c>
      <c r="BQ195" s="1">
        <v>7.0396399999999996E-4</v>
      </c>
      <c r="BR195" s="1" t="s">
        <v>172</v>
      </c>
      <c r="BS195" s="1" t="s">
        <v>173</v>
      </c>
      <c r="BT195" s="1">
        <v>1.875356</v>
      </c>
      <c r="BU195" s="1">
        <v>0.42758116800000001</v>
      </c>
      <c r="BV195" s="1">
        <v>9.3767799999999995E-3</v>
      </c>
      <c r="BW195" s="1">
        <v>6.9388171999999998E-2</v>
      </c>
      <c r="BX195" s="1">
        <v>4.1257832000000001E-2</v>
      </c>
      <c r="BY195" s="1" t="s">
        <v>174</v>
      </c>
      <c r="BZ195" s="1" t="s">
        <v>175</v>
      </c>
      <c r="CA195" s="1">
        <v>1.4079250000000001</v>
      </c>
      <c r="CB195" s="1">
        <v>1.1263399999999999</v>
      </c>
      <c r="CC195" s="1">
        <v>1.12634E-2</v>
      </c>
      <c r="CD195" s="1">
        <v>0.2534265</v>
      </c>
      <c r="CE195" s="1">
        <v>2.5342650000000001E-2</v>
      </c>
      <c r="CF195" s="1" t="s">
        <v>101</v>
      </c>
      <c r="CG195" s="1" t="s">
        <v>102</v>
      </c>
      <c r="CH195" s="1">
        <v>6.3356630000000003</v>
      </c>
      <c r="CI195" s="1">
        <v>3.7380411699999998</v>
      </c>
      <c r="CJ195" s="1">
        <v>2.5342652E-2</v>
      </c>
      <c r="CK195" s="1">
        <v>0.228083868</v>
      </c>
      <c r="CL195" s="1">
        <v>0.63356630000000003</v>
      </c>
      <c r="CM195" s="1" t="s">
        <v>176</v>
      </c>
      <c r="CN195" t="s">
        <v>557</v>
      </c>
      <c r="CO195" s="1">
        <v>0.140793</v>
      </c>
      <c r="CP195" s="1">
        <v>1.2479891519999999</v>
      </c>
      <c r="CQ195" s="1">
        <v>0.140793</v>
      </c>
      <c r="CR195" s="1">
        <v>0</v>
      </c>
      <c r="CS195" s="1">
        <v>0</v>
      </c>
    </row>
    <row r="196" spans="1:125" ht="14.25" customHeight="1" x14ac:dyDescent="0.35">
      <c r="A196" s="1" t="s">
        <v>485</v>
      </c>
      <c r="B196" s="2">
        <f t="shared" si="15"/>
        <v>308.16724173200004</v>
      </c>
      <c r="C196" s="2">
        <f t="shared" si="16"/>
        <v>261.99999899999995</v>
      </c>
      <c r="D196" s="2">
        <f t="shared" si="17"/>
        <v>16.126341392</v>
      </c>
      <c r="E196" s="2">
        <f t="shared" si="18"/>
        <v>20.261215880000002</v>
      </c>
      <c r="F196" s="2">
        <f t="shared" si="19"/>
        <v>22.915713435000004</v>
      </c>
      <c r="G196" s="1" t="s">
        <v>7</v>
      </c>
      <c r="H196" s="1" t="s">
        <v>8</v>
      </c>
      <c r="I196" s="1">
        <v>28.674275999999999</v>
      </c>
      <c r="J196" s="1">
        <v>9.7492538399999997</v>
      </c>
      <c r="K196" s="1">
        <v>0.20071993199999999</v>
      </c>
      <c r="L196" s="1">
        <v>1.9498507679999999</v>
      </c>
      <c r="M196" s="1">
        <v>0.20071993199999999</v>
      </c>
      <c r="N196" s="1" t="s">
        <v>178</v>
      </c>
      <c r="O196" s="1" t="s">
        <v>179</v>
      </c>
      <c r="P196" s="1">
        <v>1.7749630000000001</v>
      </c>
      <c r="Q196" s="1">
        <v>7.1353512600000002</v>
      </c>
      <c r="R196" s="1">
        <v>0.58573779000000004</v>
      </c>
      <c r="S196" s="1">
        <v>2.3074519000000002E-2</v>
      </c>
      <c r="T196" s="1">
        <v>0.44374075000000002</v>
      </c>
      <c r="U196" s="1" t="s">
        <v>95</v>
      </c>
      <c r="V196" s="1" t="s">
        <v>96</v>
      </c>
      <c r="W196" s="1">
        <v>10.427009999999999</v>
      </c>
      <c r="X196" s="1">
        <v>4.1708040000000004</v>
      </c>
      <c r="Y196" s="1">
        <v>1.042701E-2</v>
      </c>
      <c r="Z196" s="1">
        <v>0.93843089999999996</v>
      </c>
      <c r="AA196" s="1">
        <v>0.11469711</v>
      </c>
      <c r="AB196" s="1" t="s">
        <v>77</v>
      </c>
      <c r="AC196" s="1" t="s">
        <v>78</v>
      </c>
      <c r="AD196" s="1">
        <v>2.1714250000000002</v>
      </c>
      <c r="AE196" s="1">
        <v>3.2354232500000002</v>
      </c>
      <c r="AF196" s="1">
        <v>1.0857125E-2</v>
      </c>
      <c r="AG196" s="1">
        <v>0.71657024999999996</v>
      </c>
      <c r="AH196" s="1">
        <v>0.13897119999999999</v>
      </c>
      <c r="AI196" s="1" t="s">
        <v>166</v>
      </c>
      <c r="AJ196" s="1" t="s">
        <v>167</v>
      </c>
      <c r="AK196" s="1">
        <v>78.202567999999999</v>
      </c>
      <c r="AL196" s="1">
        <v>138.57495049600001</v>
      </c>
      <c r="AM196" s="1">
        <v>6.4908131439999996</v>
      </c>
      <c r="AN196" s="1">
        <v>0</v>
      </c>
      <c r="AO196" s="1">
        <v>18.690413752000001</v>
      </c>
      <c r="AP196" s="1" t="s">
        <v>13</v>
      </c>
      <c r="AQ196" s="1" t="s">
        <v>14</v>
      </c>
      <c r="AR196" s="1">
        <v>0.88748099999999996</v>
      </c>
      <c r="AS196" s="1">
        <v>7.8453320399999997</v>
      </c>
      <c r="AT196" s="1">
        <v>0.88748099999999996</v>
      </c>
      <c r="AU196" s="1">
        <v>0</v>
      </c>
      <c r="AV196" s="1">
        <v>0</v>
      </c>
      <c r="AW196" s="1" t="s">
        <v>157</v>
      </c>
      <c r="AX196" s="1" t="s">
        <v>158</v>
      </c>
      <c r="AY196" s="1">
        <v>5.2135000000000001E-2</v>
      </c>
      <c r="AZ196" s="1">
        <v>2.0854000000000001E-2</v>
      </c>
      <c r="BA196" s="1">
        <v>2.0854000000000001E-4</v>
      </c>
      <c r="BB196" s="1">
        <v>4.6400149999999999E-3</v>
      </c>
      <c r="BC196" s="1">
        <v>9.3842999999999997E-4</v>
      </c>
      <c r="BD196" s="1" t="s">
        <v>486</v>
      </c>
      <c r="BE196" s="1" t="s">
        <v>487</v>
      </c>
      <c r="BF196" s="1">
        <v>70.998504999999994</v>
      </c>
      <c r="BG196" s="1">
        <v>75.329413805000002</v>
      </c>
      <c r="BH196" s="1">
        <v>1.70396412</v>
      </c>
      <c r="BI196" s="1">
        <v>15.6196711</v>
      </c>
      <c r="BJ196" s="1">
        <v>2.2009536550000002</v>
      </c>
      <c r="BK196" s="1" t="s">
        <v>17</v>
      </c>
      <c r="BL196" s="1" t="s">
        <v>18</v>
      </c>
      <c r="BM196" s="1">
        <v>9.9777000000000005E-2</v>
      </c>
      <c r="BN196" s="1">
        <v>0</v>
      </c>
      <c r="BO196" s="1">
        <v>0</v>
      </c>
      <c r="BP196" s="1">
        <v>0</v>
      </c>
      <c r="BQ196" s="1">
        <v>0</v>
      </c>
      <c r="BR196" s="1" t="s">
        <v>168</v>
      </c>
      <c r="BS196" s="1" t="s">
        <v>169</v>
      </c>
      <c r="BT196" s="1">
        <v>42.307589999999998</v>
      </c>
      <c r="BU196" s="1">
        <v>0</v>
      </c>
      <c r="BV196" s="1">
        <v>0</v>
      </c>
      <c r="BW196" s="1">
        <v>0</v>
      </c>
      <c r="BX196" s="1">
        <v>0</v>
      </c>
      <c r="BY196" s="1" t="s">
        <v>170</v>
      </c>
      <c r="BZ196" s="1" t="s">
        <v>171</v>
      </c>
      <c r="CA196" s="1">
        <v>15.875121</v>
      </c>
      <c r="CB196" s="1">
        <v>53.388031923</v>
      </c>
      <c r="CC196" s="1">
        <v>5.8102942860000004</v>
      </c>
      <c r="CD196" s="1">
        <v>0.42862826700000001</v>
      </c>
      <c r="CE196" s="1">
        <v>0.444503388</v>
      </c>
      <c r="CF196" s="1" t="s">
        <v>266</v>
      </c>
      <c r="CG196" s="1" t="s">
        <v>267</v>
      </c>
      <c r="CH196" s="1">
        <v>1.3312219999999999</v>
      </c>
      <c r="CI196" s="1">
        <v>2.6358195599999998</v>
      </c>
      <c r="CJ196" s="1">
        <v>0.25293218000000001</v>
      </c>
      <c r="CK196" s="1">
        <v>6.1236211999999998E-2</v>
      </c>
      <c r="CL196" s="1">
        <v>3.1949327999999999E-2</v>
      </c>
      <c r="CM196" s="1" t="s">
        <v>87</v>
      </c>
      <c r="CN196" s="1" t="s">
        <v>88</v>
      </c>
      <c r="CO196" s="1">
        <v>0.16292200000000001</v>
      </c>
      <c r="CP196" s="1">
        <v>2.7696740000000001E-2</v>
      </c>
      <c r="CQ196" s="1">
        <v>0</v>
      </c>
      <c r="CR196" s="1">
        <v>9.1236319999999996E-3</v>
      </c>
      <c r="CS196" s="1">
        <v>6.5168799999999999E-4</v>
      </c>
      <c r="CT196" s="1" t="s">
        <v>172</v>
      </c>
      <c r="CU196" s="1" t="s">
        <v>173</v>
      </c>
      <c r="CV196" s="1">
        <v>1.736097</v>
      </c>
      <c r="CW196" s="1">
        <v>0.39583011600000001</v>
      </c>
      <c r="CX196" s="1">
        <v>8.6804849999999999E-3</v>
      </c>
      <c r="CY196" s="1">
        <v>6.4235588999999996E-2</v>
      </c>
      <c r="CZ196" s="1">
        <v>3.8194133999999998E-2</v>
      </c>
      <c r="DA196" s="1" t="s">
        <v>174</v>
      </c>
      <c r="DB196" s="1" t="s">
        <v>175</v>
      </c>
      <c r="DC196" s="1">
        <v>1.3033760000000001</v>
      </c>
      <c r="DD196" s="1">
        <v>1.0427008</v>
      </c>
      <c r="DE196" s="1">
        <v>1.0427008E-2</v>
      </c>
      <c r="DF196" s="1">
        <v>0.23460768000000001</v>
      </c>
      <c r="DG196" s="1">
        <v>2.3460768E-2</v>
      </c>
      <c r="DH196" s="1" t="s">
        <v>101</v>
      </c>
      <c r="DI196" s="1" t="s">
        <v>102</v>
      </c>
      <c r="DJ196" s="1">
        <v>5.8651929999999997</v>
      </c>
      <c r="DK196" s="1">
        <v>3.4604638699999999</v>
      </c>
      <c r="DL196" s="1">
        <v>2.3460772000000001E-2</v>
      </c>
      <c r="DM196" s="1">
        <v>0.211146948</v>
      </c>
      <c r="DN196" s="1">
        <v>0.58651929999999997</v>
      </c>
      <c r="DO196" s="1" t="s">
        <v>176</v>
      </c>
      <c r="DP196" t="s">
        <v>557</v>
      </c>
      <c r="DQ196" s="1">
        <v>0.13033800000000001</v>
      </c>
      <c r="DR196" s="1">
        <v>1.155316032</v>
      </c>
      <c r="DS196" s="1">
        <v>0.13033800000000001</v>
      </c>
      <c r="DT196" s="1">
        <v>0</v>
      </c>
      <c r="DU196" s="1">
        <v>0</v>
      </c>
    </row>
    <row r="197" spans="1:125" ht="14.25" customHeight="1" x14ac:dyDescent="0.35">
      <c r="A197" s="1" t="s">
        <v>501</v>
      </c>
      <c r="B197" s="2">
        <f t="shared" si="15"/>
        <v>92.945916664999999</v>
      </c>
      <c r="C197" s="2">
        <f t="shared" si="16"/>
        <v>74.999996999999979</v>
      </c>
      <c r="D197" s="2">
        <f t="shared" si="17"/>
        <v>3.4301150900000001</v>
      </c>
      <c r="E197" s="2">
        <f t="shared" si="18"/>
        <v>15.703981831</v>
      </c>
      <c r="F197" s="2">
        <f t="shared" si="19"/>
        <v>2.6766437330000001</v>
      </c>
      <c r="G197" s="1" t="s">
        <v>178</v>
      </c>
      <c r="H197" s="1" t="s">
        <v>179</v>
      </c>
      <c r="I197" s="1">
        <v>1.7749630000000001</v>
      </c>
      <c r="J197" s="1">
        <v>7.1353512600000002</v>
      </c>
      <c r="K197" s="1">
        <v>0.58573779000000004</v>
      </c>
      <c r="L197" s="1">
        <v>2.3074519000000002E-2</v>
      </c>
      <c r="M197" s="1">
        <v>0.44374075000000002</v>
      </c>
      <c r="N197" s="1" t="s">
        <v>13</v>
      </c>
      <c r="O197" s="1" t="s">
        <v>14</v>
      </c>
      <c r="P197" s="1">
        <v>0.88748099999999996</v>
      </c>
      <c r="Q197" s="1">
        <v>7.8453320399999997</v>
      </c>
      <c r="R197" s="1">
        <v>0.88748099999999996</v>
      </c>
      <c r="S197" s="1">
        <v>0</v>
      </c>
      <c r="T197" s="1">
        <v>0</v>
      </c>
      <c r="U197" s="1" t="s">
        <v>486</v>
      </c>
      <c r="V197" s="1" t="s">
        <v>487</v>
      </c>
      <c r="W197" s="1">
        <v>70.998504999999994</v>
      </c>
      <c r="X197" s="1">
        <v>75.329413805000002</v>
      </c>
      <c r="Y197" s="1">
        <v>1.70396412</v>
      </c>
      <c r="Z197" s="1">
        <v>15.6196711</v>
      </c>
      <c r="AA197" s="1">
        <v>2.2009536550000002</v>
      </c>
      <c r="AB197" s="1" t="s">
        <v>17</v>
      </c>
      <c r="AC197" s="1" t="s">
        <v>18</v>
      </c>
      <c r="AD197" s="1">
        <v>7.8259999999999996E-3</v>
      </c>
      <c r="AE197" s="1">
        <v>0</v>
      </c>
      <c r="AF197" s="1">
        <v>0</v>
      </c>
      <c r="AG197" s="1">
        <v>0</v>
      </c>
      <c r="AH197" s="1">
        <v>0</v>
      </c>
      <c r="AI197" s="1" t="s">
        <v>266</v>
      </c>
      <c r="AJ197" s="1" t="s">
        <v>267</v>
      </c>
      <c r="AK197" s="1">
        <v>1.3312219999999999</v>
      </c>
      <c r="AL197" s="1">
        <v>2.6358195599999998</v>
      </c>
      <c r="AM197" s="1">
        <v>0.25293218000000001</v>
      </c>
      <c r="AN197" s="1">
        <v>6.1236211999999998E-2</v>
      </c>
      <c r="AO197" s="1">
        <v>3.1949327999999999E-2</v>
      </c>
    </row>
    <row r="198" spans="1:125" ht="14.25" customHeight="1" x14ac:dyDescent="0.35">
      <c r="A198" s="1" t="s">
        <v>511</v>
      </c>
      <c r="B198" s="2">
        <f t="shared" si="15"/>
        <v>177.93918877000002</v>
      </c>
      <c r="C198" s="2">
        <f t="shared" si="16"/>
        <v>150</v>
      </c>
      <c r="D198" s="2">
        <f t="shared" si="17"/>
        <v>8.8545751579999994</v>
      </c>
      <c r="E198" s="2">
        <f t="shared" si="18"/>
        <v>14.756506908</v>
      </c>
      <c r="F198" s="2">
        <f t="shared" si="19"/>
        <v>11.882043770999999</v>
      </c>
      <c r="G198" s="1" t="s">
        <v>7</v>
      </c>
      <c r="H198" s="1" t="s">
        <v>8</v>
      </c>
      <c r="I198" s="1">
        <v>13.800452999999999</v>
      </c>
      <c r="J198" s="1">
        <v>4.6921540200000003</v>
      </c>
      <c r="K198" s="1">
        <v>9.6603171000000002E-2</v>
      </c>
      <c r="L198" s="1">
        <v>0.93843080400000001</v>
      </c>
      <c r="M198" s="1">
        <v>9.6603171000000002E-2</v>
      </c>
      <c r="N198" s="1" t="s">
        <v>178</v>
      </c>
      <c r="O198" s="1" t="s">
        <v>179</v>
      </c>
      <c r="P198" s="1">
        <v>1.41997</v>
      </c>
      <c r="Q198" s="1">
        <v>5.7082794000000003</v>
      </c>
      <c r="R198" s="1">
        <v>0.46859010000000001</v>
      </c>
      <c r="S198" s="1">
        <v>1.8459610000000001E-2</v>
      </c>
      <c r="T198" s="1">
        <v>0.35499249999999999</v>
      </c>
      <c r="U198" s="1" t="s">
        <v>95</v>
      </c>
      <c r="V198" s="1" t="s">
        <v>96</v>
      </c>
      <c r="W198" s="1">
        <v>5.0183470000000003</v>
      </c>
      <c r="X198" s="1">
        <v>2.0073387999999999</v>
      </c>
      <c r="Y198" s="1">
        <v>5.0183470000000003E-3</v>
      </c>
      <c r="Z198" s="1">
        <v>0.45165123000000001</v>
      </c>
      <c r="AA198" s="1">
        <v>5.5201817E-2</v>
      </c>
      <c r="AB198" s="1" t="s">
        <v>77</v>
      </c>
      <c r="AC198" s="1" t="s">
        <v>78</v>
      </c>
      <c r="AD198" s="1">
        <v>1.0450710000000001</v>
      </c>
      <c r="AE198" s="1">
        <v>1.5571557899999999</v>
      </c>
      <c r="AF198" s="1">
        <v>5.2253550000000001E-3</v>
      </c>
      <c r="AG198" s="1">
        <v>0.34487342999999998</v>
      </c>
      <c r="AH198" s="1">
        <v>6.6884544000000004E-2</v>
      </c>
      <c r="AI198" s="1" t="s">
        <v>166</v>
      </c>
      <c r="AJ198" s="1" t="s">
        <v>167</v>
      </c>
      <c r="AK198" s="1">
        <v>37.637599999999999</v>
      </c>
      <c r="AL198" s="1">
        <v>66.693827200000001</v>
      </c>
      <c r="AM198" s="1">
        <v>3.1239208000000001</v>
      </c>
      <c r="AN198" s="1">
        <v>0</v>
      </c>
      <c r="AO198" s="1">
        <v>8.9953863999999992</v>
      </c>
      <c r="AP198" s="1" t="s">
        <v>13</v>
      </c>
      <c r="AQ198" s="1" t="s">
        <v>14</v>
      </c>
      <c r="AR198" s="1">
        <v>0.70998499999999998</v>
      </c>
      <c r="AS198" s="1">
        <v>6.2762674000000001</v>
      </c>
      <c r="AT198" s="1">
        <v>0.70998499999999998</v>
      </c>
      <c r="AU198" s="1">
        <v>0</v>
      </c>
      <c r="AV198" s="1">
        <v>0</v>
      </c>
      <c r="AW198" s="1" t="s">
        <v>157</v>
      </c>
      <c r="AX198" s="1" t="s">
        <v>158</v>
      </c>
      <c r="AY198" s="1">
        <v>2.5092E-2</v>
      </c>
      <c r="AZ198" s="1">
        <v>1.00368E-2</v>
      </c>
      <c r="BA198" s="1">
        <v>1.00368E-4</v>
      </c>
      <c r="BB198" s="1">
        <v>2.2331880000000001E-3</v>
      </c>
      <c r="BC198" s="1">
        <v>4.5165599999999999E-4</v>
      </c>
      <c r="BD198" s="1" t="s">
        <v>486</v>
      </c>
      <c r="BE198" s="1" t="s">
        <v>487</v>
      </c>
      <c r="BF198" s="1">
        <v>56.798805000000002</v>
      </c>
      <c r="BG198" s="1">
        <v>60.263532105000003</v>
      </c>
      <c r="BH198" s="1">
        <v>1.36317132</v>
      </c>
      <c r="BI198" s="1">
        <v>12.495737099999999</v>
      </c>
      <c r="BJ198" s="1">
        <v>1.7607629549999999</v>
      </c>
      <c r="BK198" s="1" t="s">
        <v>17</v>
      </c>
      <c r="BL198" s="1" t="s">
        <v>18</v>
      </c>
      <c r="BM198" s="1">
        <v>5.0514999999999997E-2</v>
      </c>
      <c r="BN198" s="1">
        <v>0</v>
      </c>
      <c r="BO198" s="1">
        <v>0</v>
      </c>
      <c r="BP198" s="1">
        <v>0</v>
      </c>
      <c r="BQ198" s="1">
        <v>0</v>
      </c>
      <c r="BR198" s="1" t="s">
        <v>168</v>
      </c>
      <c r="BS198" s="1" t="s">
        <v>169</v>
      </c>
      <c r="BT198" s="1">
        <v>20.361941999999999</v>
      </c>
      <c r="BU198" s="1">
        <v>0</v>
      </c>
      <c r="BV198" s="1">
        <v>0</v>
      </c>
      <c r="BW198" s="1">
        <v>0</v>
      </c>
      <c r="BX198" s="1">
        <v>0</v>
      </c>
      <c r="BY198" s="1" t="s">
        <v>170</v>
      </c>
      <c r="BZ198" s="1" t="s">
        <v>171</v>
      </c>
      <c r="CA198" s="1">
        <v>7.6404329999999998</v>
      </c>
      <c r="CB198" s="1">
        <v>25.694776179000002</v>
      </c>
      <c r="CC198" s="1">
        <v>2.796398478</v>
      </c>
      <c r="CD198" s="1">
        <v>0.206291691</v>
      </c>
      <c r="CE198" s="1">
        <v>0.213932124</v>
      </c>
      <c r="CF198" s="1" t="s">
        <v>266</v>
      </c>
      <c r="CG198" s="1" t="s">
        <v>267</v>
      </c>
      <c r="CH198" s="1">
        <v>1.064978</v>
      </c>
      <c r="CI198" s="1">
        <v>2.1086564399999999</v>
      </c>
      <c r="CJ198" s="1">
        <v>0.20234582000000001</v>
      </c>
      <c r="CK198" s="1">
        <v>4.8988987999999997E-2</v>
      </c>
      <c r="CL198" s="1">
        <v>2.5559472E-2</v>
      </c>
      <c r="CM198" s="1" t="s">
        <v>87</v>
      </c>
      <c r="CN198" s="1" t="s">
        <v>88</v>
      </c>
      <c r="CO198" s="1">
        <v>7.8411999999999996E-2</v>
      </c>
      <c r="CP198" s="1">
        <v>1.333004E-2</v>
      </c>
      <c r="CQ198" s="1">
        <v>0</v>
      </c>
      <c r="CR198" s="1">
        <v>4.3910720000000002E-3</v>
      </c>
      <c r="CS198" s="1">
        <v>3.1364799999999998E-4</v>
      </c>
      <c r="CT198" s="1" t="s">
        <v>172</v>
      </c>
      <c r="CU198" s="1" t="s">
        <v>173</v>
      </c>
      <c r="CV198" s="1">
        <v>0.83555500000000005</v>
      </c>
      <c r="CW198" s="1">
        <v>0.19050654</v>
      </c>
      <c r="CX198" s="1">
        <v>4.1777749999999999E-3</v>
      </c>
      <c r="CY198" s="1">
        <v>3.0915535000000001E-2</v>
      </c>
      <c r="CZ198" s="1">
        <v>1.838221E-2</v>
      </c>
      <c r="DA198" s="1" t="s">
        <v>174</v>
      </c>
      <c r="DB198" s="1" t="s">
        <v>175</v>
      </c>
      <c r="DC198" s="1">
        <v>0.62729299999999999</v>
      </c>
      <c r="DD198" s="1">
        <v>0.50183440000000001</v>
      </c>
      <c r="DE198" s="1">
        <v>5.0183440000000001E-3</v>
      </c>
      <c r="DF198" s="1">
        <v>0.11291274</v>
      </c>
      <c r="DG198" s="1">
        <v>1.1291274E-2</v>
      </c>
      <c r="DH198" s="1" t="s">
        <v>101</v>
      </c>
      <c r="DI198" s="1" t="s">
        <v>102</v>
      </c>
      <c r="DJ198" s="1">
        <v>2.8228200000000001</v>
      </c>
      <c r="DK198" s="1">
        <v>1.6654637999999999</v>
      </c>
      <c r="DL198" s="1">
        <v>1.1291280000000001E-2</v>
      </c>
      <c r="DM198" s="1">
        <v>0.10162152000000001</v>
      </c>
      <c r="DN198" s="1">
        <v>0.28228199999999998</v>
      </c>
      <c r="DO198" s="1" t="s">
        <v>176</v>
      </c>
      <c r="DP198" t="s">
        <v>557</v>
      </c>
      <c r="DQ198" s="1">
        <v>6.2728999999999993E-2</v>
      </c>
      <c r="DR198" s="1">
        <v>0.55602985599999999</v>
      </c>
      <c r="DS198" s="1">
        <v>6.2728999999999993E-2</v>
      </c>
      <c r="DT198" s="1">
        <v>0</v>
      </c>
      <c r="DU198" s="1">
        <v>0</v>
      </c>
    </row>
    <row r="199" spans="1:125" ht="14.25" customHeight="1" x14ac:dyDescent="0.35">
      <c r="A199" s="1" t="s">
        <v>165</v>
      </c>
      <c r="B199" s="2">
        <f t="shared" si="15"/>
        <v>103.582453425</v>
      </c>
      <c r="C199" s="2">
        <f t="shared" si="16"/>
        <v>90.000001000000012</v>
      </c>
      <c r="D199" s="2">
        <f t="shared" si="17"/>
        <v>6.1104829179999989</v>
      </c>
      <c r="E199" s="2">
        <f t="shared" si="18"/>
        <v>2.1933212100000001</v>
      </c>
      <c r="F199" s="2">
        <f t="shared" si="19"/>
        <v>9.7407288439999995</v>
      </c>
      <c r="G199" s="1" t="s">
        <v>7</v>
      </c>
      <c r="H199" s="1" t="s">
        <v>8</v>
      </c>
      <c r="I199" s="1">
        <v>13.800452999999999</v>
      </c>
      <c r="J199" s="1">
        <v>4.6921540200000003</v>
      </c>
      <c r="K199" s="1">
        <v>9.6603171000000002E-2</v>
      </c>
      <c r="L199" s="1">
        <v>0.93843080400000001</v>
      </c>
      <c r="M199" s="1">
        <v>9.6603171000000002E-2</v>
      </c>
      <c r="N199" s="1" t="s">
        <v>95</v>
      </c>
      <c r="O199" s="1" t="s">
        <v>96</v>
      </c>
      <c r="P199" s="1">
        <v>5.0183470000000003</v>
      </c>
      <c r="Q199" s="1">
        <v>2.0073387999999999</v>
      </c>
      <c r="R199" s="1">
        <v>5.0183470000000003E-3</v>
      </c>
      <c r="S199" s="1">
        <v>0.45165123000000001</v>
      </c>
      <c r="T199" s="1">
        <v>5.5201817E-2</v>
      </c>
      <c r="U199" s="1" t="s">
        <v>77</v>
      </c>
      <c r="V199" s="1" t="s">
        <v>78</v>
      </c>
      <c r="W199" s="1">
        <v>1.0450710000000001</v>
      </c>
      <c r="X199" s="1">
        <v>1.5571557899999999</v>
      </c>
      <c r="Y199" s="1">
        <v>5.2253550000000001E-3</v>
      </c>
      <c r="Z199" s="1">
        <v>0.34487342999999998</v>
      </c>
      <c r="AA199" s="1">
        <v>6.6884544000000004E-2</v>
      </c>
      <c r="AB199" s="1" t="s">
        <v>166</v>
      </c>
      <c r="AC199" s="1" t="s">
        <v>167</v>
      </c>
      <c r="AD199" s="1">
        <v>37.637599999999999</v>
      </c>
      <c r="AE199" s="1">
        <v>66.693827200000001</v>
      </c>
      <c r="AF199" s="1">
        <v>3.1239208000000001</v>
      </c>
      <c r="AG199" s="1">
        <v>0</v>
      </c>
      <c r="AH199" s="1">
        <v>8.9953863999999992</v>
      </c>
      <c r="AI199" s="1" t="s">
        <v>157</v>
      </c>
      <c r="AJ199" s="1" t="s">
        <v>158</v>
      </c>
      <c r="AK199" s="1">
        <v>2.5092E-2</v>
      </c>
      <c r="AL199" s="1">
        <v>1.00368E-2</v>
      </c>
      <c r="AM199" s="1">
        <v>1.00368E-4</v>
      </c>
      <c r="AN199" s="1">
        <v>2.2331880000000001E-3</v>
      </c>
      <c r="AO199" s="1">
        <v>4.5165599999999999E-4</v>
      </c>
      <c r="AP199" s="1" t="s">
        <v>17</v>
      </c>
      <c r="AQ199" s="1" t="s">
        <v>18</v>
      </c>
      <c r="AR199" s="1">
        <v>4.4254000000000002E-2</v>
      </c>
      <c r="AS199" s="1">
        <v>0</v>
      </c>
      <c r="AT199" s="1">
        <v>0</v>
      </c>
      <c r="AU199" s="1">
        <v>0</v>
      </c>
      <c r="AV199" s="1">
        <v>0</v>
      </c>
      <c r="AW199" s="1" t="s">
        <v>168</v>
      </c>
      <c r="AX199" s="1" t="s">
        <v>169</v>
      </c>
      <c r="AY199" s="1">
        <v>20.361941999999999</v>
      </c>
      <c r="AZ199" s="1">
        <v>0</v>
      </c>
      <c r="BA199" s="1">
        <v>0</v>
      </c>
      <c r="BB199" s="1">
        <v>0</v>
      </c>
      <c r="BC199" s="1">
        <v>0</v>
      </c>
      <c r="BD199" s="1" t="s">
        <v>170</v>
      </c>
      <c r="BE199" s="1" t="s">
        <v>171</v>
      </c>
      <c r="BF199" s="1">
        <v>7.6404329999999998</v>
      </c>
      <c r="BG199" s="1">
        <v>25.694776179000002</v>
      </c>
      <c r="BH199" s="1">
        <v>2.796398478</v>
      </c>
      <c r="BI199" s="1">
        <v>0.206291691</v>
      </c>
      <c r="BJ199" s="1">
        <v>0.213932124</v>
      </c>
      <c r="BK199" s="1" t="s">
        <v>87</v>
      </c>
      <c r="BL199" s="1" t="s">
        <v>88</v>
      </c>
      <c r="BM199" s="1">
        <v>7.8411999999999996E-2</v>
      </c>
      <c r="BN199" s="1">
        <v>1.333004E-2</v>
      </c>
      <c r="BO199" s="1">
        <v>0</v>
      </c>
      <c r="BP199" s="1">
        <v>4.3910720000000002E-3</v>
      </c>
      <c r="BQ199" s="1">
        <v>3.1364799999999998E-4</v>
      </c>
      <c r="BR199" s="1" t="s">
        <v>172</v>
      </c>
      <c r="BS199" s="1" t="s">
        <v>173</v>
      </c>
      <c r="BT199" s="1">
        <v>0.83555500000000005</v>
      </c>
      <c r="BU199" s="1">
        <v>0.19050654</v>
      </c>
      <c r="BV199" s="1">
        <v>4.1777749999999999E-3</v>
      </c>
      <c r="BW199" s="1">
        <v>3.0915535000000001E-2</v>
      </c>
      <c r="BX199" s="1">
        <v>1.838221E-2</v>
      </c>
      <c r="BY199" s="1" t="s">
        <v>174</v>
      </c>
      <c r="BZ199" s="1" t="s">
        <v>175</v>
      </c>
      <c r="CA199" s="1">
        <v>0.62729299999999999</v>
      </c>
      <c r="CB199" s="1">
        <v>0.50183440000000001</v>
      </c>
      <c r="CC199" s="1">
        <v>5.0183440000000001E-3</v>
      </c>
      <c r="CD199" s="1">
        <v>0.11291274</v>
      </c>
      <c r="CE199" s="1">
        <v>1.1291274E-2</v>
      </c>
      <c r="CF199" s="1" t="s">
        <v>101</v>
      </c>
      <c r="CG199" s="1" t="s">
        <v>102</v>
      </c>
      <c r="CH199" s="1">
        <v>2.8228200000000001</v>
      </c>
      <c r="CI199" s="1">
        <v>1.6654637999999999</v>
      </c>
      <c r="CJ199" s="1">
        <v>1.1291280000000001E-2</v>
      </c>
      <c r="CK199" s="1">
        <v>0.10162152000000001</v>
      </c>
      <c r="CL199" s="1">
        <v>0.28228199999999998</v>
      </c>
      <c r="CM199" s="1" t="s">
        <v>176</v>
      </c>
      <c r="CN199" t="s">
        <v>557</v>
      </c>
      <c r="CO199" s="1">
        <v>6.2728999999999993E-2</v>
      </c>
      <c r="CP199" s="1">
        <v>0.55602985599999999</v>
      </c>
      <c r="CQ199" s="1">
        <v>6.2728999999999993E-2</v>
      </c>
      <c r="CR199" s="1">
        <v>0</v>
      </c>
      <c r="CS199" s="1">
        <v>0</v>
      </c>
    </row>
    <row r="200" spans="1:125" ht="14.25" customHeight="1" x14ac:dyDescent="0.35">
      <c r="A200" s="1" t="s">
        <v>433</v>
      </c>
      <c r="B200" s="2">
        <f t="shared" si="15"/>
        <v>343.48369308999997</v>
      </c>
      <c r="C200" s="2">
        <f t="shared" si="16"/>
        <v>132.999999</v>
      </c>
      <c r="D200" s="2">
        <f t="shared" si="17"/>
        <v>22.035526537999999</v>
      </c>
      <c r="E200" s="2">
        <f t="shared" si="18"/>
        <v>14.355162686</v>
      </c>
      <c r="F200" s="2">
        <f t="shared" si="19"/>
        <v>21.402295474999999</v>
      </c>
      <c r="G200" s="1" t="s">
        <v>13</v>
      </c>
      <c r="H200" s="1" t="s">
        <v>14</v>
      </c>
      <c r="I200" s="1">
        <v>5.5978899999999996</v>
      </c>
      <c r="J200" s="1">
        <v>49.485347599999997</v>
      </c>
      <c r="K200" s="1">
        <v>5.5978899999999996</v>
      </c>
      <c r="L200" s="1">
        <v>0</v>
      </c>
      <c r="M200" s="1">
        <v>0</v>
      </c>
      <c r="N200" s="1" t="s">
        <v>434</v>
      </c>
      <c r="O200" s="1" t="s">
        <v>435</v>
      </c>
      <c r="P200" s="1">
        <v>53</v>
      </c>
      <c r="Q200" s="1">
        <v>155.87299999999999</v>
      </c>
      <c r="R200" s="1">
        <v>11.183</v>
      </c>
      <c r="S200" s="1">
        <v>0</v>
      </c>
      <c r="T200" s="1">
        <v>13.090999999999999</v>
      </c>
      <c r="U200" s="1" t="s">
        <v>57</v>
      </c>
      <c r="V200" s="1" t="s">
        <v>58</v>
      </c>
      <c r="W200" s="1">
        <v>22.391559999999998</v>
      </c>
      <c r="X200" s="1">
        <v>62.15897056</v>
      </c>
      <c r="Y200" s="1">
        <v>3.8289567600000001</v>
      </c>
      <c r="Z200" s="1">
        <v>0.71652992000000004</v>
      </c>
      <c r="AA200" s="1">
        <v>6.2696367999999998</v>
      </c>
      <c r="AB200" s="1" t="s">
        <v>63</v>
      </c>
      <c r="AC200" s="1" t="s">
        <v>64</v>
      </c>
      <c r="AD200" s="1">
        <v>5.5978899999999996</v>
      </c>
      <c r="AE200" s="1">
        <v>1.3434936</v>
      </c>
      <c r="AF200" s="1">
        <v>0</v>
      </c>
      <c r="AG200" s="1">
        <v>0.1119578</v>
      </c>
      <c r="AH200" s="1">
        <v>0.22391559999999999</v>
      </c>
      <c r="AI200" s="1" t="s">
        <v>65</v>
      </c>
      <c r="AJ200" t="s">
        <v>553</v>
      </c>
      <c r="AK200" s="1">
        <v>29.618988000000002</v>
      </c>
      <c r="AL200" s="1">
        <v>69.752716739999997</v>
      </c>
      <c r="AM200" s="1">
        <v>1.392092436</v>
      </c>
      <c r="AN200" s="1">
        <v>12.351117995999999</v>
      </c>
      <c r="AO200" s="1">
        <v>1.5994253519999999</v>
      </c>
      <c r="AP200" s="1" t="s">
        <v>66</v>
      </c>
      <c r="AQ200" t="s">
        <v>555</v>
      </c>
      <c r="AR200" s="1">
        <v>16.793671</v>
      </c>
      <c r="AS200" s="1">
        <v>4.8701645899999999</v>
      </c>
      <c r="AT200" s="1">
        <v>3.3587341999999999E-2</v>
      </c>
      <c r="AU200" s="1">
        <v>1.1755569699999999</v>
      </c>
      <c r="AV200" s="1">
        <v>0.21831772299999999</v>
      </c>
    </row>
    <row r="201" spans="1:125" ht="14.25" customHeight="1" x14ac:dyDescent="0.35">
      <c r="A201" s="1" t="s">
        <v>256</v>
      </c>
      <c r="B201" s="2">
        <f t="shared" si="15"/>
        <v>187.61069308999998</v>
      </c>
      <c r="C201" s="2">
        <f t="shared" si="16"/>
        <v>79.999999000000003</v>
      </c>
      <c r="D201" s="2">
        <f t="shared" si="17"/>
        <v>10.852526538000001</v>
      </c>
      <c r="E201" s="2">
        <f t="shared" si="18"/>
        <v>14.355162686</v>
      </c>
      <c r="F201" s="2">
        <f t="shared" si="19"/>
        <v>8.3112954749999997</v>
      </c>
      <c r="G201" s="1" t="s">
        <v>13</v>
      </c>
      <c r="H201" s="1" t="s">
        <v>14</v>
      </c>
      <c r="I201" s="1">
        <v>5.5978899999999996</v>
      </c>
      <c r="J201" s="1">
        <v>49.485347599999997</v>
      </c>
      <c r="K201" s="1">
        <v>5.5978899999999996</v>
      </c>
      <c r="L201" s="1">
        <v>0</v>
      </c>
      <c r="M201" s="1">
        <v>0</v>
      </c>
      <c r="N201" s="1" t="s">
        <v>57</v>
      </c>
      <c r="O201" s="1" t="s">
        <v>58</v>
      </c>
      <c r="P201" s="1">
        <v>22.391559999999998</v>
      </c>
      <c r="Q201" s="1">
        <v>62.15897056</v>
      </c>
      <c r="R201" s="1">
        <v>3.8289567600000001</v>
      </c>
      <c r="S201" s="1">
        <v>0.71652992000000004</v>
      </c>
      <c r="T201" s="1">
        <v>6.2696367999999998</v>
      </c>
      <c r="U201" s="1" t="s">
        <v>63</v>
      </c>
      <c r="V201" s="1" t="s">
        <v>64</v>
      </c>
      <c r="W201" s="1">
        <v>5.5978899999999996</v>
      </c>
      <c r="X201" s="1">
        <v>1.3434936</v>
      </c>
      <c r="Y201" s="1">
        <v>0</v>
      </c>
      <c r="Z201" s="1">
        <v>0.1119578</v>
      </c>
      <c r="AA201" s="1">
        <v>0.22391559999999999</v>
      </c>
      <c r="AB201" s="1" t="s">
        <v>65</v>
      </c>
      <c r="AC201" t="s">
        <v>553</v>
      </c>
      <c r="AD201" s="1">
        <v>29.618988000000002</v>
      </c>
      <c r="AE201" s="1">
        <v>69.752716739999997</v>
      </c>
      <c r="AF201" s="1">
        <v>1.392092436</v>
      </c>
      <c r="AG201" s="1">
        <v>12.351117995999999</v>
      </c>
      <c r="AH201" s="1">
        <v>1.5994253519999999</v>
      </c>
      <c r="AI201" s="1" t="s">
        <v>66</v>
      </c>
      <c r="AJ201" t="s">
        <v>555</v>
      </c>
      <c r="AK201" s="1">
        <v>16.793671</v>
      </c>
      <c r="AL201" s="1">
        <v>4.8701645899999999</v>
      </c>
      <c r="AM201" s="1">
        <v>3.3587341999999999E-2</v>
      </c>
      <c r="AN201" s="1">
        <v>1.1755569699999999</v>
      </c>
      <c r="AO201" s="1">
        <v>0.21831772299999999</v>
      </c>
    </row>
    <row r="202" spans="1:125" ht="14.25" customHeight="1" x14ac:dyDescent="0.35">
      <c r="A202" s="1" t="s">
        <v>306</v>
      </c>
      <c r="B202" s="2">
        <f t="shared" si="15"/>
        <v>93.805346399999991</v>
      </c>
      <c r="C202" s="2">
        <f t="shared" si="16"/>
        <v>39.999999000000003</v>
      </c>
      <c r="D202" s="2">
        <f t="shared" si="17"/>
        <v>5.4262632680000005</v>
      </c>
      <c r="E202" s="2">
        <f t="shared" si="18"/>
        <v>7.1775813079999997</v>
      </c>
      <c r="F202" s="2">
        <f t="shared" si="19"/>
        <v>4.1556477310000002</v>
      </c>
      <c r="G202" s="1" t="s">
        <v>13</v>
      </c>
      <c r="H202" s="1" t="s">
        <v>14</v>
      </c>
      <c r="I202" s="1">
        <v>2.7989449999999998</v>
      </c>
      <c r="J202" s="1">
        <v>24.742673799999999</v>
      </c>
      <c r="K202" s="1">
        <v>2.7989449999999998</v>
      </c>
      <c r="L202" s="1">
        <v>0</v>
      </c>
      <c r="M202" s="1">
        <v>0</v>
      </c>
      <c r="N202" s="1" t="s">
        <v>57</v>
      </c>
      <c r="O202" s="1" t="s">
        <v>58</v>
      </c>
      <c r="P202" s="1">
        <v>11.195779999999999</v>
      </c>
      <c r="Q202" s="1">
        <v>31.07948528</v>
      </c>
      <c r="R202" s="1">
        <v>1.91447838</v>
      </c>
      <c r="S202" s="1">
        <v>0.35826496000000002</v>
      </c>
      <c r="T202" s="1">
        <v>3.1348183999999999</v>
      </c>
      <c r="U202" s="1" t="s">
        <v>63</v>
      </c>
      <c r="V202" s="1" t="s">
        <v>64</v>
      </c>
      <c r="W202" s="1">
        <v>2.7989449999999998</v>
      </c>
      <c r="X202" s="1">
        <v>0.67174679999999998</v>
      </c>
      <c r="Y202" s="1">
        <v>0</v>
      </c>
      <c r="Z202" s="1">
        <v>5.5978899999999998E-2</v>
      </c>
      <c r="AA202" s="1">
        <v>0.1119578</v>
      </c>
      <c r="AB202" s="1" t="s">
        <v>65</v>
      </c>
      <c r="AC202" t="s">
        <v>553</v>
      </c>
      <c r="AD202" s="1">
        <v>14.809494000000001</v>
      </c>
      <c r="AE202" s="1">
        <v>34.876358369999998</v>
      </c>
      <c r="AF202" s="1">
        <v>0.69604621799999999</v>
      </c>
      <c r="AG202" s="1">
        <v>6.1755589979999996</v>
      </c>
      <c r="AH202" s="1">
        <v>0.79971267599999996</v>
      </c>
      <c r="AI202" s="1" t="s">
        <v>66</v>
      </c>
      <c r="AJ202" t="s">
        <v>555</v>
      </c>
      <c r="AK202" s="1">
        <v>8.3968349999999994</v>
      </c>
      <c r="AL202" s="1">
        <v>2.4350821499999999</v>
      </c>
      <c r="AM202" s="1">
        <v>1.679367E-2</v>
      </c>
      <c r="AN202" s="1">
        <v>0.58777844999999995</v>
      </c>
      <c r="AO202" s="1">
        <v>0.109158855</v>
      </c>
    </row>
    <row r="203" spans="1:125" ht="14.25" customHeight="1" x14ac:dyDescent="0.35">
      <c r="A203" s="1" t="s">
        <v>500</v>
      </c>
      <c r="B203" s="2">
        <f t="shared" si="15"/>
        <v>266.40815979000001</v>
      </c>
      <c r="C203" s="2">
        <f t="shared" si="16"/>
        <v>193</v>
      </c>
      <c r="D203" s="2">
        <f t="shared" si="17"/>
        <v>14.252265201999998</v>
      </c>
      <c r="E203" s="2">
        <f t="shared" si="18"/>
        <v>19.606765771999999</v>
      </c>
      <c r="F203" s="2">
        <f t="shared" si="19"/>
        <v>14.077661073</v>
      </c>
      <c r="G203" s="1" t="s">
        <v>141</v>
      </c>
      <c r="H203" s="1" t="s">
        <v>142</v>
      </c>
      <c r="I203" s="1">
        <v>30.840097</v>
      </c>
      <c r="J203" s="1">
        <v>12.64443977</v>
      </c>
      <c r="K203" s="1">
        <v>6.1680194000000001E-2</v>
      </c>
      <c r="L203" s="1">
        <v>3.0840097000000002</v>
      </c>
      <c r="M203" s="1">
        <v>0.27756087299999999</v>
      </c>
      <c r="N203" s="1" t="s">
        <v>13</v>
      </c>
      <c r="O203" s="1" t="s">
        <v>14</v>
      </c>
      <c r="P203" s="1">
        <v>0.38550099999999998</v>
      </c>
      <c r="Q203" s="1">
        <v>3.4078288400000001</v>
      </c>
      <c r="R203" s="1">
        <v>0.38550099999999998</v>
      </c>
      <c r="S203" s="1">
        <v>0</v>
      </c>
      <c r="T203" s="1">
        <v>0</v>
      </c>
      <c r="U203" s="1" t="s">
        <v>71</v>
      </c>
      <c r="V203" s="1" t="s">
        <v>72</v>
      </c>
      <c r="W203" s="1">
        <v>53</v>
      </c>
      <c r="X203" s="1">
        <v>83.581000000000003</v>
      </c>
      <c r="Y203" s="1">
        <v>1.1659999999999999</v>
      </c>
      <c r="Z203" s="1">
        <v>15.847</v>
      </c>
      <c r="AA203" s="1">
        <v>2.4910000000000001</v>
      </c>
      <c r="AB203" s="1" t="s">
        <v>104</v>
      </c>
      <c r="AC203" s="1" t="s">
        <v>105</v>
      </c>
      <c r="AD203" s="1">
        <v>108</v>
      </c>
      <c r="AE203" s="1">
        <v>166.32</v>
      </c>
      <c r="AF203" s="1">
        <v>12.635999999999999</v>
      </c>
      <c r="AG203" s="1">
        <v>0.64800000000000002</v>
      </c>
      <c r="AH203" s="1">
        <v>11.231999999999999</v>
      </c>
      <c r="AI203" s="1" t="s">
        <v>17</v>
      </c>
      <c r="AJ203" s="1" t="s">
        <v>18</v>
      </c>
      <c r="AK203" s="1">
        <v>3.3999999999999998E-3</v>
      </c>
      <c r="AL203" s="1">
        <v>0</v>
      </c>
      <c r="AM203" s="1">
        <v>0</v>
      </c>
      <c r="AN203" s="1">
        <v>0</v>
      </c>
      <c r="AO203" s="1">
        <v>0</v>
      </c>
      <c r="AP203" s="1" t="s">
        <v>101</v>
      </c>
      <c r="AQ203" s="1" t="s">
        <v>102</v>
      </c>
      <c r="AR203" s="1">
        <v>0.77100199999999997</v>
      </c>
      <c r="AS203" s="1">
        <v>0.45489118000000001</v>
      </c>
      <c r="AT203" s="1">
        <v>3.0840080000000001E-3</v>
      </c>
      <c r="AU203" s="1">
        <v>2.7756072E-2</v>
      </c>
      <c r="AV203" s="1">
        <v>7.7100199999999994E-2</v>
      </c>
    </row>
    <row r="204" spans="1:125" ht="14.25" customHeight="1" x14ac:dyDescent="0.35">
      <c r="A204" s="1" t="s">
        <v>385</v>
      </c>
      <c r="B204" s="2">
        <f t="shared" si="15"/>
        <v>182.82715979</v>
      </c>
      <c r="C204" s="2">
        <f t="shared" si="16"/>
        <v>140</v>
      </c>
      <c r="D204" s="2">
        <f t="shared" si="17"/>
        <v>13.086265202</v>
      </c>
      <c r="E204" s="2">
        <f t="shared" si="18"/>
        <v>3.7597657720000002</v>
      </c>
      <c r="F204" s="2">
        <f t="shared" si="19"/>
        <v>11.586661073</v>
      </c>
      <c r="G204" s="1" t="s">
        <v>141</v>
      </c>
      <c r="H204" s="1" t="s">
        <v>142</v>
      </c>
      <c r="I204" s="1">
        <v>30.840097</v>
      </c>
      <c r="J204" s="1">
        <v>12.64443977</v>
      </c>
      <c r="K204" s="1">
        <v>6.1680194000000001E-2</v>
      </c>
      <c r="L204" s="1">
        <v>3.0840097000000002</v>
      </c>
      <c r="M204" s="1">
        <v>0.27756087299999999</v>
      </c>
      <c r="N204" s="1" t="s">
        <v>13</v>
      </c>
      <c r="O204" s="1" t="s">
        <v>14</v>
      </c>
      <c r="P204" s="1">
        <v>0.38550099999999998</v>
      </c>
      <c r="Q204" s="1">
        <v>3.4078288400000001</v>
      </c>
      <c r="R204" s="1">
        <v>0.38550099999999998</v>
      </c>
      <c r="S204" s="1">
        <v>0</v>
      </c>
      <c r="T204" s="1">
        <v>0</v>
      </c>
      <c r="U204" s="1" t="s">
        <v>104</v>
      </c>
      <c r="V204" s="1" t="s">
        <v>105</v>
      </c>
      <c r="W204" s="1">
        <v>108</v>
      </c>
      <c r="X204" s="1">
        <v>166.32</v>
      </c>
      <c r="Y204" s="1">
        <v>12.635999999999999</v>
      </c>
      <c r="Z204" s="1">
        <v>0.64800000000000002</v>
      </c>
      <c r="AA204" s="1">
        <v>11.231999999999999</v>
      </c>
      <c r="AB204" s="1" t="s">
        <v>17</v>
      </c>
      <c r="AC204" s="1" t="s">
        <v>18</v>
      </c>
      <c r="AD204" s="1">
        <v>3.3999999999999998E-3</v>
      </c>
      <c r="AE204" s="1">
        <v>0</v>
      </c>
      <c r="AF204" s="1">
        <v>0</v>
      </c>
      <c r="AG204" s="1">
        <v>0</v>
      </c>
      <c r="AH204" s="1">
        <v>0</v>
      </c>
      <c r="AI204" s="1" t="s">
        <v>101</v>
      </c>
      <c r="AJ204" s="1" t="s">
        <v>102</v>
      </c>
      <c r="AK204" s="1">
        <v>0.77100199999999997</v>
      </c>
      <c r="AL204" s="1">
        <v>0.45489118000000001</v>
      </c>
      <c r="AM204" s="1">
        <v>3.0840080000000001E-3</v>
      </c>
      <c r="AN204" s="1">
        <v>2.7756072E-2</v>
      </c>
      <c r="AO204" s="1">
        <v>7.7100199999999994E-2</v>
      </c>
    </row>
    <row r="205" spans="1:125" ht="14.25" customHeight="1" x14ac:dyDescent="0.35">
      <c r="A205" s="1" t="s">
        <v>292</v>
      </c>
      <c r="B205" s="2">
        <f t="shared" si="15"/>
        <v>166.32</v>
      </c>
      <c r="C205" s="2">
        <f t="shared" si="16"/>
        <v>108</v>
      </c>
      <c r="D205" s="2">
        <f t="shared" si="17"/>
        <v>12.635999999999999</v>
      </c>
      <c r="E205" s="2">
        <f t="shared" si="18"/>
        <v>0.64800000000000002</v>
      </c>
      <c r="F205" s="2">
        <f t="shared" si="19"/>
        <v>11.231999999999999</v>
      </c>
      <c r="G205" s="1" t="s">
        <v>104</v>
      </c>
      <c r="H205" s="1" t="s">
        <v>105</v>
      </c>
      <c r="I205" s="1">
        <v>108</v>
      </c>
      <c r="J205" s="1">
        <v>166.32</v>
      </c>
      <c r="K205" s="1">
        <v>12.635999999999999</v>
      </c>
      <c r="L205" s="1">
        <v>0.64800000000000002</v>
      </c>
      <c r="M205" s="1">
        <v>11.231999999999999</v>
      </c>
    </row>
    <row r="206" spans="1:125" ht="14.25" customHeight="1" x14ac:dyDescent="0.35">
      <c r="A206" s="1" t="s">
        <v>488</v>
      </c>
      <c r="B206" s="2">
        <f t="shared" si="15"/>
        <v>344.21501008599995</v>
      </c>
      <c r="C206" s="2">
        <f t="shared" si="16"/>
        <v>195.00000299999999</v>
      </c>
      <c r="D206" s="2">
        <f t="shared" si="17"/>
        <v>19.658384803999997</v>
      </c>
      <c r="E206" s="2">
        <f t="shared" si="18"/>
        <v>8.7843958400000002</v>
      </c>
      <c r="F206" s="2">
        <f t="shared" si="19"/>
        <v>31.800415937999997</v>
      </c>
      <c r="G206" s="1" t="s">
        <v>126</v>
      </c>
      <c r="H206" s="1" t="s">
        <v>127</v>
      </c>
      <c r="I206" s="1">
        <v>2.2442669999999998</v>
      </c>
      <c r="J206" s="1">
        <v>0.35908272000000002</v>
      </c>
      <c r="K206" s="1">
        <v>4.4885339999999998E-3</v>
      </c>
      <c r="L206" s="1">
        <v>7.6305077999999998E-2</v>
      </c>
      <c r="M206" s="1">
        <v>1.5709869000000001E-2</v>
      </c>
      <c r="N206" s="1" t="s">
        <v>141</v>
      </c>
      <c r="O206" s="1" t="s">
        <v>142</v>
      </c>
      <c r="P206" s="1">
        <v>2.2442669999999998</v>
      </c>
      <c r="Q206" s="1">
        <v>0.92014947000000002</v>
      </c>
      <c r="R206" s="1">
        <v>4.4885339999999998E-3</v>
      </c>
      <c r="S206" s="1">
        <v>0.22442670000000001</v>
      </c>
      <c r="T206" s="1">
        <v>2.0198403E-2</v>
      </c>
      <c r="U206" s="1" t="s">
        <v>489</v>
      </c>
      <c r="V206" s="1" t="s">
        <v>490</v>
      </c>
      <c r="W206" s="1">
        <v>6.5638040000000002</v>
      </c>
      <c r="X206" s="1">
        <v>3.0849878799999999</v>
      </c>
      <c r="Y206" s="1">
        <v>6.5638040000000003E-3</v>
      </c>
      <c r="Z206" s="1">
        <v>0.78765647999999999</v>
      </c>
      <c r="AA206" s="1">
        <v>5.9074236000000002E-2</v>
      </c>
      <c r="AB206" s="1" t="s">
        <v>224</v>
      </c>
      <c r="AC206" s="1" t="s">
        <v>225</v>
      </c>
      <c r="AD206" s="1">
        <v>0.205119</v>
      </c>
      <c r="AE206" s="1">
        <v>3.2819040000000001E-2</v>
      </c>
      <c r="AF206" s="1">
        <v>2.05119E-4</v>
      </c>
      <c r="AG206" s="1">
        <v>6.9740460000000002E-3</v>
      </c>
      <c r="AH206" s="1">
        <v>1.4358330000000001E-3</v>
      </c>
      <c r="AI206" s="1" t="s">
        <v>95</v>
      </c>
      <c r="AJ206" s="1" t="s">
        <v>96</v>
      </c>
      <c r="AK206" s="1">
        <v>2.2442669999999998</v>
      </c>
      <c r="AL206" s="1">
        <v>0.89770680000000003</v>
      </c>
      <c r="AM206" s="1">
        <v>2.2442669999999999E-3</v>
      </c>
      <c r="AN206" s="1">
        <v>0.20198403000000001</v>
      </c>
      <c r="AO206" s="1">
        <v>2.4686936999999999E-2</v>
      </c>
      <c r="AP206" s="1" t="s">
        <v>145</v>
      </c>
      <c r="AQ206" s="1" t="s">
        <v>146</v>
      </c>
      <c r="AR206" s="1">
        <v>17.954138</v>
      </c>
      <c r="AS206" s="1">
        <v>8.2948117559999996</v>
      </c>
      <c r="AT206" s="1">
        <v>1.7954138000000001E-2</v>
      </c>
      <c r="AU206" s="1">
        <v>2.0288175939999999</v>
      </c>
      <c r="AV206" s="1">
        <v>1.7954138000000001E-2</v>
      </c>
      <c r="AW206" s="1" t="s">
        <v>13</v>
      </c>
      <c r="AX206" s="1" t="s">
        <v>14</v>
      </c>
      <c r="AY206" s="1">
        <v>1.540443</v>
      </c>
      <c r="AZ206" s="1">
        <v>13.617516119999999</v>
      </c>
      <c r="BA206" s="1">
        <v>1.540443</v>
      </c>
      <c r="BB206" s="1">
        <v>0</v>
      </c>
      <c r="BC206" s="1">
        <v>0</v>
      </c>
      <c r="BD206" s="1" t="s">
        <v>147</v>
      </c>
      <c r="BE206" s="1" t="s">
        <v>148</v>
      </c>
      <c r="BF206" s="1">
        <v>1.1375630000000001</v>
      </c>
      <c r="BG206" s="1">
        <v>0</v>
      </c>
      <c r="BH206" s="1">
        <v>0</v>
      </c>
      <c r="BI206" s="1">
        <v>0</v>
      </c>
      <c r="BJ206" s="1">
        <v>0</v>
      </c>
      <c r="BK206" s="1" t="s">
        <v>149</v>
      </c>
      <c r="BL206" s="1" t="s">
        <v>150</v>
      </c>
      <c r="BM206" s="1">
        <v>6.8730690000000001</v>
      </c>
      <c r="BN206" s="1">
        <v>18.144902160000001</v>
      </c>
      <c r="BO206" s="1">
        <v>1.010341143</v>
      </c>
      <c r="BP206" s="1">
        <v>1.271517765</v>
      </c>
      <c r="BQ206" s="1">
        <v>1.1340563850000001</v>
      </c>
      <c r="BR206" s="1" t="s">
        <v>17</v>
      </c>
      <c r="BS206" s="1" t="s">
        <v>18</v>
      </c>
      <c r="BT206" s="1">
        <v>0.11800099999999999</v>
      </c>
      <c r="BU206" s="1">
        <v>0</v>
      </c>
      <c r="BV206" s="1">
        <v>0</v>
      </c>
      <c r="BW206" s="1">
        <v>0</v>
      </c>
      <c r="BX206" s="1">
        <v>0</v>
      </c>
      <c r="BY206" s="1" t="s">
        <v>329</v>
      </c>
      <c r="BZ206" s="1" t="s">
        <v>330</v>
      </c>
      <c r="CA206" s="1">
        <v>1.640951</v>
      </c>
      <c r="CB206" s="1">
        <v>4.3321106399999998</v>
      </c>
      <c r="CC206" s="1">
        <v>0.34459971</v>
      </c>
      <c r="CD206" s="1">
        <v>0</v>
      </c>
      <c r="CE206" s="1">
        <v>0.31178069000000003</v>
      </c>
      <c r="CF206" s="1" t="s">
        <v>151</v>
      </c>
      <c r="CG206" s="1" t="s">
        <v>152</v>
      </c>
      <c r="CH206" s="1">
        <v>112.213371</v>
      </c>
      <c r="CI206" s="1">
        <v>267.06782298000002</v>
      </c>
      <c r="CJ206" s="1">
        <v>15.709871939999999</v>
      </c>
      <c r="CK206" s="1">
        <v>0</v>
      </c>
      <c r="CL206" s="1">
        <v>29.175476459999999</v>
      </c>
      <c r="CM206" s="1" t="s">
        <v>491</v>
      </c>
      <c r="CN206" s="1" t="s">
        <v>492</v>
      </c>
      <c r="CO206" s="1">
        <v>32.819018999999997</v>
      </c>
      <c r="CP206" s="1">
        <v>14.440368360000001</v>
      </c>
      <c r="CQ206" s="1">
        <v>6.5638037999999996E-2</v>
      </c>
      <c r="CR206" s="1">
        <v>3.2819018999999998</v>
      </c>
      <c r="CS206" s="1">
        <v>0.55792332300000003</v>
      </c>
      <c r="CT206" s="1" t="s">
        <v>235</v>
      </c>
      <c r="CU206" s="1" t="s">
        <v>236</v>
      </c>
      <c r="CV206" s="1">
        <v>2.0511889999999999</v>
      </c>
      <c r="CW206" s="1">
        <v>11.67126541</v>
      </c>
      <c r="CX206" s="1">
        <v>0.94354693999999995</v>
      </c>
      <c r="CY206" s="1">
        <v>0.57433292000000002</v>
      </c>
      <c r="CZ206" s="1">
        <v>0.43074969000000002</v>
      </c>
      <c r="DA206" s="1" t="s">
        <v>228</v>
      </c>
      <c r="DB206" s="1" t="s">
        <v>229</v>
      </c>
      <c r="DC206" s="1">
        <v>0.205119</v>
      </c>
      <c r="DD206" s="1">
        <v>5.1279749999999999E-2</v>
      </c>
      <c r="DE206" s="1">
        <v>1.4358330000000001E-3</v>
      </c>
      <c r="DF206" s="1">
        <v>7.5894029999999998E-3</v>
      </c>
      <c r="DG206" s="1">
        <v>5.333094E-3</v>
      </c>
      <c r="DH206" s="1" t="s">
        <v>87</v>
      </c>
      <c r="DI206" s="1" t="s">
        <v>88</v>
      </c>
      <c r="DJ206" s="1">
        <v>1.6635139999999999</v>
      </c>
      <c r="DK206" s="1">
        <v>0.28279737999999999</v>
      </c>
      <c r="DL206" s="1">
        <v>0</v>
      </c>
      <c r="DM206" s="1">
        <v>9.3156784000000006E-2</v>
      </c>
      <c r="DN206" s="1">
        <v>6.6540560000000002E-3</v>
      </c>
      <c r="DO206" s="1" t="s">
        <v>493</v>
      </c>
      <c r="DP206" t="s">
        <v>554</v>
      </c>
      <c r="DQ206" s="1">
        <v>3.2819020000000001</v>
      </c>
      <c r="DR206" s="1">
        <v>1.0173896200000001</v>
      </c>
      <c r="DS206" s="1">
        <v>6.5638040000000003E-3</v>
      </c>
      <c r="DT206" s="1">
        <v>0.22973314</v>
      </c>
      <c r="DU206" s="1">
        <v>3.9382823999999997E-2</v>
      </c>
    </row>
    <row r="207" spans="1:125" ht="14.25" customHeight="1" x14ac:dyDescent="0.35">
      <c r="A207" s="1" t="s">
        <v>316</v>
      </c>
      <c r="B207" s="2">
        <f t="shared" si="15"/>
        <v>295.68447588600003</v>
      </c>
      <c r="C207" s="2">
        <f t="shared" si="16"/>
        <v>145.00000199999999</v>
      </c>
      <c r="D207" s="2">
        <f t="shared" si="17"/>
        <v>16.749388556</v>
      </c>
      <c r="E207" s="2">
        <f t="shared" si="18"/>
        <v>3.803051167</v>
      </c>
      <c r="F207" s="2">
        <f t="shared" si="19"/>
        <v>30.388082191999999</v>
      </c>
      <c r="G207" s="1" t="s">
        <v>126</v>
      </c>
      <c r="H207" s="1" t="s">
        <v>127</v>
      </c>
      <c r="I207" s="1">
        <v>2.2442669999999998</v>
      </c>
      <c r="J207" s="1">
        <v>0.35908272000000002</v>
      </c>
      <c r="K207" s="1">
        <v>4.4885339999999998E-3</v>
      </c>
      <c r="L207" s="1">
        <v>7.6305077999999998E-2</v>
      </c>
      <c r="M207" s="1">
        <v>1.5709869000000001E-2</v>
      </c>
      <c r="N207" s="1" t="s">
        <v>141</v>
      </c>
      <c r="O207" s="1" t="s">
        <v>142</v>
      </c>
      <c r="P207" s="1">
        <v>2.2442669999999998</v>
      </c>
      <c r="Q207" s="1">
        <v>0.92014947000000002</v>
      </c>
      <c r="R207" s="1">
        <v>4.4885339999999998E-3</v>
      </c>
      <c r="S207" s="1">
        <v>0.22442670000000001</v>
      </c>
      <c r="T207" s="1">
        <v>2.0198403E-2</v>
      </c>
      <c r="U207" s="1" t="s">
        <v>95</v>
      </c>
      <c r="V207" s="1" t="s">
        <v>96</v>
      </c>
      <c r="W207" s="1">
        <v>2.2442669999999998</v>
      </c>
      <c r="X207" s="1">
        <v>0.89770680000000003</v>
      </c>
      <c r="Y207" s="1">
        <v>2.2442669999999999E-3</v>
      </c>
      <c r="Z207" s="1">
        <v>0.20198403000000001</v>
      </c>
      <c r="AA207" s="1">
        <v>2.4686936999999999E-2</v>
      </c>
      <c r="AB207" s="1" t="s">
        <v>145</v>
      </c>
      <c r="AC207" s="1" t="s">
        <v>146</v>
      </c>
      <c r="AD207" s="1">
        <v>17.954138</v>
      </c>
      <c r="AE207" s="1">
        <v>8.2948117559999996</v>
      </c>
      <c r="AF207" s="1">
        <v>1.7954138000000001E-2</v>
      </c>
      <c r="AG207" s="1">
        <v>2.0288175939999999</v>
      </c>
      <c r="AH207" s="1">
        <v>1.7954138000000001E-2</v>
      </c>
      <c r="AI207" s="1" t="s">
        <v>147</v>
      </c>
      <c r="AJ207" s="1" t="s">
        <v>148</v>
      </c>
      <c r="AK207" s="1">
        <v>1.1375630000000001</v>
      </c>
      <c r="AL207" s="1">
        <v>0</v>
      </c>
      <c r="AM207" s="1">
        <v>0</v>
      </c>
      <c r="AN207" s="1">
        <v>0</v>
      </c>
      <c r="AO207" s="1">
        <v>0</v>
      </c>
      <c r="AP207" s="1" t="s">
        <v>149</v>
      </c>
      <c r="AQ207" s="1" t="s">
        <v>150</v>
      </c>
      <c r="AR207" s="1">
        <v>6.8730690000000001</v>
      </c>
      <c r="AS207" s="1">
        <v>18.144902160000001</v>
      </c>
      <c r="AT207" s="1">
        <v>1.010341143</v>
      </c>
      <c r="AU207" s="1">
        <v>1.271517765</v>
      </c>
      <c r="AV207" s="1">
        <v>1.1340563850000001</v>
      </c>
      <c r="AW207" s="1" t="s">
        <v>17</v>
      </c>
      <c r="AX207" s="1" t="s">
        <v>18</v>
      </c>
      <c r="AY207" s="1">
        <v>8.906E-2</v>
      </c>
      <c r="AZ207" s="1">
        <v>0</v>
      </c>
      <c r="BA207" s="1">
        <v>0</v>
      </c>
      <c r="BB207" s="1">
        <v>0</v>
      </c>
      <c r="BC207" s="1">
        <v>0</v>
      </c>
      <c r="BD207" s="1" t="s">
        <v>151</v>
      </c>
      <c r="BE207" s="1" t="s">
        <v>152</v>
      </c>
      <c r="BF207" s="1">
        <v>112.213371</v>
      </c>
      <c r="BG207" s="1">
        <v>267.06782298000002</v>
      </c>
      <c r="BH207" s="1">
        <v>15.709871939999999</v>
      </c>
      <c r="BI207" s="1">
        <v>0</v>
      </c>
      <c r="BJ207" s="1">
        <v>29.175476459999999</v>
      </c>
    </row>
    <row r="208" spans="1:125" ht="14.25" customHeight="1" x14ac:dyDescent="0.35">
      <c r="A208" s="1" t="s">
        <v>364</v>
      </c>
      <c r="B208" s="2">
        <f t="shared" si="15"/>
        <v>366.22228010600003</v>
      </c>
      <c r="C208" s="2">
        <f t="shared" si="16"/>
        <v>189.00000300000002</v>
      </c>
      <c r="D208" s="2">
        <f t="shared" si="17"/>
        <v>20.577157181</v>
      </c>
      <c r="E208" s="2">
        <f t="shared" si="18"/>
        <v>15.886876790000001</v>
      </c>
      <c r="F208" s="2">
        <f t="shared" si="19"/>
        <v>28.296858631999999</v>
      </c>
      <c r="G208" s="1" t="s">
        <v>126</v>
      </c>
      <c r="H208" s="1" t="s">
        <v>127</v>
      </c>
      <c r="I208" s="1">
        <v>1.594204</v>
      </c>
      <c r="J208" s="1">
        <v>0.25507264000000002</v>
      </c>
      <c r="K208" s="1">
        <v>3.1884080000000002E-3</v>
      </c>
      <c r="L208" s="1">
        <v>5.4202936E-2</v>
      </c>
      <c r="M208" s="1">
        <v>1.1159428000000001E-2</v>
      </c>
      <c r="N208" s="1" t="s">
        <v>141</v>
      </c>
      <c r="O208" s="1" t="s">
        <v>142</v>
      </c>
      <c r="P208" s="1">
        <v>1.594204</v>
      </c>
      <c r="Q208" s="1">
        <v>0.65362363999999995</v>
      </c>
      <c r="R208" s="1">
        <v>3.1884080000000002E-3</v>
      </c>
      <c r="S208" s="1">
        <v>0.15942039999999999</v>
      </c>
      <c r="T208" s="1">
        <v>1.4347835999999999E-2</v>
      </c>
      <c r="U208" s="1" t="s">
        <v>95</v>
      </c>
      <c r="V208" s="1" t="s">
        <v>96</v>
      </c>
      <c r="W208" s="1">
        <v>10.502089</v>
      </c>
      <c r="X208" s="1">
        <v>4.2008355999999996</v>
      </c>
      <c r="Y208" s="1">
        <v>1.0502088999999999E-2</v>
      </c>
      <c r="Z208" s="1">
        <v>0.94518800999999997</v>
      </c>
      <c r="AA208" s="1">
        <v>0.115522979</v>
      </c>
      <c r="AB208" s="1" t="s">
        <v>145</v>
      </c>
      <c r="AC208" s="1" t="s">
        <v>146</v>
      </c>
      <c r="AD208" s="1">
        <v>12.753629999999999</v>
      </c>
      <c r="AE208" s="1">
        <v>5.8921770599999999</v>
      </c>
      <c r="AF208" s="1">
        <v>1.275363E-2</v>
      </c>
      <c r="AG208" s="1">
        <v>1.44116019</v>
      </c>
      <c r="AH208" s="1">
        <v>1.275363E-2</v>
      </c>
      <c r="AI208" s="1" t="s">
        <v>13</v>
      </c>
      <c r="AJ208" s="1" t="s">
        <v>14</v>
      </c>
      <c r="AK208" s="1">
        <v>4.4539419999999996</v>
      </c>
      <c r="AL208" s="1">
        <v>39.372847280000002</v>
      </c>
      <c r="AM208" s="1">
        <v>4.4539419999999996</v>
      </c>
      <c r="AN208" s="1">
        <v>0</v>
      </c>
      <c r="AO208" s="1">
        <v>0</v>
      </c>
      <c r="AP208" s="1" t="s">
        <v>147</v>
      </c>
      <c r="AQ208" s="1" t="s">
        <v>148</v>
      </c>
      <c r="AR208" s="1">
        <v>0.80806199999999995</v>
      </c>
      <c r="AS208" s="1">
        <v>0</v>
      </c>
      <c r="AT208" s="1">
        <v>0</v>
      </c>
      <c r="AU208" s="1">
        <v>0</v>
      </c>
      <c r="AV208" s="1">
        <v>0</v>
      </c>
      <c r="AW208" s="1" t="s">
        <v>57</v>
      </c>
      <c r="AX208" s="1" t="s">
        <v>58</v>
      </c>
      <c r="AY208" s="1">
        <v>17.815769</v>
      </c>
      <c r="AZ208" s="1">
        <v>49.456574744000001</v>
      </c>
      <c r="BA208" s="1">
        <v>3.0464964989999999</v>
      </c>
      <c r="BB208" s="1">
        <v>0.57010460799999996</v>
      </c>
      <c r="BC208" s="1">
        <v>4.9884153199999997</v>
      </c>
      <c r="BD208" s="1" t="s">
        <v>149</v>
      </c>
      <c r="BE208" s="1" t="s">
        <v>150</v>
      </c>
      <c r="BF208" s="1">
        <v>4.8822489999999998</v>
      </c>
      <c r="BG208" s="1">
        <v>12.889137359999999</v>
      </c>
      <c r="BH208" s="1">
        <v>0.71769060299999998</v>
      </c>
      <c r="BI208" s="1">
        <v>0.90321606499999996</v>
      </c>
      <c r="BJ208" s="1">
        <v>0.80557108499999996</v>
      </c>
      <c r="BK208" s="1" t="s">
        <v>17</v>
      </c>
      <c r="BL208" s="1" t="s">
        <v>18</v>
      </c>
      <c r="BM208" s="1">
        <v>0.141817</v>
      </c>
      <c r="BN208" s="1">
        <v>0</v>
      </c>
      <c r="BO208" s="1">
        <v>0</v>
      </c>
      <c r="BP208" s="1">
        <v>0</v>
      </c>
      <c r="BQ208" s="1">
        <v>0</v>
      </c>
      <c r="BR208" s="1" t="s">
        <v>97</v>
      </c>
      <c r="BS208" s="1" t="s">
        <v>98</v>
      </c>
      <c r="BT208" s="1">
        <v>17.815769</v>
      </c>
      <c r="BU208" s="1">
        <v>4.4183107120000003</v>
      </c>
      <c r="BV208" s="1">
        <v>3.5631537999999997E-2</v>
      </c>
      <c r="BW208" s="1">
        <v>1.051130371</v>
      </c>
      <c r="BX208" s="1">
        <v>0.17815769000000001</v>
      </c>
      <c r="BY208" s="1" t="s">
        <v>151</v>
      </c>
      <c r="BZ208" s="1" t="s">
        <v>152</v>
      </c>
      <c r="CA208" s="1">
        <v>79.710189999999997</v>
      </c>
      <c r="CB208" s="1">
        <v>189.71025220000001</v>
      </c>
      <c r="CC208" s="1">
        <v>11.1594266</v>
      </c>
      <c r="CD208" s="1">
        <v>0</v>
      </c>
      <c r="CE208" s="1">
        <v>20.724649400000001</v>
      </c>
      <c r="CF208" s="1" t="s">
        <v>65</v>
      </c>
      <c r="CG208" t="s">
        <v>553</v>
      </c>
      <c r="CH208" s="1">
        <v>23.56625</v>
      </c>
      <c r="CI208" s="1">
        <v>55.498518750000002</v>
      </c>
      <c r="CJ208" s="1">
        <v>1.1076137500000001</v>
      </c>
      <c r="CK208" s="1">
        <v>9.8271262499999992</v>
      </c>
      <c r="CL208" s="1">
        <v>1.2725774999999999</v>
      </c>
      <c r="CM208" s="1" t="s">
        <v>66</v>
      </c>
      <c r="CN208" t="s">
        <v>555</v>
      </c>
      <c r="CO208" s="1">
        <v>13.361827999999999</v>
      </c>
      <c r="CP208" s="1">
        <v>3.8749301200000001</v>
      </c>
      <c r="CQ208" s="1">
        <v>2.6723655999999998E-2</v>
      </c>
      <c r="CR208" s="1">
        <v>0.93532795999999996</v>
      </c>
      <c r="CS208" s="1">
        <v>0.17370376400000001</v>
      </c>
    </row>
    <row r="209" spans="1:153" ht="14.25" customHeight="1" x14ac:dyDescent="0.35">
      <c r="A209" s="1" t="s">
        <v>198</v>
      </c>
      <c r="B209" s="2">
        <f t="shared" si="15"/>
        <v>156.18433560599999</v>
      </c>
      <c r="C209" s="2">
        <f t="shared" si="16"/>
        <v>85.999997000000008</v>
      </c>
      <c r="D209" s="2">
        <f t="shared" si="17"/>
        <v>8.6793153279999995</v>
      </c>
      <c r="E209" s="2">
        <f t="shared" si="18"/>
        <v>13.185398838999999</v>
      </c>
      <c r="F209" s="2">
        <f t="shared" si="19"/>
        <v>6.7108410089999992</v>
      </c>
      <c r="G209" s="1" t="s">
        <v>95</v>
      </c>
      <c r="H209" s="1" t="s">
        <v>96</v>
      </c>
      <c r="I209" s="1">
        <v>8.9078850000000003</v>
      </c>
      <c r="J209" s="1">
        <v>3.5631539999999999</v>
      </c>
      <c r="K209" s="1">
        <v>8.9078850000000008E-3</v>
      </c>
      <c r="L209" s="1">
        <v>0.80170965000000005</v>
      </c>
      <c r="M209" s="1">
        <v>9.7986735000000005E-2</v>
      </c>
      <c r="N209" s="1" t="s">
        <v>13</v>
      </c>
      <c r="O209" s="1" t="s">
        <v>14</v>
      </c>
      <c r="P209" s="1">
        <v>4.4539419999999996</v>
      </c>
      <c r="Q209" s="1">
        <v>39.372847280000002</v>
      </c>
      <c r="R209" s="1">
        <v>4.4539419999999996</v>
      </c>
      <c r="S209" s="1">
        <v>0</v>
      </c>
      <c r="T209" s="1">
        <v>0</v>
      </c>
      <c r="U209" s="1" t="s">
        <v>57</v>
      </c>
      <c r="V209" s="1" t="s">
        <v>58</v>
      </c>
      <c r="W209" s="1">
        <v>17.815769</v>
      </c>
      <c r="X209" s="1">
        <v>49.456574744000001</v>
      </c>
      <c r="Y209" s="1">
        <v>3.0464964989999999</v>
      </c>
      <c r="Z209" s="1">
        <v>0.57010460799999996</v>
      </c>
      <c r="AA209" s="1">
        <v>4.9884153199999997</v>
      </c>
      <c r="AB209" s="1" t="s">
        <v>17</v>
      </c>
      <c r="AC209" s="1" t="s">
        <v>18</v>
      </c>
      <c r="AD209" s="1">
        <v>7.8553999999999999E-2</v>
      </c>
      <c r="AE209" s="1">
        <v>0</v>
      </c>
      <c r="AF209" s="1">
        <v>0</v>
      </c>
      <c r="AG209" s="1">
        <v>0</v>
      </c>
      <c r="AH209" s="1">
        <v>0</v>
      </c>
      <c r="AI209" s="1" t="s">
        <v>97</v>
      </c>
      <c r="AJ209" s="1" t="s">
        <v>98</v>
      </c>
      <c r="AK209" s="1">
        <v>17.815769</v>
      </c>
      <c r="AL209" s="1">
        <v>4.4183107120000003</v>
      </c>
      <c r="AM209" s="1">
        <v>3.5631537999999997E-2</v>
      </c>
      <c r="AN209" s="1">
        <v>1.051130371</v>
      </c>
      <c r="AO209" s="1">
        <v>0.17815769000000001</v>
      </c>
      <c r="AP209" s="1" t="s">
        <v>65</v>
      </c>
      <c r="AQ209" t="s">
        <v>553</v>
      </c>
      <c r="AR209" s="1">
        <v>23.56625</v>
      </c>
      <c r="AS209" s="1">
        <v>55.498518750000002</v>
      </c>
      <c r="AT209" s="1">
        <v>1.1076137500000001</v>
      </c>
      <c r="AU209" s="1">
        <v>9.8271262499999992</v>
      </c>
      <c r="AV209" s="1">
        <v>1.2725774999999999</v>
      </c>
      <c r="AW209" s="1" t="s">
        <v>66</v>
      </c>
      <c r="AX209" t="s">
        <v>555</v>
      </c>
      <c r="AY209" s="1">
        <v>13.361827999999999</v>
      </c>
      <c r="AZ209" s="1">
        <v>3.8749301200000001</v>
      </c>
      <c r="BA209" s="1">
        <v>2.6723655999999998E-2</v>
      </c>
      <c r="BB209" s="1">
        <v>0.93532795999999996</v>
      </c>
      <c r="BC209" s="1">
        <v>0.17370376400000001</v>
      </c>
    </row>
    <row r="210" spans="1:153" ht="14.25" customHeight="1" x14ac:dyDescent="0.35">
      <c r="A210" s="1" t="s">
        <v>164</v>
      </c>
      <c r="B210" s="2">
        <f t="shared" si="15"/>
        <v>471.07873992800006</v>
      </c>
      <c r="C210" s="2">
        <f t="shared" si="16"/>
        <v>218.00000299999996</v>
      </c>
      <c r="D210" s="2">
        <f t="shared" si="17"/>
        <v>30.777038146999999</v>
      </c>
      <c r="E210" s="2">
        <f t="shared" si="18"/>
        <v>26.247683835999997</v>
      </c>
      <c r="F210" s="2">
        <f t="shared" si="19"/>
        <v>23.078135462999999</v>
      </c>
      <c r="G210" s="1" t="s">
        <v>126</v>
      </c>
      <c r="H210" s="1" t="s">
        <v>127</v>
      </c>
      <c r="I210" s="1">
        <v>6.7334310000000004</v>
      </c>
      <c r="J210" s="1">
        <v>1.0773489599999999</v>
      </c>
      <c r="K210" s="1">
        <v>1.3466862E-2</v>
      </c>
      <c r="L210" s="1">
        <v>0.22893665399999999</v>
      </c>
      <c r="M210" s="1">
        <v>4.7134017E-2</v>
      </c>
      <c r="N210" s="1" t="s">
        <v>128</v>
      </c>
      <c r="O210" s="1" t="s">
        <v>129</v>
      </c>
      <c r="P210" s="1">
        <v>53.867451000000003</v>
      </c>
      <c r="Q210" s="1">
        <v>53.328776490000003</v>
      </c>
      <c r="R210" s="1">
        <v>0.161602353</v>
      </c>
      <c r="S210" s="1">
        <v>0.10773490199999999</v>
      </c>
      <c r="T210" s="1">
        <v>12.928188240000001</v>
      </c>
      <c r="U210" s="1" t="s">
        <v>95</v>
      </c>
      <c r="V210" s="1" t="s">
        <v>96</v>
      </c>
      <c r="W210" s="1">
        <v>10.047266</v>
      </c>
      <c r="X210" s="1">
        <v>4.0189063999999997</v>
      </c>
      <c r="Y210" s="1">
        <v>1.0047265999999999E-2</v>
      </c>
      <c r="Z210" s="1">
        <v>0.90425394000000003</v>
      </c>
      <c r="AA210" s="1">
        <v>0.110519926</v>
      </c>
      <c r="AB210" s="1" t="s">
        <v>130</v>
      </c>
      <c r="AC210" s="1" t="s">
        <v>131</v>
      </c>
      <c r="AD210" s="1">
        <v>27.304064</v>
      </c>
      <c r="AE210" s="1">
        <v>185.66763520000001</v>
      </c>
      <c r="AF210" s="1">
        <v>20.478048000000001</v>
      </c>
      <c r="AG210" s="1">
        <v>0.16382438399999999</v>
      </c>
      <c r="AH210" s="1">
        <v>0.27304064</v>
      </c>
      <c r="AI210" s="1" t="s">
        <v>79</v>
      </c>
      <c r="AJ210" s="1" t="s">
        <v>80</v>
      </c>
      <c r="AK210" s="1">
        <v>4.769514</v>
      </c>
      <c r="AL210" s="1">
        <v>0.95390280000000005</v>
      </c>
      <c r="AM210" s="1">
        <v>9.5390279999999997E-3</v>
      </c>
      <c r="AN210" s="1">
        <v>0.157393962</v>
      </c>
      <c r="AO210" s="1">
        <v>7.1542709999999995E-2</v>
      </c>
      <c r="AP210" s="1" t="s">
        <v>13</v>
      </c>
      <c r="AQ210" s="1" t="s">
        <v>14</v>
      </c>
      <c r="AR210" s="1">
        <v>5.0236330000000002</v>
      </c>
      <c r="AS210" s="1">
        <v>44.408915720000003</v>
      </c>
      <c r="AT210" s="1">
        <v>5.0236330000000002</v>
      </c>
      <c r="AU210" s="1">
        <v>0</v>
      </c>
      <c r="AV210" s="1">
        <v>0</v>
      </c>
      <c r="AW210" s="1" t="s">
        <v>57</v>
      </c>
      <c r="AX210" s="1" t="s">
        <v>58</v>
      </c>
      <c r="AY210" s="1">
        <v>20.094532000000001</v>
      </c>
      <c r="AZ210" s="1">
        <v>55.782420832</v>
      </c>
      <c r="BA210" s="1">
        <v>3.4361649719999998</v>
      </c>
      <c r="BB210" s="1">
        <v>0.64302502399999995</v>
      </c>
      <c r="BC210" s="1">
        <v>5.6264689600000004</v>
      </c>
      <c r="BD210" s="1" t="s">
        <v>17</v>
      </c>
      <c r="BE210" s="1" t="s">
        <v>18</v>
      </c>
      <c r="BF210" s="1">
        <v>0.128188</v>
      </c>
      <c r="BG210" s="1">
        <v>0</v>
      </c>
      <c r="BH210" s="1">
        <v>0</v>
      </c>
      <c r="BI210" s="1">
        <v>0</v>
      </c>
      <c r="BJ210" s="1">
        <v>0</v>
      </c>
      <c r="BK210" s="1" t="s">
        <v>132</v>
      </c>
      <c r="BL210" s="1" t="s">
        <v>133</v>
      </c>
      <c r="BM210" s="1">
        <v>18.05114</v>
      </c>
      <c r="BN210" s="1">
        <v>52.149743460000003</v>
      </c>
      <c r="BO210" s="1">
        <v>0.32492051999999999</v>
      </c>
      <c r="BP210" s="1">
        <v>10.14474068</v>
      </c>
      <c r="BQ210" s="1">
        <v>2.14808566</v>
      </c>
      <c r="BR210" s="1" t="s">
        <v>97</v>
      </c>
      <c r="BS210" s="1" t="s">
        <v>98</v>
      </c>
      <c r="BT210" s="1">
        <v>20.094532000000001</v>
      </c>
      <c r="BU210" s="1">
        <v>4.9834439359999996</v>
      </c>
      <c r="BV210" s="1">
        <v>4.0189063999999997E-2</v>
      </c>
      <c r="BW210" s="1">
        <v>1.185577388</v>
      </c>
      <c r="BX210" s="1">
        <v>0.20094532000000001</v>
      </c>
      <c r="BY210" s="1" t="s">
        <v>87</v>
      </c>
      <c r="BZ210" s="1" t="s">
        <v>88</v>
      </c>
      <c r="CA210" s="1">
        <v>10.234816</v>
      </c>
      <c r="CB210" s="1">
        <v>1.7399187199999999</v>
      </c>
      <c r="CC210" s="1">
        <v>0</v>
      </c>
      <c r="CD210" s="1">
        <v>0.57314969599999999</v>
      </c>
      <c r="CE210" s="1">
        <v>4.0939264000000003E-2</v>
      </c>
      <c r="CF210" s="1" t="s">
        <v>65</v>
      </c>
      <c r="CG210" t="s">
        <v>553</v>
      </c>
      <c r="CH210" s="1">
        <v>26.580538000000001</v>
      </c>
      <c r="CI210" s="1">
        <v>62.597166989999998</v>
      </c>
      <c r="CJ210" s="1">
        <v>1.2492852860000001</v>
      </c>
      <c r="CK210" s="1">
        <v>11.084084345999999</v>
      </c>
      <c r="CL210" s="1">
        <v>1.4353490520000001</v>
      </c>
      <c r="CM210" s="1" t="s">
        <v>66</v>
      </c>
      <c r="CN210" t="s">
        <v>555</v>
      </c>
      <c r="CO210" s="1">
        <v>15.070898</v>
      </c>
      <c r="CP210" s="1">
        <v>4.3705604200000003</v>
      </c>
      <c r="CQ210" s="1">
        <v>3.0141795999999998E-2</v>
      </c>
      <c r="CR210" s="1">
        <v>1.0549628600000001</v>
      </c>
      <c r="CS210" s="1">
        <v>0.19592167399999999</v>
      </c>
    </row>
    <row r="211" spans="1:153" ht="14.25" customHeight="1" x14ac:dyDescent="0.35">
      <c r="A211" s="1" t="s">
        <v>94</v>
      </c>
      <c r="B211" s="2">
        <f t="shared" si="15"/>
        <v>176.16141429800001</v>
      </c>
      <c r="C211" s="2">
        <f t="shared" si="16"/>
        <v>97.000000999999997</v>
      </c>
      <c r="D211" s="2">
        <f t="shared" si="17"/>
        <v>9.7894613840000009</v>
      </c>
      <c r="E211" s="2">
        <f t="shared" si="18"/>
        <v>14.871903558</v>
      </c>
      <c r="F211" s="2">
        <f t="shared" si="19"/>
        <v>7.5692049320000008</v>
      </c>
      <c r="G211" s="1" t="s">
        <v>95</v>
      </c>
      <c r="H211" s="1" t="s">
        <v>96</v>
      </c>
      <c r="I211" s="1">
        <v>10.047266</v>
      </c>
      <c r="J211" s="1">
        <v>4.0189063999999997</v>
      </c>
      <c r="K211" s="1">
        <v>1.0047265999999999E-2</v>
      </c>
      <c r="L211" s="1">
        <v>0.90425394000000003</v>
      </c>
      <c r="M211" s="1">
        <v>0.110519926</v>
      </c>
      <c r="N211" s="1" t="s">
        <v>13</v>
      </c>
      <c r="O211" s="1" t="s">
        <v>14</v>
      </c>
      <c r="P211" s="1">
        <v>5.0236330000000002</v>
      </c>
      <c r="Q211" s="1">
        <v>44.408915720000003</v>
      </c>
      <c r="R211" s="1">
        <v>5.0236330000000002</v>
      </c>
      <c r="S211" s="1">
        <v>0</v>
      </c>
      <c r="T211" s="1">
        <v>0</v>
      </c>
      <c r="U211" s="1" t="s">
        <v>57</v>
      </c>
      <c r="V211" s="1" t="s">
        <v>58</v>
      </c>
      <c r="W211" s="1">
        <v>20.094532000000001</v>
      </c>
      <c r="X211" s="1">
        <v>55.782420832</v>
      </c>
      <c r="Y211" s="1">
        <v>3.4361649719999998</v>
      </c>
      <c r="Z211" s="1">
        <v>0.64302502399999995</v>
      </c>
      <c r="AA211" s="1">
        <v>5.6264689600000004</v>
      </c>
      <c r="AB211" s="1" t="s">
        <v>17</v>
      </c>
      <c r="AC211" s="1" t="s">
        <v>18</v>
      </c>
      <c r="AD211" s="1">
        <v>8.8602E-2</v>
      </c>
      <c r="AE211" s="1">
        <v>0</v>
      </c>
      <c r="AF211" s="1">
        <v>0</v>
      </c>
      <c r="AG211" s="1">
        <v>0</v>
      </c>
      <c r="AH211" s="1">
        <v>0</v>
      </c>
      <c r="AI211" s="1" t="s">
        <v>97</v>
      </c>
      <c r="AJ211" s="1" t="s">
        <v>98</v>
      </c>
      <c r="AK211" s="1">
        <v>20.094532000000001</v>
      </c>
      <c r="AL211" s="1">
        <v>4.9834439359999996</v>
      </c>
      <c r="AM211" s="1">
        <v>4.0189063999999997E-2</v>
      </c>
      <c r="AN211" s="1">
        <v>1.185577388</v>
      </c>
      <c r="AO211" s="1">
        <v>0.20094532000000001</v>
      </c>
      <c r="AP211" s="1" t="s">
        <v>65</v>
      </c>
      <c r="AQ211" t="s">
        <v>553</v>
      </c>
      <c r="AR211" s="1">
        <v>26.580538000000001</v>
      </c>
      <c r="AS211" s="1">
        <v>62.597166989999998</v>
      </c>
      <c r="AT211" s="1">
        <v>1.2492852860000001</v>
      </c>
      <c r="AU211" s="1">
        <v>11.084084345999999</v>
      </c>
      <c r="AV211" s="1">
        <v>1.4353490520000001</v>
      </c>
      <c r="AW211" s="1" t="s">
        <v>66</v>
      </c>
      <c r="AX211" t="s">
        <v>555</v>
      </c>
      <c r="AY211" s="1">
        <v>15.070898</v>
      </c>
      <c r="AZ211" s="1">
        <v>4.3705604200000003</v>
      </c>
      <c r="BA211" s="1">
        <v>3.0141795999999998E-2</v>
      </c>
      <c r="BB211" s="1">
        <v>1.0549628600000001</v>
      </c>
      <c r="BC211" s="1">
        <v>0.19592167399999999</v>
      </c>
    </row>
    <row r="212" spans="1:153" ht="14.25" customHeight="1" x14ac:dyDescent="0.35">
      <c r="A212" s="1" t="s">
        <v>125</v>
      </c>
      <c r="B212" s="2">
        <f t="shared" si="15"/>
        <v>238.98909784099996</v>
      </c>
      <c r="C212" s="2">
        <f t="shared" si="16"/>
        <v>97.289687000000001</v>
      </c>
      <c r="D212" s="2">
        <f t="shared" si="17"/>
        <v>17.114436716999997</v>
      </c>
      <c r="E212" s="2">
        <f t="shared" si="18"/>
        <v>9.119427344</v>
      </c>
      <c r="F212" s="2">
        <f t="shared" si="19"/>
        <v>12.432779321999998</v>
      </c>
      <c r="G212" s="1" t="s">
        <v>126</v>
      </c>
      <c r="H212" s="1" t="s">
        <v>127</v>
      </c>
      <c r="I212" s="1">
        <v>5.397875</v>
      </c>
      <c r="J212" s="1">
        <v>0.86365999999999998</v>
      </c>
      <c r="K212" s="1">
        <v>1.079575E-2</v>
      </c>
      <c r="L212" s="1">
        <v>0.18352774999999999</v>
      </c>
      <c r="M212" s="1">
        <v>3.7785125000000003E-2</v>
      </c>
      <c r="N212" s="1" t="s">
        <v>128</v>
      </c>
      <c r="O212" s="1" t="s">
        <v>129</v>
      </c>
      <c r="P212" s="1">
        <v>43.182999000000002</v>
      </c>
      <c r="Q212" s="1">
        <v>42.751169009999998</v>
      </c>
      <c r="R212" s="1">
        <v>0.129548997</v>
      </c>
      <c r="S212" s="1">
        <v>8.6365997999999999E-2</v>
      </c>
      <c r="T212" s="1">
        <v>10.36391976</v>
      </c>
      <c r="U212" s="1" t="s">
        <v>130</v>
      </c>
      <c r="V212" s="1" t="s">
        <v>131</v>
      </c>
      <c r="W212" s="1">
        <v>21.888382</v>
      </c>
      <c r="X212" s="1">
        <v>148.84099760000001</v>
      </c>
      <c r="Y212" s="1">
        <v>16.416286499999998</v>
      </c>
      <c r="Z212" s="1">
        <v>0.13133029199999999</v>
      </c>
      <c r="AA212" s="1">
        <v>0.21888382000000001</v>
      </c>
      <c r="AB212" s="1" t="s">
        <v>79</v>
      </c>
      <c r="AC212" s="1" t="s">
        <v>80</v>
      </c>
      <c r="AD212" s="1">
        <v>3.8234940000000002</v>
      </c>
      <c r="AE212" s="1">
        <v>0.76469880000000001</v>
      </c>
      <c r="AF212" s="1">
        <v>7.6469880000000004E-3</v>
      </c>
      <c r="AG212" s="1">
        <v>0.12617530199999999</v>
      </c>
      <c r="AH212" s="1">
        <v>5.735241E-2</v>
      </c>
      <c r="AI212" s="1" t="s">
        <v>17</v>
      </c>
      <c r="AJ212" s="1" t="s">
        <v>18</v>
      </c>
      <c r="AK212" s="1">
        <v>3.1733999999999998E-2</v>
      </c>
      <c r="AL212" s="1">
        <v>0</v>
      </c>
      <c r="AM212" s="1">
        <v>0</v>
      </c>
      <c r="AN212" s="1">
        <v>0</v>
      </c>
      <c r="AO212" s="1">
        <v>0</v>
      </c>
      <c r="AP212" s="1" t="s">
        <v>132</v>
      </c>
      <c r="AQ212" s="1" t="s">
        <v>133</v>
      </c>
      <c r="AR212" s="1">
        <v>14.470749</v>
      </c>
      <c r="AS212" s="1">
        <v>41.805993860999997</v>
      </c>
      <c r="AT212" s="1">
        <v>0.26047348199999998</v>
      </c>
      <c r="AU212" s="1">
        <v>8.1325609379999992</v>
      </c>
      <c r="AV212" s="1">
        <v>1.7220191309999999</v>
      </c>
      <c r="AW212" s="1" t="s">
        <v>87</v>
      </c>
      <c r="AX212" s="1" t="s">
        <v>88</v>
      </c>
      <c r="AY212" s="1">
        <v>8.2047690000000006</v>
      </c>
      <c r="AZ212" s="1">
        <v>1.3948107300000001</v>
      </c>
      <c r="BA212" s="1">
        <v>0</v>
      </c>
      <c r="BB212" s="1">
        <v>0.45946706399999998</v>
      </c>
      <c r="BC212" s="1">
        <v>3.2819076000000003E-2</v>
      </c>
      <c r="ES212" s="1">
        <v>0.28968500000000003</v>
      </c>
      <c r="ET212" s="1">
        <v>2.5677678400000001</v>
      </c>
      <c r="EU212" s="1">
        <v>0.28968500000000003</v>
      </c>
      <c r="EV212" s="1">
        <v>0</v>
      </c>
      <c r="EW212" s="1">
        <v>0</v>
      </c>
    </row>
    <row r="213" spans="1:153" ht="14.25" customHeight="1" x14ac:dyDescent="0.35">
      <c r="A213" s="1" t="s">
        <v>474</v>
      </c>
      <c r="B213" s="2">
        <f t="shared" si="15"/>
        <v>214.48533041899998</v>
      </c>
      <c r="C213" s="2">
        <f t="shared" si="16"/>
        <v>88</v>
      </c>
      <c r="D213" s="2">
        <f t="shared" si="17"/>
        <v>15.263692855</v>
      </c>
      <c r="E213" s="2">
        <f t="shared" si="18"/>
        <v>8.2732942549999997</v>
      </c>
      <c r="F213" s="2">
        <f t="shared" si="19"/>
        <v>11.279221869000001</v>
      </c>
      <c r="G213" s="1" t="s">
        <v>126</v>
      </c>
      <c r="H213" s="1" t="s">
        <v>127</v>
      </c>
      <c r="I213" s="1">
        <v>4.8970409999999998</v>
      </c>
      <c r="J213" s="1">
        <v>0.78352655999999998</v>
      </c>
      <c r="K213" s="1">
        <v>9.7940820000000008E-3</v>
      </c>
      <c r="L213" s="1">
        <v>0.166499394</v>
      </c>
      <c r="M213" s="1">
        <v>3.4279286999999999E-2</v>
      </c>
      <c r="N213" s="1" t="s">
        <v>128</v>
      </c>
      <c r="O213" s="1" t="s">
        <v>129</v>
      </c>
      <c r="P213" s="1">
        <v>39.176327000000001</v>
      </c>
      <c r="Q213" s="1">
        <v>38.784563730000002</v>
      </c>
      <c r="R213" s="1">
        <v>0.117528981</v>
      </c>
      <c r="S213" s="1">
        <v>7.8352653999999994E-2</v>
      </c>
      <c r="T213" s="1">
        <v>9.4023184799999999</v>
      </c>
      <c r="U213" s="1" t="s">
        <v>130</v>
      </c>
      <c r="V213" s="1" t="s">
        <v>131</v>
      </c>
      <c r="W213" s="1">
        <v>19.857502</v>
      </c>
      <c r="X213" s="1">
        <v>135.03101359999999</v>
      </c>
      <c r="Y213" s="1">
        <v>14.893126499999999</v>
      </c>
      <c r="Z213" s="1">
        <v>0.11914501199999999</v>
      </c>
      <c r="AA213" s="1">
        <v>0.19857501999999999</v>
      </c>
      <c r="AB213" s="1" t="s">
        <v>79</v>
      </c>
      <c r="AC213" s="1" t="s">
        <v>80</v>
      </c>
      <c r="AD213" s="1">
        <v>3.468737</v>
      </c>
      <c r="AE213" s="1">
        <v>0.69374740000000001</v>
      </c>
      <c r="AF213" s="1">
        <v>6.9374739999999999E-3</v>
      </c>
      <c r="AG213" s="1">
        <v>0.114468321</v>
      </c>
      <c r="AH213" s="1">
        <v>5.2031055E-2</v>
      </c>
      <c r="AI213" s="1" t="s">
        <v>17</v>
      </c>
      <c r="AJ213" s="1" t="s">
        <v>18</v>
      </c>
      <c r="AK213" s="1">
        <v>2.879E-2</v>
      </c>
      <c r="AL213" s="1">
        <v>0</v>
      </c>
      <c r="AM213" s="1">
        <v>0</v>
      </c>
      <c r="AN213" s="1">
        <v>0</v>
      </c>
      <c r="AO213" s="1">
        <v>0</v>
      </c>
      <c r="AP213" s="1" t="s">
        <v>132</v>
      </c>
      <c r="AQ213" s="1" t="s">
        <v>133</v>
      </c>
      <c r="AR213" s="1">
        <v>13.128100999999999</v>
      </c>
      <c r="AS213" s="1">
        <v>37.927083789000001</v>
      </c>
      <c r="AT213" s="1">
        <v>0.236305818</v>
      </c>
      <c r="AU213" s="1">
        <v>7.3779927619999999</v>
      </c>
      <c r="AV213" s="1">
        <v>1.562244019</v>
      </c>
      <c r="AW213" s="1" t="s">
        <v>87</v>
      </c>
      <c r="AX213" s="1" t="s">
        <v>88</v>
      </c>
      <c r="AY213" s="1">
        <v>7.4435019999999996</v>
      </c>
      <c r="AZ213" s="1">
        <v>1.26539534</v>
      </c>
      <c r="BA213" s="1">
        <v>0</v>
      </c>
      <c r="BB213" s="1">
        <v>0.41683611199999998</v>
      </c>
      <c r="BC213" s="1">
        <v>2.9774008000000001E-2</v>
      </c>
    </row>
    <row r="214" spans="1:153" ht="14.25" customHeight="1" x14ac:dyDescent="0.35">
      <c r="A214" s="1" t="s">
        <v>346</v>
      </c>
      <c r="B214" s="2">
        <f t="shared" si="15"/>
        <v>485.530756333</v>
      </c>
      <c r="C214" s="2">
        <f t="shared" si="16"/>
        <v>344.000001</v>
      </c>
      <c r="D214" s="2">
        <f t="shared" si="17"/>
        <v>18.661333372999998</v>
      </c>
      <c r="E214" s="2">
        <f t="shared" si="18"/>
        <v>30.395485841999999</v>
      </c>
      <c r="F214" s="2">
        <f t="shared" si="19"/>
        <v>47.028679088000011</v>
      </c>
      <c r="G214" s="1" t="s">
        <v>301</v>
      </c>
      <c r="H214" s="1" t="s">
        <v>302</v>
      </c>
      <c r="I214" s="1">
        <v>130</v>
      </c>
      <c r="J214" s="1">
        <v>245.7</v>
      </c>
      <c r="K214" s="1">
        <v>9.1</v>
      </c>
      <c r="L214" s="1">
        <v>0.13</v>
      </c>
      <c r="M214" s="1">
        <v>37.700000000000003</v>
      </c>
      <c r="N214" s="1" t="s">
        <v>204</v>
      </c>
      <c r="O214" s="1" t="s">
        <v>205</v>
      </c>
      <c r="P214" s="1">
        <v>97.390754999999999</v>
      </c>
      <c r="Q214" s="1">
        <v>19.965104775</v>
      </c>
      <c r="R214" s="1">
        <v>0.29217226499999999</v>
      </c>
      <c r="S214" s="1">
        <v>3.3112856700000002</v>
      </c>
      <c r="T214" s="1">
        <v>0.87651679500000002</v>
      </c>
      <c r="U214" s="1" t="s">
        <v>139</v>
      </c>
      <c r="V214" s="1" t="s">
        <v>140</v>
      </c>
      <c r="W214" s="1">
        <v>20</v>
      </c>
      <c r="X214" s="1">
        <v>2</v>
      </c>
      <c r="Y214" s="1">
        <v>0</v>
      </c>
      <c r="Z214" s="1">
        <v>0.4</v>
      </c>
      <c r="AA214" s="1">
        <v>0.2</v>
      </c>
      <c r="AB214" s="1" t="s">
        <v>13</v>
      </c>
      <c r="AC214" s="1" t="s">
        <v>14</v>
      </c>
      <c r="AD214" s="1">
        <v>1.826077</v>
      </c>
      <c r="AE214" s="1">
        <v>16.142520680000001</v>
      </c>
      <c r="AF214" s="1">
        <v>1.826077</v>
      </c>
      <c r="AG214" s="1">
        <v>0</v>
      </c>
      <c r="AH214" s="1">
        <v>0</v>
      </c>
      <c r="AI214" s="1" t="s">
        <v>206</v>
      </c>
      <c r="AJ214" s="1" t="s">
        <v>207</v>
      </c>
      <c r="AK214" s="1">
        <v>2.5550489999999999</v>
      </c>
      <c r="AL214" s="1">
        <v>14.262283518</v>
      </c>
      <c r="AM214" s="1">
        <v>1.2570841079999999</v>
      </c>
      <c r="AN214" s="1">
        <v>0.27594529200000001</v>
      </c>
      <c r="AO214" s="1">
        <v>0.78951014100000005</v>
      </c>
      <c r="AP214" s="1" t="s">
        <v>347</v>
      </c>
      <c r="AQ214" s="1" t="s">
        <v>348</v>
      </c>
      <c r="AR214" s="1">
        <v>30</v>
      </c>
      <c r="AS214" s="1">
        <v>82.5</v>
      </c>
      <c r="AT214" s="1">
        <v>0.33</v>
      </c>
      <c r="AU214" s="1">
        <v>16.739999999999998</v>
      </c>
      <c r="AV214" s="1">
        <v>2.64</v>
      </c>
      <c r="AW214" s="1" t="s">
        <v>17</v>
      </c>
      <c r="AX214" s="1" t="s">
        <v>18</v>
      </c>
      <c r="AY214" s="1">
        <v>1.0736000000000001E-2</v>
      </c>
      <c r="AZ214" s="1">
        <v>0</v>
      </c>
      <c r="BA214" s="1">
        <v>0</v>
      </c>
      <c r="BB214" s="1">
        <v>0</v>
      </c>
      <c r="BC214" s="1">
        <v>0</v>
      </c>
      <c r="BD214" s="1" t="s">
        <v>208</v>
      </c>
      <c r="BE214" s="1" t="s">
        <v>209</v>
      </c>
      <c r="BF214" s="1">
        <v>1.217384</v>
      </c>
      <c r="BG214" s="1">
        <v>3.70084736</v>
      </c>
      <c r="BH214" s="1">
        <v>0</v>
      </c>
      <c r="BI214" s="1">
        <v>0.99825487999999996</v>
      </c>
      <c r="BJ214" s="1">
        <v>3.6521520000000001E-3</v>
      </c>
      <c r="BK214" s="1" t="s">
        <v>24</v>
      </c>
      <c r="BL214" s="1" t="s">
        <v>25</v>
      </c>
      <c r="BM214" s="1">
        <v>61</v>
      </c>
      <c r="BN214" s="1">
        <v>101.26</v>
      </c>
      <c r="BO214" s="1">
        <v>5.8559999999999999</v>
      </c>
      <c r="BP214" s="1">
        <v>8.5399999999999991</v>
      </c>
      <c r="BQ214" s="1">
        <v>4.819</v>
      </c>
    </row>
    <row r="215" spans="1:153" ht="14.25" customHeight="1" x14ac:dyDescent="0.35">
      <c r="A215" s="1" t="s">
        <v>497</v>
      </c>
      <c r="B215" s="2">
        <f t="shared" si="15"/>
        <v>384.27075633300001</v>
      </c>
      <c r="C215" s="2">
        <f t="shared" si="16"/>
        <v>283.000001</v>
      </c>
      <c r="D215" s="2">
        <f t="shared" si="17"/>
        <v>12.805333372999998</v>
      </c>
      <c r="E215" s="2">
        <f t="shared" si="18"/>
        <v>21.855485842</v>
      </c>
      <c r="F215" s="2">
        <f t="shared" si="19"/>
        <v>42.209679088000009</v>
      </c>
      <c r="G215" s="1" t="s">
        <v>301</v>
      </c>
      <c r="H215" s="1" t="s">
        <v>302</v>
      </c>
      <c r="I215" s="1">
        <v>130</v>
      </c>
      <c r="J215" s="1">
        <v>245.7</v>
      </c>
      <c r="K215" s="1">
        <v>9.1</v>
      </c>
      <c r="L215" s="1">
        <v>0.13</v>
      </c>
      <c r="M215" s="1">
        <v>37.700000000000003</v>
      </c>
      <c r="N215" s="1" t="s">
        <v>204</v>
      </c>
      <c r="O215" s="1" t="s">
        <v>205</v>
      </c>
      <c r="P215" s="1">
        <v>97.390754999999999</v>
      </c>
      <c r="Q215" s="1">
        <v>19.965104775</v>
      </c>
      <c r="R215" s="1">
        <v>0.29217226499999999</v>
      </c>
      <c r="S215" s="1">
        <v>3.3112856700000002</v>
      </c>
      <c r="T215" s="1">
        <v>0.87651679500000002</v>
      </c>
      <c r="U215" s="1" t="s">
        <v>139</v>
      </c>
      <c r="V215" s="1" t="s">
        <v>140</v>
      </c>
      <c r="W215" s="1">
        <v>20</v>
      </c>
      <c r="X215" s="1">
        <v>2</v>
      </c>
      <c r="Y215" s="1">
        <v>0</v>
      </c>
      <c r="Z215" s="1">
        <v>0.4</v>
      </c>
      <c r="AA215" s="1">
        <v>0.2</v>
      </c>
      <c r="AB215" s="1" t="s">
        <v>13</v>
      </c>
      <c r="AC215" s="1" t="s">
        <v>14</v>
      </c>
      <c r="AD215" s="1">
        <v>1.826077</v>
      </c>
      <c r="AE215" s="1">
        <v>16.142520680000001</v>
      </c>
      <c r="AF215" s="1">
        <v>1.826077</v>
      </c>
      <c r="AG215" s="1">
        <v>0</v>
      </c>
      <c r="AH215" s="1">
        <v>0</v>
      </c>
      <c r="AI215" s="1" t="s">
        <v>206</v>
      </c>
      <c r="AJ215" s="1" t="s">
        <v>207</v>
      </c>
      <c r="AK215" s="1">
        <v>2.5550489999999999</v>
      </c>
      <c r="AL215" s="1">
        <v>14.262283518</v>
      </c>
      <c r="AM215" s="1">
        <v>1.2570841079999999</v>
      </c>
      <c r="AN215" s="1">
        <v>0.27594529200000001</v>
      </c>
      <c r="AO215" s="1">
        <v>0.78951014100000005</v>
      </c>
      <c r="AP215" s="1" t="s">
        <v>347</v>
      </c>
      <c r="AQ215" s="1" t="s">
        <v>348</v>
      </c>
      <c r="AR215" s="1">
        <v>30</v>
      </c>
      <c r="AS215" s="1">
        <v>82.5</v>
      </c>
      <c r="AT215" s="1">
        <v>0.33</v>
      </c>
      <c r="AU215" s="1">
        <v>16.739999999999998</v>
      </c>
      <c r="AV215" s="1">
        <v>2.64</v>
      </c>
      <c r="AW215" s="1" t="s">
        <v>17</v>
      </c>
      <c r="AX215" s="1" t="s">
        <v>18</v>
      </c>
      <c r="AY215" s="1">
        <v>1.0736000000000001E-2</v>
      </c>
      <c r="AZ215" s="1">
        <v>0</v>
      </c>
      <c r="BA215" s="1">
        <v>0</v>
      </c>
      <c r="BB215" s="1">
        <v>0</v>
      </c>
      <c r="BC215" s="1">
        <v>0</v>
      </c>
      <c r="BD215" s="1" t="s">
        <v>208</v>
      </c>
      <c r="BE215" s="1" t="s">
        <v>209</v>
      </c>
      <c r="BF215" s="1">
        <v>1.217384</v>
      </c>
      <c r="BG215" s="1">
        <v>3.70084736</v>
      </c>
      <c r="BH215" s="1">
        <v>0</v>
      </c>
      <c r="BI215" s="1">
        <v>0.99825487999999996</v>
      </c>
      <c r="BJ215" s="1">
        <v>3.6521520000000001E-3</v>
      </c>
    </row>
    <row r="216" spans="1:153" ht="14.25" customHeight="1" x14ac:dyDescent="0.35">
      <c r="A216" s="1" t="s">
        <v>517</v>
      </c>
      <c r="B216" s="2">
        <f t="shared" si="15"/>
        <v>301.77075633300001</v>
      </c>
      <c r="C216" s="2">
        <f t="shared" si="16"/>
        <v>253.00000100000003</v>
      </c>
      <c r="D216" s="2">
        <f t="shared" si="17"/>
        <v>12.475333372999998</v>
      </c>
      <c r="E216" s="2">
        <f t="shared" si="18"/>
        <v>5.115485842</v>
      </c>
      <c r="F216" s="2">
        <f t="shared" si="19"/>
        <v>39.569679088000008</v>
      </c>
      <c r="G216" s="1" t="s">
        <v>301</v>
      </c>
      <c r="H216" s="1" t="s">
        <v>302</v>
      </c>
      <c r="I216" s="1">
        <v>130</v>
      </c>
      <c r="J216" s="1">
        <v>245.7</v>
      </c>
      <c r="K216" s="1">
        <v>9.1</v>
      </c>
      <c r="L216" s="1">
        <v>0.13</v>
      </c>
      <c r="M216" s="1">
        <v>37.700000000000003</v>
      </c>
      <c r="N216" s="1" t="s">
        <v>204</v>
      </c>
      <c r="O216" s="1" t="s">
        <v>205</v>
      </c>
      <c r="P216" s="1">
        <v>97.390754999999999</v>
      </c>
      <c r="Q216" s="1">
        <v>19.965104775</v>
      </c>
      <c r="R216" s="1">
        <v>0.29217226499999999</v>
      </c>
      <c r="S216" s="1">
        <v>3.3112856700000002</v>
      </c>
      <c r="T216" s="1">
        <v>0.87651679500000002</v>
      </c>
      <c r="U216" s="1" t="s">
        <v>139</v>
      </c>
      <c r="V216" s="1" t="s">
        <v>140</v>
      </c>
      <c r="W216" s="1">
        <v>20</v>
      </c>
      <c r="X216" s="1">
        <v>2</v>
      </c>
      <c r="Y216" s="1">
        <v>0</v>
      </c>
      <c r="Z216" s="1">
        <v>0.4</v>
      </c>
      <c r="AA216" s="1">
        <v>0.2</v>
      </c>
      <c r="AB216" s="1" t="s">
        <v>13</v>
      </c>
      <c r="AC216" s="1" t="s">
        <v>14</v>
      </c>
      <c r="AD216" s="1">
        <v>1.826077</v>
      </c>
      <c r="AE216" s="1">
        <v>16.142520680000001</v>
      </c>
      <c r="AF216" s="1">
        <v>1.826077</v>
      </c>
      <c r="AG216" s="1">
        <v>0</v>
      </c>
      <c r="AH216" s="1">
        <v>0</v>
      </c>
      <c r="AI216" s="1" t="s">
        <v>206</v>
      </c>
      <c r="AJ216" s="1" t="s">
        <v>207</v>
      </c>
      <c r="AK216" s="1">
        <v>2.5550489999999999</v>
      </c>
      <c r="AL216" s="1">
        <v>14.262283518</v>
      </c>
      <c r="AM216" s="1">
        <v>1.2570841079999999</v>
      </c>
      <c r="AN216" s="1">
        <v>0.27594529200000001</v>
      </c>
      <c r="AO216" s="1">
        <v>0.78951014100000005</v>
      </c>
      <c r="AP216" s="1" t="s">
        <v>17</v>
      </c>
      <c r="AQ216" s="1" t="s">
        <v>18</v>
      </c>
      <c r="AR216" s="1">
        <v>1.0736000000000001E-2</v>
      </c>
      <c r="AS216" s="1">
        <v>0</v>
      </c>
      <c r="AT216" s="1">
        <v>0</v>
      </c>
      <c r="AU216" s="1">
        <v>0</v>
      </c>
      <c r="AV216" s="1">
        <v>0</v>
      </c>
      <c r="AW216" s="1" t="s">
        <v>208</v>
      </c>
      <c r="AX216" s="1" t="s">
        <v>209</v>
      </c>
      <c r="AY216" s="1">
        <v>1.217384</v>
      </c>
      <c r="AZ216" s="1">
        <v>3.70084736</v>
      </c>
      <c r="BA216" s="1">
        <v>0</v>
      </c>
      <c r="BB216" s="1">
        <v>0.99825487999999996</v>
      </c>
      <c r="BC216" s="1">
        <v>3.6521520000000001E-3</v>
      </c>
    </row>
    <row r="217" spans="1:153" ht="14.25" customHeight="1" x14ac:dyDescent="0.35">
      <c r="A217" s="1" t="s">
        <v>436</v>
      </c>
      <c r="B217" s="2">
        <f t="shared" si="15"/>
        <v>247.7</v>
      </c>
      <c r="C217" s="2">
        <f t="shared" si="16"/>
        <v>150</v>
      </c>
      <c r="D217" s="2">
        <f t="shared" si="17"/>
        <v>9.1</v>
      </c>
      <c r="E217" s="2">
        <f t="shared" si="18"/>
        <v>0.53</v>
      </c>
      <c r="F217" s="2">
        <f t="shared" si="19"/>
        <v>37.900000000000006</v>
      </c>
      <c r="G217" s="1" t="s">
        <v>301</v>
      </c>
      <c r="H217" s="1" t="s">
        <v>302</v>
      </c>
      <c r="I217" s="1">
        <v>130</v>
      </c>
      <c r="J217" s="1">
        <v>245.7</v>
      </c>
      <c r="K217" s="1">
        <v>9.1</v>
      </c>
      <c r="L217" s="1">
        <v>0.13</v>
      </c>
      <c r="M217" s="1">
        <v>37.700000000000003</v>
      </c>
      <c r="N217" s="1" t="s">
        <v>139</v>
      </c>
      <c r="O217" s="1" t="s">
        <v>140</v>
      </c>
      <c r="P217" s="1">
        <v>20</v>
      </c>
      <c r="Q217" s="1">
        <v>2</v>
      </c>
      <c r="R217" s="1">
        <v>0</v>
      </c>
      <c r="S217" s="1">
        <v>0.4</v>
      </c>
      <c r="T217" s="1">
        <v>0.2</v>
      </c>
    </row>
    <row r="218" spans="1:153" ht="14.25" customHeight="1" x14ac:dyDescent="0.35">
      <c r="A218" s="1" t="s">
        <v>300</v>
      </c>
      <c r="B218" s="2">
        <f t="shared" si="15"/>
        <v>245.7</v>
      </c>
      <c r="C218" s="2">
        <f t="shared" si="16"/>
        <v>130</v>
      </c>
      <c r="D218" s="2">
        <f t="shared" si="17"/>
        <v>9.1</v>
      </c>
      <c r="E218" s="2">
        <f t="shared" si="18"/>
        <v>0.13</v>
      </c>
      <c r="F218" s="2">
        <f t="shared" si="19"/>
        <v>37.700000000000003</v>
      </c>
      <c r="G218" s="1" t="s">
        <v>301</v>
      </c>
      <c r="H218" s="1" t="s">
        <v>302</v>
      </c>
      <c r="I218" s="1">
        <v>130</v>
      </c>
      <c r="J218" s="1">
        <v>245.7</v>
      </c>
      <c r="K218" s="1">
        <v>9.1</v>
      </c>
      <c r="L218" s="1">
        <v>0.13</v>
      </c>
      <c r="M218" s="1">
        <v>37.700000000000003</v>
      </c>
    </row>
    <row r="219" spans="1:153" ht="14.25" customHeight="1" x14ac:dyDescent="0.35">
      <c r="A219" s="1" t="s">
        <v>203</v>
      </c>
      <c r="B219" s="2">
        <f t="shared" si="15"/>
        <v>523.91561516599995</v>
      </c>
      <c r="C219" s="2">
        <f t="shared" si="16"/>
        <v>349.00000399999999</v>
      </c>
      <c r="D219" s="2">
        <f t="shared" si="17"/>
        <v>30.053937275999999</v>
      </c>
      <c r="E219" s="2">
        <f t="shared" si="18"/>
        <v>11.421677886000001</v>
      </c>
      <c r="F219" s="2">
        <f t="shared" si="19"/>
        <v>49.164018575</v>
      </c>
      <c r="G219" s="1" t="s">
        <v>204</v>
      </c>
      <c r="H219" s="1" t="s">
        <v>205</v>
      </c>
      <c r="I219" s="1">
        <v>117.247124</v>
      </c>
      <c r="J219" s="1">
        <v>24.035660419999999</v>
      </c>
      <c r="K219" s="1">
        <v>0.351741372</v>
      </c>
      <c r="L219" s="1">
        <v>3.9864022160000001</v>
      </c>
      <c r="M219" s="1">
        <v>1.055224116</v>
      </c>
      <c r="N219" s="1" t="s">
        <v>126</v>
      </c>
      <c r="O219" s="1" t="s">
        <v>127</v>
      </c>
      <c r="P219" s="1">
        <v>3.4824839999999999</v>
      </c>
      <c r="Q219" s="1">
        <v>0.55719744000000004</v>
      </c>
      <c r="R219" s="1">
        <v>6.9649680000000002E-3</v>
      </c>
      <c r="S219" s="1">
        <v>0.11840445600000001</v>
      </c>
      <c r="T219" s="1">
        <v>2.4377388E-2</v>
      </c>
      <c r="U219" s="1" t="s">
        <v>141</v>
      </c>
      <c r="V219" s="1" t="s">
        <v>142</v>
      </c>
      <c r="W219" s="1">
        <v>3.4824839999999999</v>
      </c>
      <c r="X219" s="1">
        <v>1.42781844</v>
      </c>
      <c r="Y219" s="1">
        <v>6.9649680000000002E-3</v>
      </c>
      <c r="Z219" s="1">
        <v>0.34824840000000001</v>
      </c>
      <c r="AA219" s="1">
        <v>3.1342356000000002E-2</v>
      </c>
      <c r="AB219" s="1" t="s">
        <v>95</v>
      </c>
      <c r="AC219" s="1" t="s">
        <v>96</v>
      </c>
      <c r="AD219" s="1">
        <v>3.4824839999999999</v>
      </c>
      <c r="AE219" s="1">
        <v>1.3929936000000001</v>
      </c>
      <c r="AF219" s="1">
        <v>3.4824840000000001E-3</v>
      </c>
      <c r="AG219" s="1">
        <v>0.31342355999999999</v>
      </c>
      <c r="AH219" s="1">
        <v>3.8307323999999997E-2</v>
      </c>
      <c r="AI219" s="1" t="s">
        <v>145</v>
      </c>
      <c r="AJ219" s="1" t="s">
        <v>146</v>
      </c>
      <c r="AK219" s="1">
        <v>27.859870999999998</v>
      </c>
      <c r="AL219" s="1">
        <v>12.871260402000001</v>
      </c>
      <c r="AM219" s="1">
        <v>2.7859871000000001E-2</v>
      </c>
      <c r="AN219" s="1">
        <v>3.148165423</v>
      </c>
      <c r="AO219" s="1">
        <v>2.7859871000000001E-2</v>
      </c>
      <c r="AP219" s="1" t="s">
        <v>13</v>
      </c>
      <c r="AQ219" s="1" t="s">
        <v>14</v>
      </c>
      <c r="AR219" s="1">
        <v>2.1983830000000002</v>
      </c>
      <c r="AS219" s="1">
        <v>19.433705719999999</v>
      </c>
      <c r="AT219" s="1">
        <v>2.1983830000000002</v>
      </c>
      <c r="AU219" s="1">
        <v>0</v>
      </c>
      <c r="AV219" s="1">
        <v>0</v>
      </c>
      <c r="AW219" s="1" t="s">
        <v>147</v>
      </c>
      <c r="AX219" s="1" t="s">
        <v>148</v>
      </c>
      <c r="AY219" s="1">
        <v>1.7651840000000001</v>
      </c>
      <c r="AZ219" s="1">
        <v>0</v>
      </c>
      <c r="BA219" s="1">
        <v>0</v>
      </c>
      <c r="BB219" s="1">
        <v>0</v>
      </c>
      <c r="BC219" s="1">
        <v>0</v>
      </c>
      <c r="BD219" s="1" t="s">
        <v>206</v>
      </c>
      <c r="BE219" s="1" t="s">
        <v>207</v>
      </c>
      <c r="BF219" s="1">
        <v>3.0759820000000002</v>
      </c>
      <c r="BG219" s="1">
        <v>17.170131523999999</v>
      </c>
      <c r="BH219" s="1">
        <v>1.5133831440000001</v>
      </c>
      <c r="BI219" s="1">
        <v>0.33220605600000003</v>
      </c>
      <c r="BJ219" s="1">
        <v>0.95047843799999998</v>
      </c>
      <c r="BK219" s="1" t="s">
        <v>149</v>
      </c>
      <c r="BL219" s="1" t="s">
        <v>150</v>
      </c>
      <c r="BM219" s="1">
        <v>10.665107000000001</v>
      </c>
      <c r="BN219" s="1">
        <v>28.155882479999999</v>
      </c>
      <c r="BO219" s="1">
        <v>1.567770729</v>
      </c>
      <c r="BP219" s="1">
        <v>1.9730447950000001</v>
      </c>
      <c r="BQ219" s="1">
        <v>1.7597426549999999</v>
      </c>
      <c r="BR219" s="1" t="s">
        <v>17</v>
      </c>
      <c r="BS219" s="1" t="s">
        <v>18</v>
      </c>
      <c r="BT219" s="1">
        <v>0.15112100000000001</v>
      </c>
      <c r="BU219" s="1">
        <v>0</v>
      </c>
      <c r="BV219" s="1">
        <v>0</v>
      </c>
      <c r="BW219" s="1">
        <v>0</v>
      </c>
      <c r="BX219" s="1">
        <v>0</v>
      </c>
      <c r="BY219" s="1" t="s">
        <v>208</v>
      </c>
      <c r="BZ219" s="1" t="s">
        <v>209</v>
      </c>
      <c r="CA219" s="1">
        <v>1.465589</v>
      </c>
      <c r="CB219" s="1">
        <v>4.4553905599999997</v>
      </c>
      <c r="CC219" s="1">
        <v>0</v>
      </c>
      <c r="CD219" s="1">
        <v>1.2017829799999999</v>
      </c>
      <c r="CE219" s="1">
        <v>4.3967670000000002E-3</v>
      </c>
      <c r="CF219" s="1" t="s">
        <v>151</v>
      </c>
      <c r="CG219" s="1" t="s">
        <v>152</v>
      </c>
      <c r="CH219" s="1">
        <v>174.124191</v>
      </c>
      <c r="CI219" s="1">
        <v>414.41557458</v>
      </c>
      <c r="CJ219" s="1">
        <v>24.377386739999999</v>
      </c>
      <c r="CK219" s="1">
        <v>0</v>
      </c>
      <c r="CL219" s="1">
        <v>45.272289659999998</v>
      </c>
    </row>
    <row r="220" spans="1:153" ht="14.25" customHeight="1" x14ac:dyDescent="0.35">
      <c r="A220" s="1" t="s">
        <v>331</v>
      </c>
      <c r="B220" s="2">
        <f t="shared" si="15"/>
        <v>458.82072694199996</v>
      </c>
      <c r="C220" s="2">
        <f t="shared" si="16"/>
        <v>225.000001</v>
      </c>
      <c r="D220" s="2">
        <f t="shared" si="17"/>
        <v>25.990429759999998</v>
      </c>
      <c r="E220" s="2">
        <f t="shared" si="18"/>
        <v>5.9012866339999999</v>
      </c>
      <c r="F220" s="2">
        <f t="shared" si="19"/>
        <v>47.153919254000002</v>
      </c>
      <c r="G220" s="1" t="s">
        <v>126</v>
      </c>
      <c r="H220" s="1" t="s">
        <v>127</v>
      </c>
      <c r="I220" s="1">
        <v>3.4824839999999999</v>
      </c>
      <c r="J220" s="1">
        <v>0.55719744000000004</v>
      </c>
      <c r="K220" s="1">
        <v>6.9649680000000002E-3</v>
      </c>
      <c r="L220" s="1">
        <v>0.11840445600000001</v>
      </c>
      <c r="M220" s="1">
        <v>2.4377388E-2</v>
      </c>
      <c r="N220" s="1" t="s">
        <v>141</v>
      </c>
      <c r="O220" s="1" t="s">
        <v>142</v>
      </c>
      <c r="P220" s="1">
        <v>3.4824839999999999</v>
      </c>
      <c r="Q220" s="1">
        <v>1.42781844</v>
      </c>
      <c r="R220" s="1">
        <v>6.9649680000000002E-3</v>
      </c>
      <c r="S220" s="1">
        <v>0.34824840000000001</v>
      </c>
      <c r="T220" s="1">
        <v>3.1342356000000002E-2</v>
      </c>
      <c r="U220" s="1" t="s">
        <v>95</v>
      </c>
      <c r="V220" s="1" t="s">
        <v>96</v>
      </c>
      <c r="W220" s="1">
        <v>3.4824839999999999</v>
      </c>
      <c r="X220" s="1">
        <v>1.3929936000000001</v>
      </c>
      <c r="Y220" s="1">
        <v>3.4824840000000001E-3</v>
      </c>
      <c r="Z220" s="1">
        <v>0.31342355999999999</v>
      </c>
      <c r="AA220" s="1">
        <v>3.8307323999999997E-2</v>
      </c>
      <c r="AB220" s="1" t="s">
        <v>145</v>
      </c>
      <c r="AC220" s="1" t="s">
        <v>146</v>
      </c>
      <c r="AD220" s="1">
        <v>27.859870999999998</v>
      </c>
      <c r="AE220" s="1">
        <v>12.871260402000001</v>
      </c>
      <c r="AF220" s="1">
        <v>2.7859871000000001E-2</v>
      </c>
      <c r="AG220" s="1">
        <v>3.148165423</v>
      </c>
      <c r="AH220" s="1">
        <v>2.7859871000000001E-2</v>
      </c>
      <c r="AI220" s="1" t="s">
        <v>147</v>
      </c>
      <c r="AJ220" s="1" t="s">
        <v>148</v>
      </c>
      <c r="AK220" s="1">
        <v>1.7651840000000001</v>
      </c>
      <c r="AL220" s="1">
        <v>0</v>
      </c>
      <c r="AM220" s="1">
        <v>0</v>
      </c>
      <c r="AN220" s="1">
        <v>0</v>
      </c>
      <c r="AO220" s="1">
        <v>0</v>
      </c>
      <c r="AP220" s="1" t="s">
        <v>149</v>
      </c>
      <c r="AQ220" s="1" t="s">
        <v>150</v>
      </c>
      <c r="AR220" s="1">
        <v>10.665107000000001</v>
      </c>
      <c r="AS220" s="1">
        <v>28.155882479999999</v>
      </c>
      <c r="AT220" s="1">
        <v>1.567770729</v>
      </c>
      <c r="AU220" s="1">
        <v>1.9730447950000001</v>
      </c>
      <c r="AV220" s="1">
        <v>1.7597426549999999</v>
      </c>
      <c r="AW220" s="1" t="s">
        <v>17</v>
      </c>
      <c r="AX220" s="1" t="s">
        <v>18</v>
      </c>
      <c r="AY220" s="1">
        <v>0.13819600000000001</v>
      </c>
      <c r="AZ220" s="1">
        <v>0</v>
      </c>
      <c r="BA220" s="1">
        <v>0</v>
      </c>
      <c r="BB220" s="1">
        <v>0</v>
      </c>
      <c r="BC220" s="1">
        <v>0</v>
      </c>
      <c r="BD220" s="1" t="s">
        <v>151</v>
      </c>
      <c r="BE220" s="1" t="s">
        <v>152</v>
      </c>
      <c r="BF220" s="1">
        <v>174.124191</v>
      </c>
      <c r="BG220" s="1">
        <v>414.41557458</v>
      </c>
      <c r="BH220" s="1">
        <v>24.377386739999999</v>
      </c>
      <c r="BI220" s="1">
        <v>0</v>
      </c>
      <c r="BJ220" s="1">
        <v>45.272289659999998</v>
      </c>
    </row>
    <row r="221" spans="1:153" ht="14.25" customHeight="1" x14ac:dyDescent="0.35">
      <c r="A221" s="1" t="s">
        <v>91</v>
      </c>
      <c r="B221" s="2">
        <f t="shared" si="15"/>
        <v>150.96</v>
      </c>
      <c r="C221" s="2">
        <f t="shared" si="16"/>
        <v>222</v>
      </c>
      <c r="D221" s="2">
        <f t="shared" si="17"/>
        <v>3.1080000000000001</v>
      </c>
      <c r="E221" s="2">
        <f t="shared" si="18"/>
        <v>26.64</v>
      </c>
      <c r="F221" s="2">
        <f t="shared" si="19"/>
        <v>5.3280000000000003</v>
      </c>
      <c r="G221" s="1" t="s">
        <v>92</v>
      </c>
      <c r="H221" s="1" t="s">
        <v>93</v>
      </c>
      <c r="I221" s="1">
        <v>222</v>
      </c>
      <c r="J221" s="1">
        <v>150.96</v>
      </c>
      <c r="K221" s="1">
        <v>3.1080000000000001</v>
      </c>
      <c r="L221" s="1">
        <v>26.64</v>
      </c>
      <c r="M221" s="1">
        <v>5.3280000000000003</v>
      </c>
    </row>
    <row r="222" spans="1:153" ht="14.25" customHeight="1" x14ac:dyDescent="0.35">
      <c r="A222" s="1" t="s">
        <v>365</v>
      </c>
      <c r="B222" s="2">
        <f t="shared" si="15"/>
        <v>126.06652084</v>
      </c>
      <c r="C222" s="2">
        <f t="shared" si="16"/>
        <v>85.000004000000004</v>
      </c>
      <c r="D222" s="2">
        <f t="shared" si="17"/>
        <v>5.8799894379999991</v>
      </c>
      <c r="E222" s="2">
        <f t="shared" si="18"/>
        <v>10.652785483999999</v>
      </c>
      <c r="F222" s="2">
        <f t="shared" si="19"/>
        <v>8.1179572279999999</v>
      </c>
      <c r="G222" s="1" t="s">
        <v>222</v>
      </c>
      <c r="H222" s="1" t="s">
        <v>223</v>
      </c>
      <c r="I222" s="1">
        <v>17.548387999999999</v>
      </c>
      <c r="J222" s="1">
        <v>19.478710679999999</v>
      </c>
      <c r="K222" s="1">
        <v>0.15793549200000001</v>
      </c>
      <c r="L222" s="1">
        <v>4.0361292400000002</v>
      </c>
      <c r="M222" s="1">
        <v>0.45625808800000001</v>
      </c>
      <c r="N222" s="1" t="s">
        <v>7</v>
      </c>
      <c r="O222" s="1" t="s">
        <v>8</v>
      </c>
      <c r="P222" s="1">
        <v>8.7741939999999996</v>
      </c>
      <c r="Q222" s="1">
        <v>2.98322596</v>
      </c>
      <c r="R222" s="1">
        <v>6.1419358E-2</v>
      </c>
      <c r="S222" s="1">
        <v>0.59664519199999999</v>
      </c>
      <c r="T222" s="1">
        <v>6.1419358E-2</v>
      </c>
      <c r="U222" s="1" t="s">
        <v>9</v>
      </c>
      <c r="V222" s="1" t="s">
        <v>10</v>
      </c>
      <c r="W222" s="1">
        <v>8.7741939999999996</v>
      </c>
      <c r="X222" s="1">
        <v>14.038710399999999</v>
      </c>
      <c r="Y222" s="1">
        <v>1.3161290999999999</v>
      </c>
      <c r="Z222" s="1">
        <v>0.78967746000000005</v>
      </c>
      <c r="AA222" s="1">
        <v>0.17548388000000001</v>
      </c>
      <c r="AB222" s="1" t="s">
        <v>95</v>
      </c>
      <c r="AC222" s="1" t="s">
        <v>96</v>
      </c>
      <c r="AD222" s="1">
        <v>8.7741939999999996</v>
      </c>
      <c r="AE222" s="1">
        <v>3.5096775999999998</v>
      </c>
      <c r="AF222" s="1">
        <v>8.7741940000000008E-3</v>
      </c>
      <c r="AG222" s="1">
        <v>0.78967746000000005</v>
      </c>
      <c r="AH222" s="1">
        <v>9.6516134000000003E-2</v>
      </c>
      <c r="AI222" s="1" t="s">
        <v>57</v>
      </c>
      <c r="AJ222" s="1" t="s">
        <v>58</v>
      </c>
      <c r="AK222" s="1">
        <v>23.397849999999998</v>
      </c>
      <c r="AL222" s="1">
        <v>64.952431599999997</v>
      </c>
      <c r="AM222" s="1">
        <v>4.00103235</v>
      </c>
      <c r="AN222" s="1">
        <v>0.74873120000000004</v>
      </c>
      <c r="AO222" s="1">
        <v>6.5513979999999998</v>
      </c>
      <c r="AP222" s="1" t="s">
        <v>366</v>
      </c>
      <c r="AQ222" s="1" t="s">
        <v>367</v>
      </c>
      <c r="AR222" s="1">
        <v>17.548387999999999</v>
      </c>
      <c r="AS222" s="1">
        <v>21.058065599999999</v>
      </c>
      <c r="AT222" s="1">
        <v>0.33341937199999999</v>
      </c>
      <c r="AU222" s="1">
        <v>3.6851614800000001</v>
      </c>
      <c r="AV222" s="1">
        <v>0.77212907200000003</v>
      </c>
      <c r="AW222" s="1" t="s">
        <v>228</v>
      </c>
      <c r="AX222" s="1" t="s">
        <v>229</v>
      </c>
      <c r="AY222" s="1">
        <v>0.18279599999999999</v>
      </c>
      <c r="AZ222" s="1">
        <v>4.5698999999999997E-2</v>
      </c>
      <c r="BA222" s="1">
        <v>1.2795720000000001E-3</v>
      </c>
      <c r="BB222" s="1">
        <v>6.7634519999999997E-3</v>
      </c>
      <c r="BC222" s="1">
        <v>4.7526959999999998E-3</v>
      </c>
    </row>
    <row r="223" spans="1:153" ht="14.25" customHeight="1" x14ac:dyDescent="0.35">
      <c r="A223" s="1" t="s">
        <v>402</v>
      </c>
      <c r="B223" s="2">
        <f t="shared" si="15"/>
        <v>120.64</v>
      </c>
      <c r="C223" s="2">
        <f t="shared" si="16"/>
        <v>232</v>
      </c>
      <c r="D223" s="2">
        <f t="shared" si="17"/>
        <v>0.46400000000000002</v>
      </c>
      <c r="E223" s="2">
        <f t="shared" si="18"/>
        <v>1.6240000000000001</v>
      </c>
      <c r="F223" s="2">
        <f t="shared" si="19"/>
        <v>23.2</v>
      </c>
      <c r="G223" s="1" t="s">
        <v>35</v>
      </c>
      <c r="H223" s="1" t="s">
        <v>36</v>
      </c>
      <c r="I223" s="1">
        <v>232</v>
      </c>
      <c r="J223" s="1">
        <v>120.64</v>
      </c>
      <c r="K223" s="1">
        <v>0.46400000000000002</v>
      </c>
      <c r="L223" s="1">
        <v>1.6240000000000001</v>
      </c>
      <c r="M223" s="1">
        <v>23.2</v>
      </c>
    </row>
    <row r="224" spans="1:153" ht="14.25" customHeight="1" x14ac:dyDescent="0.35">
      <c r="A224" s="1" t="s">
        <v>548</v>
      </c>
      <c r="B224" s="2">
        <f t="shared" si="15"/>
        <v>76.56</v>
      </c>
      <c r="C224" s="2">
        <f t="shared" si="16"/>
        <v>232</v>
      </c>
      <c r="D224" s="2">
        <f t="shared" si="17"/>
        <v>0.69599999999999995</v>
      </c>
      <c r="E224" s="2">
        <f t="shared" si="18"/>
        <v>18.559999999999999</v>
      </c>
      <c r="F224" s="2">
        <f t="shared" si="19"/>
        <v>1.6240000000000001</v>
      </c>
      <c r="G224" s="1" t="s">
        <v>52</v>
      </c>
      <c r="H224" s="1" t="s">
        <v>53</v>
      </c>
      <c r="I224" s="1">
        <v>232</v>
      </c>
      <c r="J224" s="1">
        <v>76.56</v>
      </c>
      <c r="K224" s="1">
        <v>0.69599999999999995</v>
      </c>
      <c r="L224" s="1">
        <v>18.559999999999999</v>
      </c>
      <c r="M224" s="1">
        <v>1.6240000000000001</v>
      </c>
    </row>
    <row r="225" spans="1:34" ht="14.25" customHeight="1" x14ac:dyDescent="0.35">
      <c r="A225" s="1" t="s">
        <v>350</v>
      </c>
      <c r="B225" s="2">
        <f t="shared" si="15"/>
        <v>381.69665916000002</v>
      </c>
      <c r="C225" s="2">
        <f t="shared" si="16"/>
        <v>287.99999600000001</v>
      </c>
      <c r="D225" s="2">
        <f t="shared" si="17"/>
        <v>24.143999416</v>
      </c>
      <c r="E225" s="2">
        <f t="shared" si="18"/>
        <v>22.263333335999999</v>
      </c>
      <c r="F225" s="2">
        <f t="shared" si="19"/>
        <v>18.36633282</v>
      </c>
      <c r="G225" s="1" t="s">
        <v>30</v>
      </c>
      <c r="H225" s="1" t="s">
        <v>31</v>
      </c>
      <c r="I225" s="1">
        <v>158.33332799999999</v>
      </c>
      <c r="J225" s="1">
        <v>234.33332544000001</v>
      </c>
      <c r="K225" s="1">
        <v>17.416666079999999</v>
      </c>
      <c r="L225" s="1">
        <v>2.5333332479999999</v>
      </c>
      <c r="M225" s="1">
        <v>15.833332800000001</v>
      </c>
      <c r="N225" s="1" t="s">
        <v>27</v>
      </c>
      <c r="O225" s="1" t="s">
        <v>28</v>
      </c>
      <c r="P225" s="1">
        <v>98</v>
      </c>
      <c r="Q225" s="1">
        <v>138.18</v>
      </c>
      <c r="R225" s="1">
        <v>6.6639999999999997</v>
      </c>
      <c r="S225" s="1">
        <v>17.64</v>
      </c>
      <c r="T225" s="1">
        <v>2.0579999999999998</v>
      </c>
      <c r="U225" s="1" t="s">
        <v>37</v>
      </c>
      <c r="V225" s="1" t="s">
        <v>38</v>
      </c>
      <c r="W225" s="1">
        <v>31.666668000000001</v>
      </c>
      <c r="X225" s="1">
        <v>9.1833337200000003</v>
      </c>
      <c r="Y225" s="1">
        <v>6.3333336000000004E-2</v>
      </c>
      <c r="Z225" s="1">
        <v>2.090000088</v>
      </c>
      <c r="AA225" s="1">
        <v>0.47500002000000002</v>
      </c>
    </row>
    <row r="226" spans="1:34" ht="14.25" customHeight="1" x14ac:dyDescent="0.35">
      <c r="A226" s="1" t="s">
        <v>255</v>
      </c>
      <c r="B226" s="2">
        <f t="shared" si="15"/>
        <v>138.18</v>
      </c>
      <c r="C226" s="2">
        <f t="shared" si="16"/>
        <v>98</v>
      </c>
      <c r="D226" s="2">
        <f t="shared" si="17"/>
        <v>6.6639999999999997</v>
      </c>
      <c r="E226" s="2">
        <f t="shared" si="18"/>
        <v>17.64</v>
      </c>
      <c r="F226" s="2">
        <f t="shared" si="19"/>
        <v>2.0579999999999998</v>
      </c>
      <c r="G226" s="1" t="s">
        <v>27</v>
      </c>
      <c r="H226" s="1" t="s">
        <v>28</v>
      </c>
      <c r="I226" s="1">
        <v>98</v>
      </c>
      <c r="J226" s="1">
        <v>138.18</v>
      </c>
      <c r="K226" s="1">
        <v>6.6639999999999997</v>
      </c>
      <c r="L226" s="1">
        <v>17.64</v>
      </c>
      <c r="M226" s="1">
        <v>2.0579999999999998</v>
      </c>
    </row>
    <row r="227" spans="1:34" ht="14.25" customHeight="1" x14ac:dyDescent="0.35">
      <c r="A227" s="1" t="s">
        <v>384</v>
      </c>
      <c r="B227" s="2">
        <f t="shared" si="15"/>
        <v>227.12</v>
      </c>
      <c r="C227" s="2">
        <f t="shared" si="16"/>
        <v>334</v>
      </c>
      <c r="D227" s="2">
        <f t="shared" si="17"/>
        <v>4.6760000000000002</v>
      </c>
      <c r="E227" s="2">
        <f t="shared" si="18"/>
        <v>40.08</v>
      </c>
      <c r="F227" s="2">
        <f t="shared" si="19"/>
        <v>8.016</v>
      </c>
      <c r="G227" s="1" t="s">
        <v>92</v>
      </c>
      <c r="H227" s="1" t="s">
        <v>93</v>
      </c>
      <c r="I227" s="1">
        <v>334</v>
      </c>
      <c r="J227" s="1">
        <v>227.12</v>
      </c>
      <c r="K227" s="1">
        <v>4.6760000000000002</v>
      </c>
      <c r="L227" s="1">
        <v>40.08</v>
      </c>
      <c r="M227" s="1">
        <v>8.016</v>
      </c>
    </row>
    <row r="228" spans="1:34" ht="14.25" customHeight="1" x14ac:dyDescent="0.35">
      <c r="A228" s="1" t="s">
        <v>480</v>
      </c>
      <c r="B228" s="2">
        <f t="shared" si="15"/>
        <v>409.03</v>
      </c>
      <c r="C228" s="2">
        <f t="shared" si="16"/>
        <v>220</v>
      </c>
      <c r="D228" s="2">
        <f t="shared" si="17"/>
        <v>28.511000000000003</v>
      </c>
      <c r="E228" s="2">
        <f t="shared" si="18"/>
        <v>16.498000000000001</v>
      </c>
      <c r="F228" s="2">
        <f t="shared" si="19"/>
        <v>20.497</v>
      </c>
      <c r="G228" s="1" t="s">
        <v>30</v>
      </c>
      <c r="H228" s="1" t="s">
        <v>31</v>
      </c>
      <c r="I228" s="1">
        <v>103</v>
      </c>
      <c r="J228" s="1">
        <v>152.44</v>
      </c>
      <c r="K228" s="1">
        <v>11.33</v>
      </c>
      <c r="L228" s="1">
        <v>1.6479999999999999</v>
      </c>
      <c r="M228" s="1">
        <v>10.3</v>
      </c>
      <c r="N228" s="1" t="s">
        <v>49</v>
      </c>
      <c r="O228" s="1" t="s">
        <v>50</v>
      </c>
      <c r="P228" s="1">
        <v>45</v>
      </c>
      <c r="Q228" s="1">
        <v>155.07</v>
      </c>
      <c r="R228" s="1">
        <v>12.285</v>
      </c>
      <c r="S228" s="1">
        <v>1.89</v>
      </c>
      <c r="T228" s="1">
        <v>8.6850000000000005</v>
      </c>
      <c r="U228" s="1" t="s">
        <v>27</v>
      </c>
      <c r="V228" s="1" t="s">
        <v>28</v>
      </c>
      <c r="W228" s="1">
        <v>72</v>
      </c>
      <c r="X228" s="1">
        <v>101.52</v>
      </c>
      <c r="Y228" s="1">
        <v>4.8959999999999999</v>
      </c>
      <c r="Z228" s="1">
        <v>12.96</v>
      </c>
      <c r="AA228" s="1">
        <v>1.512</v>
      </c>
    </row>
    <row r="229" spans="1:34" ht="14.25" customHeight="1" x14ac:dyDescent="0.35">
      <c r="A229" s="1" t="s">
        <v>99</v>
      </c>
      <c r="B229" s="2">
        <f t="shared" si="15"/>
        <v>256.58999999999997</v>
      </c>
      <c r="C229" s="2">
        <f t="shared" si="16"/>
        <v>117</v>
      </c>
      <c r="D229" s="2">
        <f t="shared" si="17"/>
        <v>17.181000000000001</v>
      </c>
      <c r="E229" s="2">
        <f t="shared" si="18"/>
        <v>14.850000000000001</v>
      </c>
      <c r="F229" s="2">
        <f t="shared" si="19"/>
        <v>10.197000000000001</v>
      </c>
      <c r="G229" s="1" t="s">
        <v>49</v>
      </c>
      <c r="H229" s="1" t="s">
        <v>50</v>
      </c>
      <c r="I229" s="1">
        <v>45</v>
      </c>
      <c r="J229" s="1">
        <v>155.07</v>
      </c>
      <c r="K229" s="1">
        <v>12.285</v>
      </c>
      <c r="L229" s="1">
        <v>1.89</v>
      </c>
      <c r="M229" s="1">
        <v>8.6850000000000005</v>
      </c>
      <c r="N229" s="1" t="s">
        <v>27</v>
      </c>
      <c r="O229" s="1" t="s">
        <v>28</v>
      </c>
      <c r="P229" s="1">
        <v>72</v>
      </c>
      <c r="Q229" s="1">
        <v>101.52</v>
      </c>
      <c r="R229" s="1">
        <v>4.8959999999999999</v>
      </c>
      <c r="S229" s="1">
        <v>12.96</v>
      </c>
      <c r="T229" s="1">
        <v>1.512</v>
      </c>
    </row>
    <row r="230" spans="1:34" ht="14.25" customHeight="1" x14ac:dyDescent="0.35">
      <c r="A230" s="1" t="s">
        <v>539</v>
      </c>
      <c r="B230" s="2">
        <f t="shared" si="15"/>
        <v>155.07</v>
      </c>
      <c r="C230" s="2">
        <f t="shared" si="16"/>
        <v>45</v>
      </c>
      <c r="D230" s="2">
        <f t="shared" si="17"/>
        <v>12.285</v>
      </c>
      <c r="E230" s="2">
        <f t="shared" si="18"/>
        <v>1.89</v>
      </c>
      <c r="F230" s="2">
        <f t="shared" si="19"/>
        <v>8.6850000000000005</v>
      </c>
      <c r="G230" s="1" t="s">
        <v>49</v>
      </c>
      <c r="H230" s="1" t="s">
        <v>50</v>
      </c>
      <c r="I230" s="1">
        <v>45</v>
      </c>
      <c r="J230" s="1">
        <v>155.07</v>
      </c>
      <c r="K230" s="1">
        <v>12.285</v>
      </c>
      <c r="L230" s="1">
        <v>1.89</v>
      </c>
      <c r="M230" s="1">
        <v>8.6850000000000005</v>
      </c>
    </row>
    <row r="231" spans="1:34" ht="14.25" customHeight="1" x14ac:dyDescent="0.35">
      <c r="A231" s="1" t="s">
        <v>452</v>
      </c>
      <c r="B231" s="2">
        <f t="shared" si="15"/>
        <v>163.08999999999997</v>
      </c>
      <c r="C231" s="2">
        <f t="shared" si="16"/>
        <v>139</v>
      </c>
      <c r="D231" s="2">
        <f t="shared" si="17"/>
        <v>10.117000000000001</v>
      </c>
      <c r="E231" s="2">
        <f t="shared" si="18"/>
        <v>10.039999999999999</v>
      </c>
      <c r="F231" s="2">
        <f t="shared" si="19"/>
        <v>7.9589999999999996</v>
      </c>
      <c r="G231" s="1" t="s">
        <v>52</v>
      </c>
      <c r="H231" s="1" t="s">
        <v>53</v>
      </c>
      <c r="I231" s="1">
        <v>35</v>
      </c>
      <c r="J231" s="1">
        <v>11.55</v>
      </c>
      <c r="K231" s="1">
        <v>0.105</v>
      </c>
      <c r="L231" s="1">
        <v>2.8</v>
      </c>
      <c r="M231" s="1">
        <v>0.245</v>
      </c>
      <c r="N231" s="1" t="s">
        <v>30</v>
      </c>
      <c r="O231" s="1" t="s">
        <v>31</v>
      </c>
      <c r="P231" s="1">
        <v>70</v>
      </c>
      <c r="Q231" s="1">
        <v>103.6</v>
      </c>
      <c r="R231" s="1">
        <v>7.7</v>
      </c>
      <c r="S231" s="1">
        <v>1.1200000000000001</v>
      </c>
      <c r="T231" s="1">
        <v>7</v>
      </c>
      <c r="U231" s="1" t="s">
        <v>27</v>
      </c>
      <c r="V231" s="1" t="s">
        <v>28</v>
      </c>
      <c r="W231" s="1">
        <v>34</v>
      </c>
      <c r="X231" s="1">
        <v>47.94</v>
      </c>
      <c r="Y231" s="1">
        <v>2.3119999999999998</v>
      </c>
      <c r="Z231" s="1">
        <v>6.12</v>
      </c>
      <c r="AA231" s="1">
        <v>0.71399999999999997</v>
      </c>
    </row>
    <row r="232" spans="1:34" ht="14.25" customHeight="1" x14ac:dyDescent="0.35">
      <c r="A232" s="1" t="s">
        <v>137</v>
      </c>
      <c r="B232" s="2">
        <f t="shared" si="15"/>
        <v>151.54</v>
      </c>
      <c r="C232" s="2">
        <f t="shared" si="16"/>
        <v>104</v>
      </c>
      <c r="D232" s="2">
        <f t="shared" si="17"/>
        <v>10.012</v>
      </c>
      <c r="E232" s="2">
        <f t="shared" si="18"/>
        <v>7.24</v>
      </c>
      <c r="F232" s="2">
        <f t="shared" si="19"/>
        <v>7.7140000000000004</v>
      </c>
      <c r="G232" s="1" t="s">
        <v>30</v>
      </c>
      <c r="H232" s="1" t="s">
        <v>31</v>
      </c>
      <c r="I232" s="1">
        <v>70</v>
      </c>
      <c r="J232" s="1">
        <v>103.6</v>
      </c>
      <c r="K232" s="1">
        <v>7.7</v>
      </c>
      <c r="L232" s="1">
        <v>1.1200000000000001</v>
      </c>
      <c r="M232" s="1">
        <v>7</v>
      </c>
      <c r="N232" s="1" t="s">
        <v>27</v>
      </c>
      <c r="O232" s="1" t="s">
        <v>28</v>
      </c>
      <c r="P232" s="1">
        <v>34</v>
      </c>
      <c r="Q232" s="1">
        <v>47.94</v>
      </c>
      <c r="R232" s="1">
        <v>2.3119999999999998</v>
      </c>
      <c r="S232" s="1">
        <v>6.12</v>
      </c>
      <c r="T232" s="1">
        <v>0.71399999999999997</v>
      </c>
    </row>
    <row r="233" spans="1:34" ht="14.25" customHeight="1" x14ac:dyDescent="0.35">
      <c r="A233" s="1" t="s">
        <v>391</v>
      </c>
      <c r="B233" s="2">
        <f t="shared" si="15"/>
        <v>103.6</v>
      </c>
      <c r="C233" s="2">
        <f t="shared" si="16"/>
        <v>70</v>
      </c>
      <c r="D233" s="2">
        <f t="shared" si="17"/>
        <v>7.7</v>
      </c>
      <c r="E233" s="2">
        <f t="shared" si="18"/>
        <v>1.1200000000000001</v>
      </c>
      <c r="F233" s="2">
        <f t="shared" si="19"/>
        <v>7</v>
      </c>
      <c r="G233" s="1" t="s">
        <v>30</v>
      </c>
      <c r="H233" s="1" t="s">
        <v>31</v>
      </c>
      <c r="I233" s="1">
        <v>70</v>
      </c>
      <c r="J233" s="1">
        <v>103.6</v>
      </c>
      <c r="K233" s="1">
        <v>7.7</v>
      </c>
      <c r="L233" s="1">
        <v>1.1200000000000001</v>
      </c>
      <c r="M233" s="1">
        <v>7</v>
      </c>
    </row>
    <row r="234" spans="1:34" ht="14.25" customHeight="1" x14ac:dyDescent="0.35">
      <c r="A234" s="1" t="s">
        <v>406</v>
      </c>
      <c r="B234" s="2">
        <f t="shared" si="15"/>
        <v>605.17000000000007</v>
      </c>
      <c r="C234" s="2">
        <f t="shared" si="16"/>
        <v>351</v>
      </c>
      <c r="D234" s="2">
        <f t="shared" si="17"/>
        <v>41.052999999999997</v>
      </c>
      <c r="E234" s="2">
        <f t="shared" si="18"/>
        <v>17.93</v>
      </c>
      <c r="F234" s="2">
        <f t="shared" si="19"/>
        <v>37.791000000000004</v>
      </c>
      <c r="G234" s="1" t="s">
        <v>30</v>
      </c>
      <c r="H234" s="1" t="s">
        <v>31</v>
      </c>
      <c r="I234" s="1">
        <v>120</v>
      </c>
      <c r="J234" s="1">
        <v>177.6</v>
      </c>
      <c r="K234" s="1">
        <v>13.2</v>
      </c>
      <c r="L234" s="1">
        <v>1.92</v>
      </c>
      <c r="M234" s="1">
        <v>12</v>
      </c>
      <c r="N234" s="1" t="s">
        <v>49</v>
      </c>
      <c r="O234" s="1" t="s">
        <v>50</v>
      </c>
      <c r="P234" s="1">
        <v>85</v>
      </c>
      <c r="Q234" s="1">
        <v>292.91000000000003</v>
      </c>
      <c r="R234" s="1">
        <v>23.204999999999998</v>
      </c>
      <c r="S234" s="1">
        <v>3.57</v>
      </c>
      <c r="T234" s="1">
        <v>16.405000000000001</v>
      </c>
      <c r="U234" s="1" t="s">
        <v>35</v>
      </c>
      <c r="V234" s="1" t="s">
        <v>36</v>
      </c>
      <c r="W234" s="1">
        <v>80</v>
      </c>
      <c r="X234" s="1">
        <v>41.6</v>
      </c>
      <c r="Y234" s="1">
        <v>0.16</v>
      </c>
      <c r="Z234" s="1">
        <v>0.56000000000000005</v>
      </c>
      <c r="AA234" s="1">
        <v>8</v>
      </c>
      <c r="AB234" s="1" t="s">
        <v>27</v>
      </c>
      <c r="AC234" s="1" t="s">
        <v>28</v>
      </c>
      <c r="AD234" s="1">
        <v>66</v>
      </c>
      <c r="AE234" s="1">
        <v>93.06</v>
      </c>
      <c r="AF234" s="1">
        <v>4.4880000000000004</v>
      </c>
      <c r="AG234" s="1">
        <v>11.88</v>
      </c>
      <c r="AH234" s="1">
        <v>1.3859999999999999</v>
      </c>
    </row>
    <row r="235" spans="1:34" ht="14.25" customHeight="1" x14ac:dyDescent="0.35">
      <c r="A235" s="1" t="s">
        <v>421</v>
      </c>
      <c r="B235" s="2">
        <f t="shared" si="15"/>
        <v>427.57000000000005</v>
      </c>
      <c r="C235" s="2">
        <f t="shared" si="16"/>
        <v>231</v>
      </c>
      <c r="D235" s="2">
        <f t="shared" si="17"/>
        <v>27.852999999999998</v>
      </c>
      <c r="E235" s="2">
        <f t="shared" si="18"/>
        <v>16.010000000000002</v>
      </c>
      <c r="F235" s="2">
        <f t="shared" si="19"/>
        <v>25.791</v>
      </c>
      <c r="G235" s="1" t="s">
        <v>49</v>
      </c>
      <c r="H235" s="1" t="s">
        <v>50</v>
      </c>
      <c r="I235" s="1">
        <v>85</v>
      </c>
      <c r="J235" s="1">
        <v>292.91000000000003</v>
      </c>
      <c r="K235" s="1">
        <v>23.204999999999998</v>
      </c>
      <c r="L235" s="1">
        <v>3.57</v>
      </c>
      <c r="M235" s="1">
        <v>16.405000000000001</v>
      </c>
      <c r="N235" s="1" t="s">
        <v>35</v>
      </c>
      <c r="O235" s="1" t="s">
        <v>36</v>
      </c>
      <c r="P235" s="1">
        <v>80</v>
      </c>
      <c r="Q235" s="1">
        <v>41.6</v>
      </c>
      <c r="R235" s="1">
        <v>0.16</v>
      </c>
      <c r="S235" s="1">
        <v>0.56000000000000005</v>
      </c>
      <c r="T235" s="1">
        <v>8</v>
      </c>
      <c r="U235" s="1" t="s">
        <v>27</v>
      </c>
      <c r="V235" s="1" t="s">
        <v>28</v>
      </c>
      <c r="W235" s="1">
        <v>66</v>
      </c>
      <c r="X235" s="1">
        <v>93.06</v>
      </c>
      <c r="Y235" s="1">
        <v>4.4880000000000004</v>
      </c>
      <c r="Z235" s="1">
        <v>11.88</v>
      </c>
      <c r="AA235" s="1">
        <v>1.3859999999999999</v>
      </c>
    </row>
    <row r="236" spans="1:34" ht="14.25" customHeight="1" x14ac:dyDescent="0.35">
      <c r="A236" s="1" t="s">
        <v>469</v>
      </c>
      <c r="B236" s="2">
        <f t="shared" si="15"/>
        <v>385.97</v>
      </c>
      <c r="C236" s="2">
        <f t="shared" si="16"/>
        <v>151</v>
      </c>
      <c r="D236" s="2">
        <f t="shared" si="17"/>
        <v>27.692999999999998</v>
      </c>
      <c r="E236" s="2">
        <f t="shared" si="18"/>
        <v>15.450000000000001</v>
      </c>
      <c r="F236" s="2">
        <f t="shared" si="19"/>
        <v>17.791</v>
      </c>
      <c r="G236" s="1" t="s">
        <v>49</v>
      </c>
      <c r="H236" s="1" t="s">
        <v>50</v>
      </c>
      <c r="I236" s="1">
        <v>85</v>
      </c>
      <c r="J236" s="1">
        <v>292.91000000000003</v>
      </c>
      <c r="K236" s="1">
        <v>23.204999999999998</v>
      </c>
      <c r="L236" s="1">
        <v>3.57</v>
      </c>
      <c r="M236" s="1">
        <v>16.405000000000001</v>
      </c>
      <c r="N236" s="1" t="s">
        <v>27</v>
      </c>
      <c r="O236" s="1" t="s">
        <v>28</v>
      </c>
      <c r="P236" s="1">
        <v>66</v>
      </c>
      <c r="Q236" s="1">
        <v>93.06</v>
      </c>
      <c r="R236" s="1">
        <v>4.4880000000000004</v>
      </c>
      <c r="S236" s="1">
        <v>11.88</v>
      </c>
      <c r="T236" s="1">
        <v>1.3859999999999999</v>
      </c>
    </row>
    <row r="237" spans="1:34" ht="14.25" customHeight="1" x14ac:dyDescent="0.35">
      <c r="A237" s="1" t="s">
        <v>26</v>
      </c>
      <c r="B237" s="2">
        <f t="shared" si="15"/>
        <v>93.06</v>
      </c>
      <c r="C237" s="2">
        <f t="shared" si="16"/>
        <v>66</v>
      </c>
      <c r="D237" s="2">
        <f t="shared" si="17"/>
        <v>4.4880000000000004</v>
      </c>
      <c r="E237" s="2">
        <f t="shared" si="18"/>
        <v>11.88</v>
      </c>
      <c r="F237" s="2">
        <f t="shared" si="19"/>
        <v>1.3859999999999999</v>
      </c>
      <c r="G237" s="1" t="s">
        <v>27</v>
      </c>
      <c r="H237" s="1" t="s">
        <v>28</v>
      </c>
      <c r="I237" s="1">
        <v>66</v>
      </c>
      <c r="J237" s="1">
        <v>93.06</v>
      </c>
      <c r="K237" s="1">
        <v>4.4880000000000004</v>
      </c>
      <c r="L237" s="1">
        <v>11.88</v>
      </c>
      <c r="M237" s="1">
        <v>1.3859999999999999</v>
      </c>
    </row>
    <row r="238" spans="1:34" ht="14.25" customHeight="1" x14ac:dyDescent="0.35">
      <c r="A238" s="1" t="s">
        <v>344</v>
      </c>
      <c r="B238" s="2">
        <f t="shared" si="15"/>
        <v>292.75232855999997</v>
      </c>
      <c r="C238" s="2">
        <f t="shared" si="16"/>
        <v>336.99999200000002</v>
      </c>
      <c r="D238" s="2">
        <f t="shared" si="17"/>
        <v>12.597999984000001</v>
      </c>
      <c r="E238" s="2">
        <f t="shared" si="18"/>
        <v>6.7801667680000008</v>
      </c>
      <c r="F238" s="2">
        <f t="shared" si="19"/>
        <v>33.641165640000004</v>
      </c>
      <c r="G238" s="1" t="s">
        <v>49</v>
      </c>
      <c r="H238" s="1" t="s">
        <v>50</v>
      </c>
      <c r="I238" s="1">
        <v>44</v>
      </c>
      <c r="J238" s="1">
        <v>151.624</v>
      </c>
      <c r="K238" s="1">
        <v>12.012</v>
      </c>
      <c r="L238" s="1">
        <v>1.8480000000000001</v>
      </c>
      <c r="M238" s="1">
        <v>8.4920000000000009</v>
      </c>
      <c r="N238" s="1" t="s">
        <v>35</v>
      </c>
      <c r="O238" s="1" t="s">
        <v>36</v>
      </c>
      <c r="P238" s="1">
        <v>244.16665599999999</v>
      </c>
      <c r="Q238" s="1">
        <v>126.96666112</v>
      </c>
      <c r="R238" s="1">
        <v>0.48833331200000002</v>
      </c>
      <c r="S238" s="1">
        <v>1.7091665920000001</v>
      </c>
      <c r="T238" s="1">
        <v>24.416665600000002</v>
      </c>
      <c r="U238" s="1" t="s">
        <v>37</v>
      </c>
      <c r="V238" s="1" t="s">
        <v>38</v>
      </c>
      <c r="W238" s="1">
        <v>48.833336000000003</v>
      </c>
      <c r="X238" s="1">
        <v>14.16166744</v>
      </c>
      <c r="Y238" s="1">
        <v>9.7666671999999996E-2</v>
      </c>
      <c r="Z238" s="1">
        <v>3.2230001760000002</v>
      </c>
      <c r="AA238" s="1">
        <v>0.73250004000000002</v>
      </c>
    </row>
    <row r="239" spans="1:34" ht="14.25" customHeight="1" x14ac:dyDescent="0.35">
      <c r="A239" s="1" t="s">
        <v>67</v>
      </c>
      <c r="B239" s="2">
        <f t="shared" si="15"/>
        <v>151.624</v>
      </c>
      <c r="C239" s="2">
        <f t="shared" si="16"/>
        <v>44</v>
      </c>
      <c r="D239" s="2">
        <f t="shared" si="17"/>
        <v>12.012</v>
      </c>
      <c r="E239" s="2">
        <f t="shared" si="18"/>
        <v>1.8480000000000001</v>
      </c>
      <c r="F239" s="2">
        <f t="shared" si="19"/>
        <v>8.4920000000000009</v>
      </c>
      <c r="G239" s="1" t="s">
        <v>49</v>
      </c>
      <c r="H239" s="1" t="s">
        <v>50</v>
      </c>
      <c r="I239" s="1">
        <v>44</v>
      </c>
      <c r="J239" s="1">
        <v>151.624</v>
      </c>
      <c r="K239" s="1">
        <v>12.012</v>
      </c>
      <c r="L239" s="1">
        <v>1.8480000000000001</v>
      </c>
      <c r="M239" s="1">
        <v>8.4920000000000009</v>
      </c>
    </row>
  </sheetData>
  <sortState ref="A1:EQ239">
    <sortCondition descending="1" ref="A1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Foglio1!dish_metadata_cafe2_1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Rachele Bianco</cp:lastModifiedBy>
  <dcterms:created xsi:type="dcterms:W3CDTF">2015-06-05T18:19:34Z</dcterms:created>
  <dcterms:modified xsi:type="dcterms:W3CDTF">2025-03-04T19:53:28Z</dcterms:modified>
</cp:coreProperties>
</file>