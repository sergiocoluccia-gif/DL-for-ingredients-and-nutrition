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oglio1" sheetId="1" r:id="rId1"/>
  </sheets>
  <definedNames>
    <definedName name="dish_metadata_cafe2_1" localSheetId="0">Foglio1!$A$2:$EW$239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1" i="1" l="1"/>
  <c r="E211" i="1"/>
  <c r="D211" i="1"/>
  <c r="C211" i="1"/>
  <c r="B211" i="1"/>
  <c r="F210" i="1"/>
  <c r="E210" i="1"/>
  <c r="D210" i="1"/>
  <c r="C210" i="1"/>
  <c r="B210" i="1"/>
  <c r="F209" i="1"/>
  <c r="E209" i="1"/>
  <c r="D209" i="1"/>
  <c r="C209" i="1"/>
  <c r="B209" i="1"/>
  <c r="F208" i="1"/>
  <c r="E208" i="1"/>
  <c r="D208" i="1"/>
  <c r="C208" i="1"/>
  <c r="B208" i="1"/>
  <c r="F207" i="1"/>
  <c r="E207" i="1"/>
  <c r="D207" i="1"/>
  <c r="C207" i="1"/>
  <c r="B207" i="1"/>
  <c r="F206" i="1"/>
  <c r="E206" i="1"/>
  <c r="D206" i="1"/>
  <c r="C206" i="1"/>
  <c r="B206" i="1"/>
  <c r="F205" i="1"/>
  <c r="E205" i="1"/>
  <c r="D205" i="1"/>
  <c r="C205" i="1"/>
  <c r="B205" i="1"/>
  <c r="F204" i="1"/>
  <c r="E204" i="1"/>
  <c r="D204" i="1"/>
  <c r="C204" i="1"/>
  <c r="B204" i="1"/>
  <c r="F203" i="1"/>
  <c r="E203" i="1"/>
  <c r="D203" i="1"/>
  <c r="C203" i="1"/>
  <c r="B203" i="1"/>
  <c r="F202" i="1"/>
  <c r="E202" i="1"/>
  <c r="D202" i="1"/>
  <c r="C202" i="1"/>
  <c r="B202" i="1"/>
  <c r="F201" i="1"/>
  <c r="E201" i="1"/>
  <c r="D201" i="1"/>
  <c r="C201" i="1"/>
  <c r="B201" i="1"/>
  <c r="F200" i="1"/>
  <c r="E200" i="1"/>
  <c r="D200" i="1"/>
  <c r="C200" i="1"/>
  <c r="B200" i="1"/>
  <c r="F199" i="1"/>
  <c r="E199" i="1"/>
  <c r="D199" i="1"/>
  <c r="C199" i="1"/>
  <c r="B199" i="1"/>
  <c r="F198" i="1"/>
  <c r="E198" i="1"/>
  <c r="D198" i="1"/>
  <c r="C198" i="1"/>
  <c r="B198" i="1"/>
  <c r="F197" i="1"/>
  <c r="E197" i="1"/>
  <c r="D197" i="1"/>
  <c r="C197" i="1"/>
  <c r="B197" i="1"/>
  <c r="F196" i="1"/>
  <c r="E196" i="1"/>
  <c r="D196" i="1"/>
  <c r="C196" i="1"/>
  <c r="B196" i="1"/>
  <c r="F195" i="1"/>
  <c r="E195" i="1"/>
  <c r="D195" i="1"/>
  <c r="C195" i="1"/>
  <c r="B195" i="1"/>
  <c r="F194" i="1"/>
  <c r="E194" i="1"/>
  <c r="D194" i="1"/>
  <c r="C194" i="1"/>
  <c r="B194" i="1"/>
  <c r="F193" i="1"/>
  <c r="E193" i="1"/>
  <c r="D193" i="1"/>
  <c r="C193" i="1"/>
  <c r="B193" i="1"/>
  <c r="F192" i="1"/>
  <c r="E192" i="1"/>
  <c r="D192" i="1"/>
  <c r="C192" i="1"/>
  <c r="B192" i="1"/>
  <c r="F191" i="1"/>
  <c r="E191" i="1"/>
  <c r="D191" i="1"/>
  <c r="C191" i="1"/>
  <c r="B191" i="1"/>
  <c r="F190" i="1"/>
  <c r="E190" i="1"/>
  <c r="D190" i="1"/>
  <c r="C190" i="1"/>
  <c r="B190" i="1"/>
  <c r="F189" i="1"/>
  <c r="E189" i="1"/>
  <c r="D189" i="1"/>
  <c r="C189" i="1"/>
  <c r="B189" i="1"/>
  <c r="F188" i="1"/>
  <c r="E188" i="1"/>
  <c r="D188" i="1"/>
  <c r="C188" i="1"/>
  <c r="B188" i="1"/>
  <c r="F187" i="1"/>
  <c r="E187" i="1"/>
  <c r="D187" i="1"/>
  <c r="C187" i="1"/>
  <c r="B187" i="1"/>
  <c r="F186" i="1"/>
  <c r="E186" i="1"/>
  <c r="D186" i="1"/>
  <c r="C186" i="1"/>
  <c r="B186" i="1"/>
  <c r="F185" i="1"/>
  <c r="E185" i="1"/>
  <c r="D185" i="1"/>
  <c r="C185" i="1"/>
  <c r="B185" i="1"/>
  <c r="F184" i="1"/>
  <c r="E184" i="1"/>
  <c r="D184" i="1"/>
  <c r="C184" i="1"/>
  <c r="B184" i="1"/>
  <c r="F183" i="1"/>
  <c r="E183" i="1"/>
  <c r="D183" i="1"/>
  <c r="C183" i="1"/>
  <c r="B183" i="1"/>
  <c r="F182" i="1"/>
  <c r="E182" i="1"/>
  <c r="D182" i="1"/>
  <c r="C182" i="1"/>
  <c r="B182" i="1"/>
  <c r="F181" i="1"/>
  <c r="E181" i="1"/>
  <c r="D181" i="1"/>
  <c r="C181" i="1"/>
  <c r="B181" i="1"/>
  <c r="F180" i="1"/>
  <c r="E180" i="1"/>
  <c r="D180" i="1"/>
  <c r="C180" i="1"/>
  <c r="B180" i="1"/>
  <c r="F179" i="1"/>
  <c r="E179" i="1"/>
  <c r="D179" i="1"/>
  <c r="C179" i="1"/>
  <c r="B179" i="1"/>
  <c r="F178" i="1"/>
  <c r="E178" i="1"/>
  <c r="D178" i="1"/>
  <c r="C178" i="1"/>
  <c r="B178" i="1"/>
  <c r="F177" i="1"/>
  <c r="E177" i="1"/>
  <c r="D177" i="1"/>
  <c r="C177" i="1"/>
  <c r="B177" i="1"/>
  <c r="F176" i="1"/>
  <c r="E176" i="1"/>
  <c r="D176" i="1"/>
  <c r="C176" i="1"/>
  <c r="B176" i="1"/>
  <c r="F175" i="1"/>
  <c r="E175" i="1"/>
  <c r="D175" i="1"/>
  <c r="C175" i="1"/>
  <c r="B175" i="1"/>
  <c r="F174" i="1"/>
  <c r="E174" i="1"/>
  <c r="D174" i="1"/>
  <c r="C174" i="1"/>
  <c r="B174" i="1"/>
  <c r="F173" i="1"/>
  <c r="E173" i="1"/>
  <c r="D173" i="1"/>
  <c r="C173" i="1"/>
  <c r="B173" i="1"/>
  <c r="F172" i="1"/>
  <c r="E172" i="1"/>
  <c r="D172" i="1"/>
  <c r="C172" i="1"/>
  <c r="B172" i="1"/>
  <c r="F171" i="1"/>
  <c r="E171" i="1"/>
  <c r="D171" i="1"/>
  <c r="C171" i="1"/>
  <c r="B171" i="1"/>
  <c r="F170" i="1"/>
  <c r="E170" i="1"/>
  <c r="D170" i="1"/>
  <c r="C170" i="1"/>
  <c r="B170" i="1"/>
  <c r="F169" i="1"/>
  <c r="E169" i="1"/>
  <c r="D169" i="1"/>
  <c r="C169" i="1"/>
  <c r="B169" i="1"/>
  <c r="F168" i="1"/>
  <c r="E168" i="1"/>
  <c r="D168" i="1"/>
  <c r="C168" i="1"/>
  <c r="B168" i="1"/>
  <c r="F167" i="1"/>
  <c r="E167" i="1"/>
  <c r="D167" i="1"/>
  <c r="C167" i="1"/>
  <c r="B167" i="1"/>
  <c r="F166" i="1"/>
  <c r="E166" i="1"/>
  <c r="D166" i="1"/>
  <c r="C166" i="1"/>
  <c r="B166" i="1"/>
  <c r="F165" i="1"/>
  <c r="E165" i="1"/>
  <c r="D165" i="1"/>
  <c r="C165" i="1"/>
  <c r="B165" i="1"/>
  <c r="F164" i="1"/>
  <c r="E164" i="1"/>
  <c r="D164" i="1"/>
  <c r="C164" i="1"/>
  <c r="B164" i="1"/>
  <c r="F163" i="1"/>
  <c r="E163" i="1"/>
  <c r="D163" i="1"/>
  <c r="C163" i="1"/>
  <c r="B163" i="1"/>
  <c r="F162" i="1"/>
  <c r="E162" i="1"/>
  <c r="D162" i="1"/>
  <c r="C162" i="1"/>
  <c r="B162" i="1"/>
  <c r="F161" i="1"/>
  <c r="E161" i="1"/>
  <c r="D161" i="1"/>
  <c r="C161" i="1"/>
  <c r="B161" i="1"/>
  <c r="F160" i="1"/>
  <c r="E160" i="1"/>
  <c r="D160" i="1"/>
  <c r="C160" i="1"/>
  <c r="B160" i="1"/>
  <c r="F159" i="1"/>
  <c r="E159" i="1"/>
  <c r="D159" i="1"/>
  <c r="C159" i="1"/>
  <c r="B159" i="1"/>
  <c r="F158" i="1"/>
  <c r="E158" i="1"/>
  <c r="D158" i="1"/>
  <c r="C158" i="1"/>
  <c r="B158" i="1"/>
  <c r="F157" i="1"/>
  <c r="E157" i="1"/>
  <c r="D157" i="1"/>
  <c r="C157" i="1"/>
  <c r="B157" i="1"/>
  <c r="F156" i="1"/>
  <c r="E156" i="1"/>
  <c r="D156" i="1"/>
  <c r="C156" i="1"/>
  <c r="B156" i="1"/>
  <c r="F155" i="1"/>
  <c r="E155" i="1"/>
  <c r="D155" i="1"/>
  <c r="C155" i="1"/>
  <c r="B155" i="1"/>
  <c r="F154" i="1"/>
  <c r="E154" i="1"/>
  <c r="D154" i="1"/>
  <c r="C154" i="1"/>
  <c r="B154" i="1"/>
  <c r="F153" i="1"/>
  <c r="E153" i="1"/>
  <c r="D153" i="1"/>
  <c r="C153" i="1"/>
  <c r="B153" i="1"/>
  <c r="F152" i="1"/>
  <c r="E152" i="1"/>
  <c r="D152" i="1"/>
  <c r="C152" i="1"/>
  <c r="B152" i="1"/>
  <c r="F151" i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E142" i="1"/>
  <c r="D142" i="1"/>
  <c r="C142" i="1"/>
  <c r="B142" i="1"/>
  <c r="F141" i="1"/>
  <c r="E141" i="1"/>
  <c r="D141" i="1"/>
  <c r="C141" i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E115" i="1"/>
  <c r="D115" i="1"/>
  <c r="C115" i="1"/>
  <c r="B115" i="1"/>
  <c r="F114" i="1"/>
  <c r="E114" i="1"/>
  <c r="D114" i="1"/>
  <c r="C114" i="1"/>
  <c r="B114" i="1"/>
  <c r="F113" i="1"/>
  <c r="E113" i="1"/>
  <c r="D113" i="1"/>
  <c r="C113" i="1"/>
  <c r="B113" i="1"/>
  <c r="F112" i="1"/>
  <c r="E112" i="1"/>
  <c r="D112" i="1"/>
  <c r="C112" i="1"/>
  <c r="B112" i="1"/>
  <c r="F111" i="1"/>
  <c r="E111" i="1"/>
  <c r="D111" i="1"/>
  <c r="C111" i="1"/>
  <c r="B111" i="1"/>
  <c r="F110" i="1"/>
  <c r="E110" i="1"/>
  <c r="D110" i="1"/>
  <c r="C110" i="1"/>
  <c r="B110" i="1"/>
  <c r="F109" i="1"/>
  <c r="E109" i="1"/>
  <c r="D109" i="1"/>
  <c r="C109" i="1"/>
  <c r="B109" i="1"/>
  <c r="F108" i="1"/>
  <c r="E108" i="1"/>
  <c r="D108" i="1"/>
  <c r="C108" i="1"/>
  <c r="B108" i="1"/>
  <c r="F107" i="1"/>
  <c r="E107" i="1"/>
  <c r="D107" i="1"/>
  <c r="C107" i="1"/>
  <c r="B107" i="1"/>
  <c r="F106" i="1"/>
  <c r="E106" i="1"/>
  <c r="D106" i="1"/>
  <c r="C106" i="1"/>
  <c r="B106" i="1"/>
  <c r="F105" i="1"/>
  <c r="E105" i="1"/>
  <c r="D105" i="1"/>
  <c r="C105" i="1"/>
  <c r="B105" i="1"/>
  <c r="F104" i="1"/>
  <c r="E104" i="1"/>
  <c r="D104" i="1"/>
  <c r="C104" i="1"/>
  <c r="B104" i="1"/>
  <c r="F103" i="1"/>
  <c r="E103" i="1"/>
  <c r="D103" i="1"/>
  <c r="C103" i="1"/>
  <c r="B103" i="1"/>
  <c r="F102" i="1"/>
  <c r="E102" i="1"/>
  <c r="D102" i="1"/>
  <c r="C102" i="1"/>
  <c r="B102" i="1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F239" i="1"/>
  <c r="E239" i="1"/>
  <c r="D239" i="1"/>
  <c r="C239" i="1"/>
  <c r="B239" i="1"/>
  <c r="F238" i="1"/>
  <c r="E238" i="1"/>
  <c r="D238" i="1"/>
  <c r="C238" i="1"/>
  <c r="B238" i="1"/>
  <c r="F237" i="1"/>
  <c r="E237" i="1"/>
  <c r="D237" i="1"/>
  <c r="C237" i="1"/>
  <c r="B237" i="1"/>
  <c r="F236" i="1"/>
  <c r="E236" i="1"/>
  <c r="D236" i="1"/>
  <c r="C236" i="1"/>
  <c r="B236" i="1"/>
  <c r="F235" i="1"/>
  <c r="E235" i="1"/>
  <c r="D235" i="1"/>
  <c r="C235" i="1"/>
  <c r="B235" i="1"/>
  <c r="F234" i="1"/>
  <c r="E234" i="1"/>
  <c r="D234" i="1"/>
  <c r="C234" i="1"/>
  <c r="B234" i="1"/>
  <c r="F233" i="1"/>
  <c r="E233" i="1"/>
  <c r="D233" i="1"/>
  <c r="C233" i="1"/>
  <c r="B233" i="1"/>
  <c r="F232" i="1"/>
  <c r="E232" i="1"/>
  <c r="D232" i="1"/>
  <c r="C232" i="1"/>
  <c r="B232" i="1"/>
  <c r="F231" i="1"/>
  <c r="E231" i="1"/>
  <c r="D231" i="1"/>
  <c r="C231" i="1"/>
  <c r="B231" i="1"/>
  <c r="F230" i="1"/>
  <c r="E230" i="1"/>
  <c r="D230" i="1"/>
  <c r="C230" i="1"/>
  <c r="B230" i="1"/>
  <c r="F229" i="1"/>
  <c r="E229" i="1"/>
  <c r="D229" i="1"/>
  <c r="C229" i="1"/>
  <c r="B229" i="1"/>
  <c r="F228" i="1"/>
  <c r="E228" i="1"/>
  <c r="D228" i="1"/>
  <c r="C228" i="1"/>
  <c r="B228" i="1"/>
  <c r="F227" i="1"/>
  <c r="E227" i="1"/>
  <c r="D227" i="1"/>
  <c r="C227" i="1"/>
  <c r="B227" i="1"/>
  <c r="F226" i="1"/>
  <c r="E226" i="1"/>
  <c r="D226" i="1"/>
  <c r="C226" i="1"/>
  <c r="B226" i="1"/>
  <c r="F225" i="1"/>
  <c r="E225" i="1"/>
  <c r="D225" i="1"/>
  <c r="C225" i="1"/>
  <c r="B225" i="1"/>
  <c r="F224" i="1"/>
  <c r="E224" i="1"/>
  <c r="D224" i="1"/>
  <c r="C224" i="1"/>
  <c r="B224" i="1"/>
  <c r="F223" i="1"/>
  <c r="E223" i="1"/>
  <c r="D223" i="1"/>
  <c r="C223" i="1"/>
  <c r="B223" i="1"/>
  <c r="F222" i="1"/>
  <c r="E222" i="1"/>
  <c r="D222" i="1"/>
  <c r="C222" i="1"/>
  <c r="B222" i="1"/>
  <c r="F221" i="1"/>
  <c r="E221" i="1"/>
  <c r="D221" i="1"/>
  <c r="C221" i="1"/>
  <c r="B221" i="1"/>
  <c r="F220" i="1"/>
  <c r="E220" i="1"/>
  <c r="D220" i="1"/>
  <c r="C220" i="1"/>
  <c r="B220" i="1"/>
  <c r="F219" i="1"/>
  <c r="E219" i="1"/>
  <c r="D219" i="1"/>
  <c r="C219" i="1"/>
  <c r="B219" i="1"/>
  <c r="F218" i="1"/>
  <c r="E218" i="1"/>
  <c r="D218" i="1"/>
  <c r="C218" i="1"/>
  <c r="B218" i="1"/>
  <c r="F217" i="1"/>
  <c r="E217" i="1"/>
  <c r="D217" i="1"/>
  <c r="C217" i="1"/>
  <c r="B217" i="1"/>
  <c r="F216" i="1"/>
  <c r="E216" i="1"/>
  <c r="D216" i="1"/>
  <c r="C216" i="1"/>
  <c r="B216" i="1"/>
  <c r="F215" i="1"/>
  <c r="E215" i="1"/>
  <c r="D215" i="1"/>
  <c r="C215" i="1"/>
  <c r="B215" i="1"/>
  <c r="F214" i="1"/>
  <c r="E214" i="1"/>
  <c r="D214" i="1"/>
  <c r="C214" i="1"/>
  <c r="B214" i="1"/>
  <c r="F213" i="1"/>
  <c r="E213" i="1"/>
  <c r="D213" i="1"/>
  <c r="C213" i="1"/>
  <c r="B213" i="1"/>
  <c r="F212" i="1"/>
  <c r="E212" i="1"/>
  <c r="D212" i="1"/>
  <c r="C212" i="1"/>
  <c r="B212" i="1"/>
</calcChain>
</file>

<file path=xl/connections.xml><?xml version="1.0" encoding="utf-8"?>
<connections xmlns="http://schemas.openxmlformats.org/spreadsheetml/2006/main">
  <connection id="1" name="dish_metadata_cafe2" type="6" refreshedVersion="6" background="1" saveData="1">
    <textPr codePage="850" sourceFile="C:\Users\recy_\Dropbox\Reportino\File_iniziali_Nutrition5k\metadata_N5k\dish_metadata_cafe2.csv" comma="1">
      <textFields count="6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<sst xmlns="http://schemas.openxmlformats.org/spreadsheetml/2006/main" count="2626" uniqueCount="553">
  <si>
    <t>dish_1572974428</t>
  </si>
  <si>
    <t>ingr_0000000032</t>
  </si>
  <si>
    <t>tomatoes</t>
  </si>
  <si>
    <t>ingr_0000000042</t>
  </si>
  <si>
    <t>avocado</t>
  </si>
  <si>
    <t>ingr_0000000098</t>
  </si>
  <si>
    <t>multigrain bread</t>
  </si>
  <si>
    <t>ingr_0000000161</t>
  </si>
  <si>
    <t>olive oil</t>
  </si>
  <si>
    <t>ingr_0000000281</t>
  </si>
  <si>
    <t>edamame</t>
  </si>
  <si>
    <t>ingr_0000000291</t>
  </si>
  <si>
    <t>salt</t>
  </si>
  <si>
    <t>ingr_0000000364</t>
  </si>
  <si>
    <t>sunflower seeds</t>
  </si>
  <si>
    <t>ingr_0000000531</t>
  </si>
  <si>
    <t>pumpkin seeds</t>
  </si>
  <si>
    <t>dish_1572464692</t>
  </si>
  <si>
    <t>ingr_0000000442</t>
  </si>
  <si>
    <t>hummus</t>
  </si>
  <si>
    <t>dish_1571931594</t>
  </si>
  <si>
    <t>ingr_0000000433</t>
  </si>
  <si>
    <t>roasted potatoes</t>
  </si>
  <si>
    <t>dish_1575478635</t>
  </si>
  <si>
    <t>ingr_0000000008</t>
  </si>
  <si>
    <t>scrambled eggs</t>
  </si>
  <si>
    <t>dish_1572887017</t>
  </si>
  <si>
    <t>ingr_0000000015</t>
  </si>
  <si>
    <t>hash browns</t>
  </si>
  <si>
    <t>ingr_0000000128</t>
  </si>
  <si>
    <t>egg whites</t>
  </si>
  <si>
    <t>ingr_0000000475</t>
  </si>
  <si>
    <t>salsa</t>
  </si>
  <si>
    <t>dish_1572984706</t>
  </si>
  <si>
    <t>ingr_0000000007</t>
  </si>
  <si>
    <t>cauliflower</t>
  </si>
  <si>
    <t>ingr_0000000448</t>
  </si>
  <si>
    <t>jalapenos</t>
  </si>
  <si>
    <t>ingr_0000000527</t>
  </si>
  <si>
    <t>chive</t>
  </si>
  <si>
    <t>dish_1572453726</t>
  </si>
  <si>
    <t>ingr_0000000027</t>
  </si>
  <si>
    <t>broccoli</t>
  </si>
  <si>
    <t>ingr_0000000039</t>
  </si>
  <si>
    <t>sausage</t>
  </si>
  <si>
    <t>dish_1572540238</t>
  </si>
  <si>
    <t>ingr_0000000002</t>
  </si>
  <si>
    <t>strawberries</t>
  </si>
  <si>
    <t>dish_1573762622</t>
  </si>
  <si>
    <t>ingr_0000000076</t>
  </si>
  <si>
    <t>brisket</t>
  </si>
  <si>
    <t>ingr_0000000243</t>
  </si>
  <si>
    <t>mozzarella cheese</t>
  </si>
  <si>
    <t>ingr_0000000254</t>
  </si>
  <si>
    <t>mashed potatoes</t>
  </si>
  <si>
    <t>ingr_0000000441</t>
  </si>
  <si>
    <t>butter</t>
  </si>
  <si>
    <t>ingr_0000000521</t>
  </si>
  <si>
    <t>basil</t>
  </si>
  <si>
    <t>ingr_0000000549</t>
  </si>
  <si>
    <t>ingr_0000000551</t>
  </si>
  <si>
    <t>dish_1571931457</t>
  </si>
  <si>
    <t>dish_1573232499</t>
  </si>
  <si>
    <t>ingr_0000000004</t>
  </si>
  <si>
    <t>bacon</t>
  </si>
  <si>
    <t>ingr_0000000194</t>
  </si>
  <si>
    <t>fried rice</t>
  </si>
  <si>
    <t>dish_1574702473</t>
  </si>
  <si>
    <t>dish_1575664962</t>
  </si>
  <si>
    <t>ingr_0000000049</t>
  </si>
  <si>
    <t>fish</t>
  </si>
  <si>
    <t>ingr_0000000122</t>
  </si>
  <si>
    <t>garlic</t>
  </si>
  <si>
    <t>ingr_0000000133</t>
  </si>
  <si>
    <t>shallots</t>
  </si>
  <si>
    <t>ingr_0000000471</t>
  </si>
  <si>
    <t>cherry tomatoes</t>
  </si>
  <si>
    <t>ingr_0000000514</t>
  </si>
  <si>
    <t>wheat berry</t>
  </si>
  <si>
    <t>ingr_0000000517</t>
  </si>
  <si>
    <t>chard</t>
  </si>
  <si>
    <t>ingr_0000000520</t>
  </si>
  <si>
    <t>lemon juice</t>
  </si>
  <si>
    <t>ingr_0000000524</t>
  </si>
  <si>
    <t>parsley</t>
  </si>
  <si>
    <t>dish_1571935895</t>
  </si>
  <si>
    <t>ingr_0000000059</t>
  </si>
  <si>
    <t>oatmeal</t>
  </si>
  <si>
    <t>dish_1571946018</t>
  </si>
  <si>
    <t>ingr_0000000094</t>
  </si>
  <si>
    <t>onions</t>
  </si>
  <si>
    <t>ingr_0000000335</t>
  </si>
  <si>
    <t>eggplant</t>
  </si>
  <si>
    <t>dish_1571932375</t>
  </si>
  <si>
    <t>dish_1572889151</t>
  </si>
  <si>
    <t>ingr_0000000545</t>
  </si>
  <si>
    <t>greek yogurt</t>
  </si>
  <si>
    <t>dish_1573233271</t>
  </si>
  <si>
    <t>ingr_0000000279</t>
  </si>
  <si>
    <t>omelets</t>
  </si>
  <si>
    <t>dish_1572453701</t>
  </si>
  <si>
    <t>dish_1572291671</t>
  </si>
  <si>
    <t>ingr_0000000028</t>
  </si>
  <si>
    <t>chicken</t>
  </si>
  <si>
    <t>ingr_0000000033</t>
  </si>
  <si>
    <t>bell peppers</t>
  </si>
  <si>
    <t>ingr_0000000036</t>
  </si>
  <si>
    <t>spinach (raw)</t>
  </si>
  <si>
    <t>ingr_0000000312</t>
  </si>
  <si>
    <t>pepper</t>
  </si>
  <si>
    <t>ingr_0000000513</t>
  </si>
  <si>
    <t>millet</t>
  </si>
  <si>
    <t>dish_1573072410</t>
  </si>
  <si>
    <t>ingr_0000000456</t>
  </si>
  <si>
    <t>barley</t>
  </si>
  <si>
    <t>dish_1572540876</t>
  </si>
  <si>
    <t>dish_1572464738</t>
  </si>
  <si>
    <t>ingr_0000000050</t>
  </si>
  <si>
    <t>tofu</t>
  </si>
  <si>
    <t>dish_1571945939</t>
  </si>
  <si>
    <t>ingr_0000000034</t>
  </si>
  <si>
    <t>celery</t>
  </si>
  <si>
    <t>ingr_0000000051</t>
  </si>
  <si>
    <t>shrimp</t>
  </si>
  <si>
    <t>ingr_0000000116</t>
  </si>
  <si>
    <t>mayonnaise</t>
  </si>
  <si>
    <t>ingr_0000000314</t>
  </si>
  <si>
    <t>sourdough bread</t>
  </si>
  <si>
    <t>dish_1573243053</t>
  </si>
  <si>
    <t>ingr_0000000371</t>
  </si>
  <si>
    <t>dumplings</t>
  </si>
  <si>
    <t>dish_1571931782</t>
  </si>
  <si>
    <t>dish_1574455517</t>
  </si>
  <si>
    <t>ingr_0000000031</t>
  </si>
  <si>
    <t>cucumbers</t>
  </si>
  <si>
    <t>ingr_0000000045</t>
  </si>
  <si>
    <t>carrot</t>
  </si>
  <si>
    <t>ingr_0000000102</t>
  </si>
  <si>
    <t>snow peas</t>
  </si>
  <si>
    <t>ingr_0000000159</t>
  </si>
  <si>
    <t>apple cider</t>
  </si>
  <si>
    <t>ingr_0000000189</t>
  </si>
  <si>
    <t>vinegar</t>
  </si>
  <si>
    <t>ingr_0000000252</t>
  </si>
  <si>
    <t>broth</t>
  </si>
  <si>
    <t>ingr_0000000462</t>
  </si>
  <si>
    <t>pork</t>
  </si>
  <si>
    <t>dish_1574728229</t>
  </si>
  <si>
    <t>ingr_0000000179</t>
  </si>
  <si>
    <t>eggs</t>
  </si>
  <si>
    <t>dish_1572379407</t>
  </si>
  <si>
    <t>ingr_0000000203</t>
  </si>
  <si>
    <t>chili</t>
  </si>
  <si>
    <t>dish_1575481406</t>
  </si>
  <si>
    <t>dish_1573491305</t>
  </si>
  <si>
    <t>dish_1573763139</t>
  </si>
  <si>
    <t>ingr_0000000174</t>
  </si>
  <si>
    <t>bread crumbs</t>
  </si>
  <si>
    <t>dish_1571946063</t>
  </si>
  <si>
    <t>dish_1572031580</t>
  </si>
  <si>
    <t>ingr_0000000155</t>
  </si>
  <si>
    <t>chicken thighs</t>
  </si>
  <si>
    <t>ingr_0000000321</t>
  </si>
  <si>
    <t>water</t>
  </si>
  <si>
    <t>ingr_0000000341</t>
  </si>
  <si>
    <t>cream</t>
  </si>
  <si>
    <t>ingr_0000000523</t>
  </si>
  <si>
    <t>cilantro</t>
  </si>
  <si>
    <t>ingr_0000000540</t>
  </si>
  <si>
    <t>ginger</t>
  </si>
  <si>
    <t>ingr_0000000555</t>
  </si>
  <si>
    <t>dish_1572988741</t>
  </si>
  <si>
    <t>ingr_0000000052</t>
  </si>
  <si>
    <t>cheese</t>
  </si>
  <si>
    <t>ingr_0000000060</t>
  </si>
  <si>
    <t>tortilla</t>
  </si>
  <si>
    <t>dish_1573060410</t>
  </si>
  <si>
    <t>ingr_0000000070</t>
  </si>
  <si>
    <t>figs</t>
  </si>
  <si>
    <t>ingr_0000000294</t>
  </si>
  <si>
    <t>granola</t>
  </si>
  <si>
    <t>ingr_0000000440</t>
  </si>
  <si>
    <t>grapes</t>
  </si>
  <si>
    <t>ingr_0000000543</t>
  </si>
  <si>
    <t>chia seeds</t>
  </si>
  <si>
    <t>dish_1573764136</t>
  </si>
  <si>
    <t>ingr_0000000528</t>
  </si>
  <si>
    <t>celery root</t>
  </si>
  <si>
    <t>dish_1572278943</t>
  </si>
  <si>
    <t>dish_1573665056</t>
  </si>
  <si>
    <t>dish_1573232461</t>
  </si>
  <si>
    <t>dish_1575999037</t>
  </si>
  <si>
    <t>dish_1571946265</t>
  </si>
  <si>
    <t>dish_1572035321</t>
  </si>
  <si>
    <t>ingr_0000000026</t>
  </si>
  <si>
    <t>white rice</t>
  </si>
  <si>
    <t>dish_1573763118</t>
  </si>
  <si>
    <t>dish_1571944238</t>
  </si>
  <si>
    <t>ingr_0000000021</t>
  </si>
  <si>
    <t>squash</t>
  </si>
  <si>
    <t>ingr_0000000214</t>
  </si>
  <si>
    <t>seeds</t>
  </si>
  <si>
    <t>ingr_0000000359</t>
  </si>
  <si>
    <t>honey</t>
  </si>
  <si>
    <t>dish_1572901583</t>
  </si>
  <si>
    <t>ingr_0000000367</t>
  </si>
  <si>
    <t>lime</t>
  </si>
  <si>
    <t>ingr_0000000506</t>
  </si>
  <si>
    <t>pinto beans</t>
  </si>
  <si>
    <t>ingr_0000000538</t>
  </si>
  <si>
    <t>jicama</t>
  </si>
  <si>
    <t>dish_1572453753</t>
  </si>
  <si>
    <t>dish_1574184971</t>
  </si>
  <si>
    <t>ingr_0000000510</t>
  </si>
  <si>
    <t>chicken apple sausage</t>
  </si>
  <si>
    <t>dish_1574711589</t>
  </si>
  <si>
    <t>ingr_0000000023</t>
  </si>
  <si>
    <t>brown rice</t>
  </si>
  <si>
    <t>ingr_0000000073</t>
  </si>
  <si>
    <t>radishes</t>
  </si>
  <si>
    <t>ingr_0000000511</t>
  </si>
  <si>
    <t>spinach (cooked)</t>
  </si>
  <si>
    <t>ingr_0000000515</t>
  </si>
  <si>
    <t>arugula</t>
  </si>
  <si>
    <t>ingr_0000000518</t>
  </si>
  <si>
    <t>thyme</t>
  </si>
  <si>
    <t>dish_1576259776</t>
  </si>
  <si>
    <t>dish_1574280343</t>
  </si>
  <si>
    <t>dish_1572548822</t>
  </si>
  <si>
    <t>ingr_0000000466</t>
  </si>
  <si>
    <t>pistachios</t>
  </si>
  <si>
    <t>dish_1573665025</t>
  </si>
  <si>
    <t>dish_1572538461</t>
  </si>
  <si>
    <t>dish_1574359130</t>
  </si>
  <si>
    <t>dish_1574281837</t>
  </si>
  <si>
    <t>ingr_0000000047</t>
  </si>
  <si>
    <t>corn</t>
  </si>
  <si>
    <t>ingr_0000000087</t>
  </si>
  <si>
    <t>coleslaw</t>
  </si>
  <si>
    <t>ingr_0000000228</t>
  </si>
  <si>
    <t>cornmeal</t>
  </si>
  <si>
    <t>ingr_0000000349</t>
  </si>
  <si>
    <t>mangos</t>
  </si>
  <si>
    <t>ingr_0000000481</t>
  </si>
  <si>
    <t>flatbread</t>
  </si>
  <si>
    <t>ingr_0000000485</t>
  </si>
  <si>
    <t>zucchini</t>
  </si>
  <si>
    <t>ingr_0000000502</t>
  </si>
  <si>
    <t>milk</t>
  </si>
  <si>
    <t>dish_1571934124</t>
  </si>
  <si>
    <t>dish_1572031211</t>
  </si>
  <si>
    <t>dish_1572984792</t>
  </si>
  <si>
    <t>ingr_0000000005</t>
  </si>
  <si>
    <t>potatoes</t>
  </si>
  <si>
    <t>ingr_0000000025</t>
  </si>
  <si>
    <t>beef</t>
  </si>
  <si>
    <t>ingr_0000000101</t>
  </si>
  <si>
    <t>leeks</t>
  </si>
  <si>
    <t>ingr_0000000126</t>
  </si>
  <si>
    <t>mustard</t>
  </si>
  <si>
    <t>ingr_0000000434</t>
  </si>
  <si>
    <t>sour cream</t>
  </si>
  <si>
    <t>ingr_0000000437</t>
  </si>
  <si>
    <t>sweet potato</t>
  </si>
  <si>
    <t>dish_1574444158</t>
  </si>
  <si>
    <t>dish_1572464400</t>
  </si>
  <si>
    <t>ingr_0000000332</t>
  </si>
  <si>
    <t>salmon</t>
  </si>
  <si>
    <t>dish_1574197731</t>
  </si>
  <si>
    <t>ingr_0000000010</t>
  </si>
  <si>
    <t>steak</t>
  </si>
  <si>
    <t>dish_1572278972</t>
  </si>
  <si>
    <t>dish_1572376802</t>
  </si>
  <si>
    <t>ingr_0000000290</t>
  </si>
  <si>
    <t>cheddar cheese</t>
  </si>
  <si>
    <t>dish_1573505208</t>
  </si>
  <si>
    <t>ingr_0000000168</t>
  </si>
  <si>
    <t>lasagna</t>
  </si>
  <si>
    <t>dish_1573679065</t>
  </si>
  <si>
    <t>ingr_0000000516</t>
  </si>
  <si>
    <t>rosemary</t>
  </si>
  <si>
    <t>dish_1572035359</t>
  </si>
  <si>
    <t>dish_1575997268</t>
  </si>
  <si>
    <t>ingr_0000000013</t>
  </si>
  <si>
    <t>berries</t>
  </si>
  <si>
    <t>dish_1572279989</t>
  </si>
  <si>
    <t>dish_1572021459</t>
  </si>
  <si>
    <t>dish_1572627130</t>
  </si>
  <si>
    <t>dish_1573159868</t>
  </si>
  <si>
    <t>dish_1573491352</t>
  </si>
  <si>
    <t>dish_1572464354</t>
  </si>
  <si>
    <t>dish_1572462136</t>
  </si>
  <si>
    <t>dish_1572453675</t>
  </si>
  <si>
    <t>dish_1572376778</t>
  </si>
  <si>
    <t>dish_1571944487</t>
  </si>
  <si>
    <t>ingr_0000000018</t>
  </si>
  <si>
    <t>turkey</t>
  </si>
  <si>
    <t>dish_1573232835</t>
  </si>
  <si>
    <t>dish_1572627152</t>
  </si>
  <si>
    <t>dish_1575997241</t>
  </si>
  <si>
    <t>dish_1572029300</t>
  </si>
  <si>
    <t>dish_1575308389</t>
  </si>
  <si>
    <t>dish_1572034012</t>
  </si>
  <si>
    <t>dish_1574369148</t>
  </si>
  <si>
    <t>dish_1573851651</t>
  </si>
  <si>
    <t>ingr_0000000185</t>
  </si>
  <si>
    <t>collards</t>
  </si>
  <si>
    <t>ingr_0000000385</t>
  </si>
  <si>
    <t>curries</t>
  </si>
  <si>
    <t>dish_1573849915</t>
  </si>
  <si>
    <t>dish_1571946737</t>
  </si>
  <si>
    <t>dish_1573073600</t>
  </si>
  <si>
    <t>ingr_0000000152</t>
  </si>
  <si>
    <t>cabbage</t>
  </si>
  <si>
    <t>ingr_0000000530</t>
  </si>
  <si>
    <t>endive</t>
  </si>
  <si>
    <t>dish_1572548878</t>
  </si>
  <si>
    <t>ingr_0000000054</t>
  </si>
  <si>
    <t>apple</t>
  </si>
  <si>
    <t>dish_1574711451</t>
  </si>
  <si>
    <t>dish_1573234760</t>
  </si>
  <si>
    <t>dish_1574455444</t>
  </si>
  <si>
    <t>dish_1573849990</t>
  </si>
  <si>
    <t>ingr_0000000425</t>
  </si>
  <si>
    <t>goat cheese</t>
  </si>
  <si>
    <t>dish_1571944214</t>
  </si>
  <si>
    <t>dish_1573764183</t>
  </si>
  <si>
    <t>dish_1574109245</t>
  </si>
  <si>
    <t>ingr_0000000081</t>
  </si>
  <si>
    <t>pickles</t>
  </si>
  <si>
    <t>ingr_0000000110</t>
  </si>
  <si>
    <t>barbecue sauce</t>
  </si>
  <si>
    <t>dish_1576171237</t>
  </si>
  <si>
    <t>ingr_0000000016</t>
  </si>
  <si>
    <t>brussels sprouts</t>
  </si>
  <si>
    <t>ingr_0000000077</t>
  </si>
  <si>
    <t>almonds</t>
  </si>
  <si>
    <t>dish_1574193316</t>
  </si>
  <si>
    <t>dish_1571931482</t>
  </si>
  <si>
    <t>dish_1572291722</t>
  </si>
  <si>
    <t>dish_1571944571</t>
  </si>
  <si>
    <t>ingr_0000000220</t>
  </si>
  <si>
    <t>pita bread</t>
  </si>
  <si>
    <t>dish_1573161475</t>
  </si>
  <si>
    <t>dish_1571934154</t>
  </si>
  <si>
    <t>dish_1572550743</t>
  </si>
  <si>
    <t>ingr_0000000029</t>
  </si>
  <si>
    <t>mixed greens</t>
  </si>
  <si>
    <t>ingr_0000000030</t>
  </si>
  <si>
    <t>lettuce</t>
  </si>
  <si>
    <t>dish_1573851615</t>
  </si>
  <si>
    <t>dish_1574269354</t>
  </si>
  <si>
    <t>ingr_0000000072</t>
  </si>
  <si>
    <t>kale</t>
  </si>
  <si>
    <t>ingr_0000000136</t>
  </si>
  <si>
    <t>poached eggs</t>
  </si>
  <si>
    <t>ingr_0000000338</t>
  </si>
  <si>
    <t>vinaigrette</t>
  </si>
  <si>
    <t>dish_1571946303</t>
  </si>
  <si>
    <t>dish_1571935085</t>
  </si>
  <si>
    <t>ingr_0000000377</t>
  </si>
  <si>
    <t>quinoa</t>
  </si>
  <si>
    <t>dish_1576258685</t>
  </si>
  <si>
    <t>dish_1574443257</t>
  </si>
  <si>
    <t>dish_1573491330</t>
  </si>
  <si>
    <t>dish_1573579406</t>
  </si>
  <si>
    <t>dish_1576171204</t>
  </si>
  <si>
    <t>dish_1574720429</t>
  </si>
  <si>
    <t>dish_1572365415</t>
  </si>
  <si>
    <t>dish_1574098164</t>
  </si>
  <si>
    <t>dish_1573072479</t>
  </si>
  <si>
    <t>dish_1574193262</t>
  </si>
  <si>
    <t>dish_1576258657</t>
  </si>
  <si>
    <t>dish_1572291695</t>
  </si>
  <si>
    <t>dish_1572625898</t>
  </si>
  <si>
    <t>dish_1576100046</t>
  </si>
  <si>
    <t>ingr_0000000532</t>
  </si>
  <si>
    <t>pesto</t>
  </si>
  <si>
    <t>dish_1571932448</t>
  </si>
  <si>
    <t>dish_1572021481</t>
  </si>
  <si>
    <t>dish_1572540173</t>
  </si>
  <si>
    <t>dish_1575923584</t>
  </si>
  <si>
    <t>ingr_0000000074</t>
  </si>
  <si>
    <t>pasta</t>
  </si>
  <si>
    <t>dish_1574098218</t>
  </si>
  <si>
    <t>dish_1571931763</t>
  </si>
  <si>
    <t>dish_1572464329</t>
  </si>
  <si>
    <t>dish_1572889747</t>
  </si>
  <si>
    <t>dish_1574098245</t>
  </si>
  <si>
    <t>dish_1572033988</t>
  </si>
  <si>
    <t>dish_1572280018</t>
  </si>
  <si>
    <t>dish_1573072447</t>
  </si>
  <si>
    <t>dish_1573503054</t>
  </si>
  <si>
    <t>dish_1572625810</t>
  </si>
  <si>
    <t>dish_1575481443</t>
  </si>
  <si>
    <t>dish_1575997210</t>
  </si>
  <si>
    <t>dish_1571934494</t>
  </si>
  <si>
    <t>dish_1572550690</t>
  </si>
  <si>
    <t>ingr_0000000089</t>
  </si>
  <si>
    <t>spaghetti</t>
  </si>
  <si>
    <t>dish_1571931678</t>
  </si>
  <si>
    <t>dish_1572538087</t>
  </si>
  <si>
    <t>dish_1573159903</t>
  </si>
  <si>
    <t>ingr_0000000444</t>
  </si>
  <si>
    <t>dates</t>
  </si>
  <si>
    <t>dish_1572540910</t>
  </si>
  <si>
    <t>dish_1574711517</t>
  </si>
  <si>
    <t>dish_1575307466</t>
  </si>
  <si>
    <t>ingr_0000000055</t>
  </si>
  <si>
    <t>banana</t>
  </si>
  <si>
    <t>ingr_0000000249</t>
  </si>
  <si>
    <t>cashews</t>
  </si>
  <si>
    <t>ingr_0000000262</t>
  </si>
  <si>
    <t>yogurt</t>
  </si>
  <si>
    <t>dish_1573579470</t>
  </si>
  <si>
    <t>dish_1571931648</t>
  </si>
  <si>
    <t>dish_1572278894</t>
  </si>
  <si>
    <t>dish_1576259732</t>
  </si>
  <si>
    <t>dish_1573232434</t>
  </si>
  <si>
    <t>dish_1572540208</t>
  </si>
  <si>
    <t>dish_1574711418</t>
  </si>
  <si>
    <t>dish_1574269685</t>
  </si>
  <si>
    <t>dish_1575998399</t>
  </si>
  <si>
    <t>ingr_0000000192</t>
  </si>
  <si>
    <t>yam</t>
  </si>
  <si>
    <t>ingr_0000000357</t>
  </si>
  <si>
    <t>lentils</t>
  </si>
  <si>
    <t>dish_1572031254</t>
  </si>
  <si>
    <t>ingr_0000000217</t>
  </si>
  <si>
    <t>lamb</t>
  </si>
  <si>
    <t>dish_1571944507</t>
  </si>
  <si>
    <t>dish_1572464284</t>
  </si>
  <si>
    <t>dish_1573679099</t>
  </si>
  <si>
    <t>ingr_0000000525</t>
  </si>
  <si>
    <t>bok choy</t>
  </si>
  <si>
    <t>dish_1573851578</t>
  </si>
  <si>
    <t>dish_1574097565</t>
  </si>
  <si>
    <t>dish_1573579635</t>
  </si>
  <si>
    <t>ingr_0000000019</t>
  </si>
  <si>
    <t>bread</t>
  </si>
  <si>
    <t>ingr_0000000057</t>
  </si>
  <si>
    <t>lemon</t>
  </si>
  <si>
    <t>ingr_0000000494</t>
  </si>
  <si>
    <t>jams</t>
  </si>
  <si>
    <t>ingr_0000000495</t>
  </si>
  <si>
    <t>cream cheese</t>
  </si>
  <si>
    <t>dish_1571931809</t>
  </si>
  <si>
    <t>dish_1573579355</t>
  </si>
  <si>
    <t>dish_1573760161</t>
  </si>
  <si>
    <t>dish_1572454041</t>
  </si>
  <si>
    <t>dish_1575923893</t>
  </si>
  <si>
    <t>dish_1572988785</t>
  </si>
  <si>
    <t>ingr_0000000117</t>
  </si>
  <si>
    <t>tacos</t>
  </si>
  <si>
    <t>dish_1572984755</t>
  </si>
  <si>
    <t>dish_1574280383</t>
  </si>
  <si>
    <t>dish_1572035271</t>
  </si>
  <si>
    <t>dish_1575393132</t>
  </si>
  <si>
    <t>dish_1576171118</t>
  </si>
  <si>
    <t>dish_1572625859</t>
  </si>
  <si>
    <t>dish_1572886987</t>
  </si>
  <si>
    <t>dish_1576183111</t>
  </si>
  <si>
    <t>dish_1574097587</t>
  </si>
  <si>
    <t>dish_1571931623</t>
  </si>
  <si>
    <t>dish_1572365610</t>
  </si>
  <si>
    <t>dish_1573147034</t>
  </si>
  <si>
    <t>ingr_0000000012</t>
  </si>
  <si>
    <t>olives</t>
  </si>
  <si>
    <t>dish_1571944648</t>
  </si>
  <si>
    <t>dish_1574111587</t>
  </si>
  <si>
    <t>ingr_0000000393</t>
  </si>
  <si>
    <t>teriyaki sauce</t>
  </si>
  <si>
    <t>ingr_0000000535</t>
  </si>
  <si>
    <t>green onions</t>
  </si>
  <si>
    <t>dish_1571932398</t>
  </si>
  <si>
    <t>dish_1573848859</t>
  </si>
  <si>
    <t>dish_1572625763</t>
  </si>
  <si>
    <t>dish_1572540934</t>
  </si>
  <si>
    <t>dish_1573156908</t>
  </si>
  <si>
    <t>dish_1572032356</t>
  </si>
  <si>
    <t>ingr_0000000205</t>
  </si>
  <si>
    <t>corn on the cob</t>
  </si>
  <si>
    <t>dish_1571946767</t>
  </si>
  <si>
    <t>ingr_0000000058</t>
  </si>
  <si>
    <t>orange</t>
  </si>
  <si>
    <t>ingr_0000000463</t>
  </si>
  <si>
    <t>beets</t>
  </si>
  <si>
    <t>ingr_0000000550</t>
  </si>
  <si>
    <t>dish_1572540136</t>
  </si>
  <si>
    <t>dish_1573679123</t>
  </si>
  <si>
    <t>dish_1573579439</t>
  </si>
  <si>
    <t>dish_1571944549</t>
  </si>
  <si>
    <t>dish_1574193218</t>
  </si>
  <si>
    <t>dish_1576258613</t>
  </si>
  <si>
    <t>dish_1572021506</t>
  </si>
  <si>
    <t>dish_1572032323</t>
  </si>
  <si>
    <t>dish_1574443421</t>
  </si>
  <si>
    <t>ingr_0000000100</t>
  </si>
  <si>
    <t>oats</t>
  </si>
  <si>
    <t>ingr_0000000476</t>
  </si>
  <si>
    <t>almond milk</t>
  </si>
  <si>
    <t>dish_1575307819</t>
  </si>
  <si>
    <t>dish_1573506378</t>
  </si>
  <si>
    <t>dish_1574443234</t>
  </si>
  <si>
    <t>dish_1575478663</t>
  </si>
  <si>
    <t>dish_1572031606</t>
  </si>
  <si>
    <t>dish_1572376754</t>
  </si>
  <si>
    <t>dish_1572552638</t>
  </si>
  <si>
    <t>dish_1575653017</t>
  </si>
  <si>
    <t>ingr_0000000213</t>
  </si>
  <si>
    <t>pears</t>
  </si>
  <si>
    <t>dish_1571944531</t>
  </si>
  <si>
    <t>dish_1573849852</t>
  </si>
  <si>
    <t>dish_1573666680</t>
  </si>
  <si>
    <t>ingr_0000000046</t>
  </si>
  <si>
    <t>mushroom</t>
  </si>
  <si>
    <t>ingr_0000000553</t>
  </si>
  <si>
    <t>dish_1573073741</t>
  </si>
  <si>
    <t>dish_1573665080</t>
  </si>
  <si>
    <t>dish_1575404926</t>
  </si>
  <si>
    <t>dish_1574359160</t>
  </si>
  <si>
    <t>ingr_0000000487</t>
  </si>
  <si>
    <t>crepes</t>
  </si>
  <si>
    <t>dish_1572541487</t>
  </si>
  <si>
    <t>dish_1574702427</t>
  </si>
  <si>
    <t>dish_1573760187</t>
  </si>
  <si>
    <t>dish_1573762582</t>
  </si>
  <si>
    <t>dish_1575307845</t>
  </si>
  <si>
    <t>dish_1573492999</t>
  </si>
  <si>
    <t>dish_1573073699</t>
  </si>
  <si>
    <t>dish_1573848236</t>
  </si>
  <si>
    <t>dish_1573156961</t>
  </si>
  <si>
    <t>dish_1573159511</t>
  </si>
  <si>
    <t>dish_1571932341</t>
  </si>
  <si>
    <t>dish_1574357682</t>
  </si>
  <si>
    <t>dish_1573232405</t>
  </si>
  <si>
    <t>dish_1574728191</t>
  </si>
  <si>
    <t>dish_1573072381</t>
  </si>
  <si>
    <t>dish_1573233324</t>
  </si>
  <si>
    <t>dish_1575407477</t>
  </si>
  <si>
    <t>dish_1572453962</t>
  </si>
  <si>
    <t>dish_1574455483</t>
  </si>
  <si>
    <t>dish_1571934465</t>
  </si>
  <si>
    <t>dish_1573073666</t>
  </si>
  <si>
    <t>dish_1575924356</t>
  </si>
  <si>
    <t>dish_1574359199</t>
  </si>
  <si>
    <t>dish_1576171157</t>
  </si>
  <si>
    <t>DISH_id</t>
  </si>
  <si>
    <t>energy (kcal)</t>
  </si>
  <si>
    <t>mass</t>
  </si>
  <si>
    <t>fat</t>
  </si>
  <si>
    <t>carb</t>
  </si>
  <si>
    <t>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</si>
</sst>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ish_metadata_cafe2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39"/>
  <sheetViews>
    <sheetView tabSelected="1" zoomScale="130" zoomScaleNormal="130" workbookViewId="0">
      <pane ySplit="1" topLeftCell="A2" activePane="bottomLeft" state="frozen"/>
      <selection pane="bottomLeft" sqref="A1:F1048576"/>
    </sheetView>
  </sheetViews>
  <sheetFormatPr defaultRowHeight="14.5" x14ac:dyDescent="0.35"/>
  <cols>
    <col min="1" max="1" width="15.36328125" bestFit="1" customWidth="1"/>
    <col min="2" max="2" width="11.36328125" bestFit="1" customWidth="1"/>
    <col min="3" max="3" width="5.08984375" bestFit="1" customWidth="1"/>
    <col min="4" max="4" width="3.08984375" bestFit="1" customWidth="1"/>
    <col min="5" max="5" width="4.453125" bestFit="1" customWidth="1"/>
    <col min="6" max="6" width="4.36328125" bestFit="1" customWidth="1"/>
    <col min="7" max="7" width="15.08984375" bestFit="1" customWidth="1"/>
    <col min="8" max="8" width="19.36328125" bestFit="1" customWidth="1"/>
    <col min="9" max="9" width="10.81640625" bestFit="1" customWidth="1"/>
    <col min="10" max="13" width="11.81640625" bestFit="1" customWidth="1"/>
    <col min="14" max="14" width="15.08984375" bestFit="1" customWidth="1"/>
    <col min="15" max="15" width="16.08984375" bestFit="1" customWidth="1"/>
    <col min="16" max="16" width="10.81640625" bestFit="1" customWidth="1"/>
    <col min="17" max="20" width="11.81640625" bestFit="1" customWidth="1"/>
    <col min="21" max="21" width="15.08984375" bestFit="1" customWidth="1"/>
    <col min="22" max="22" width="16.08984375" bestFit="1" customWidth="1"/>
    <col min="23" max="23" width="10.81640625" bestFit="1" customWidth="1"/>
    <col min="24" max="27" width="11.81640625" bestFit="1" customWidth="1"/>
    <col min="28" max="28" width="15.08984375" bestFit="1" customWidth="1"/>
    <col min="29" max="29" width="16.08984375" bestFit="1" customWidth="1"/>
    <col min="30" max="30" width="10.81640625" bestFit="1" customWidth="1"/>
    <col min="31" max="34" width="11.81640625" bestFit="1" customWidth="1"/>
    <col min="35" max="35" width="15.08984375" bestFit="1" customWidth="1"/>
    <col min="36" max="36" width="16.08984375" bestFit="1" customWidth="1"/>
    <col min="37" max="37" width="10.81640625" bestFit="1" customWidth="1"/>
    <col min="38" max="41" width="11.81640625" bestFit="1" customWidth="1"/>
    <col min="42" max="42" width="15.08984375" bestFit="1" customWidth="1"/>
    <col min="43" max="43" width="19.36328125" bestFit="1" customWidth="1"/>
    <col min="44" max="44" width="9.81640625" bestFit="1" customWidth="1"/>
    <col min="45" max="48" width="11.81640625" bestFit="1" customWidth="1"/>
    <col min="49" max="49" width="15.08984375" bestFit="1" customWidth="1"/>
    <col min="50" max="50" width="16.08984375" bestFit="1" customWidth="1"/>
    <col min="51" max="51" width="9.81640625" bestFit="1" customWidth="1"/>
    <col min="52" max="55" width="11.81640625" bestFit="1" customWidth="1"/>
    <col min="56" max="56" width="15.08984375" bestFit="1" customWidth="1"/>
    <col min="57" max="57" width="19.36328125" bestFit="1" customWidth="1"/>
    <col min="58" max="58" width="10.81640625" bestFit="1" customWidth="1"/>
    <col min="59" max="62" width="11.81640625" bestFit="1" customWidth="1"/>
    <col min="63" max="63" width="15.08984375" bestFit="1" customWidth="1"/>
    <col min="64" max="64" width="19.36328125" bestFit="1" customWidth="1"/>
    <col min="65" max="65" width="10.81640625" bestFit="1" customWidth="1"/>
    <col min="66" max="69" width="11.81640625" bestFit="1" customWidth="1"/>
    <col min="70" max="70" width="15.08984375" bestFit="1" customWidth="1"/>
    <col min="71" max="71" width="16.08984375" bestFit="1" customWidth="1"/>
    <col min="72" max="72" width="10.81640625" bestFit="1" customWidth="1"/>
    <col min="73" max="76" width="11.81640625" bestFit="1" customWidth="1"/>
    <col min="77" max="77" width="15.08984375" bestFit="1" customWidth="1"/>
    <col min="78" max="78" width="10.6328125" bestFit="1" customWidth="1"/>
    <col min="79" max="79" width="9.81640625" bestFit="1" customWidth="1"/>
    <col min="80" max="83" width="11.81640625" bestFit="1" customWidth="1"/>
    <col min="84" max="84" width="15.08984375" bestFit="1" customWidth="1"/>
    <col min="85" max="85" width="15" bestFit="1" customWidth="1"/>
    <col min="86" max="86" width="10.81640625" bestFit="1" customWidth="1"/>
    <col min="87" max="90" width="11.81640625" bestFit="1" customWidth="1"/>
    <col min="91" max="91" width="15.08984375" bestFit="1" customWidth="1"/>
    <col min="92" max="92" width="11.7265625" bestFit="1" customWidth="1"/>
    <col min="93" max="93" width="10.81640625" bestFit="1" customWidth="1"/>
    <col min="94" max="97" width="11.81640625" bestFit="1" customWidth="1"/>
    <col min="98" max="98" width="15.08984375" bestFit="1" customWidth="1"/>
    <col min="99" max="99" width="10.36328125" bestFit="1" customWidth="1"/>
    <col min="100" max="100" width="10.81640625" bestFit="1" customWidth="1"/>
    <col min="101" max="104" width="11.81640625" bestFit="1" customWidth="1"/>
    <col min="105" max="105" width="15.08984375" bestFit="1" customWidth="1"/>
    <col min="106" max="106" width="10.36328125" bestFit="1" customWidth="1"/>
    <col min="107" max="107" width="9.81640625" bestFit="1" customWidth="1"/>
    <col min="108" max="111" width="11.81640625" bestFit="1" customWidth="1"/>
    <col min="112" max="112" width="15.08984375" bestFit="1" customWidth="1"/>
    <col min="113" max="113" width="11.1796875" bestFit="1" customWidth="1"/>
    <col min="114" max="114" width="9.81640625" bestFit="1" customWidth="1"/>
    <col min="115" max="118" width="11.81640625" bestFit="1" customWidth="1"/>
    <col min="119" max="119" width="15.08984375" bestFit="1" customWidth="1"/>
    <col min="120" max="120" width="8.81640625" bestFit="1" customWidth="1"/>
    <col min="121" max="121" width="9.81640625" bestFit="1" customWidth="1"/>
    <col min="122" max="125" width="11.81640625" bestFit="1" customWidth="1"/>
    <col min="126" max="126" width="15.08984375" bestFit="1" customWidth="1"/>
    <col min="127" max="127" width="10.36328125" bestFit="1" customWidth="1"/>
    <col min="128" max="128" width="9.81640625" bestFit="1" customWidth="1"/>
    <col min="129" max="132" width="11.81640625" bestFit="1" customWidth="1"/>
    <col min="133" max="133" width="15.08984375" bestFit="1" customWidth="1"/>
    <col min="134" max="134" width="7.08984375" bestFit="1" customWidth="1"/>
    <col min="135" max="135" width="9.81640625" bestFit="1" customWidth="1"/>
    <col min="136" max="139" width="11.81640625" bestFit="1" customWidth="1"/>
    <col min="140" max="140" width="15.08984375" bestFit="1" customWidth="1"/>
    <col min="141" max="141" width="5.90625" bestFit="1" customWidth="1"/>
    <col min="142" max="142" width="9.81640625" bestFit="1" customWidth="1"/>
    <col min="143" max="144" width="11.81640625" bestFit="1" customWidth="1"/>
    <col min="145" max="145" width="10.81640625" bestFit="1" customWidth="1"/>
    <col min="146" max="146" width="11.81640625" bestFit="1" customWidth="1"/>
    <col min="147" max="147" width="15.08984375" bestFit="1" customWidth="1"/>
    <col min="149" max="149" width="8.81640625" bestFit="1" customWidth="1"/>
    <col min="150" max="150" width="10.81640625" bestFit="1" customWidth="1"/>
    <col min="151" max="151" width="8.81640625" bestFit="1" customWidth="1"/>
    <col min="152" max="153" width="1.81640625" bestFit="1" customWidth="1"/>
  </cols>
  <sheetData>
    <row r="1" spans="1:83" x14ac:dyDescent="0.35">
      <c r="A1" t="s">
        <v>547</v>
      </c>
      <c r="B1" t="s">
        <v>548</v>
      </c>
      <c r="C1" t="s">
        <v>549</v>
      </c>
      <c r="D1" t="s">
        <v>550</v>
      </c>
      <c r="E1" t="s">
        <v>551</v>
      </c>
      <c r="F1" t="s">
        <v>552</v>
      </c>
    </row>
    <row r="2" spans="1:83" x14ac:dyDescent="0.35">
      <c r="A2" t="s">
        <v>0</v>
      </c>
      <c r="B2" s="2">
        <f>J2+Q2+X2+AE2+AL2+AS2+AZ2+BG2+BN2+BU2+CB2+CI2+CP2+CW2+DD2+DK2+DR2+DY2+EF2+EM2+ET2</f>
        <v>144.599003912</v>
      </c>
      <c r="C2" s="2">
        <f>I2+P2+W2+AD2+AK2+AR2+AY2+BF2+BM2+BT2+CA2+CH2+CO2+CV2+DC2+DJ2+DQ2+DX2+EE2+EL2+ES2</f>
        <v>73.999997000000008</v>
      </c>
      <c r="D2" s="2">
        <f>K2+R2+Y2+AF2+AM2+AT2+BA2+BH2+BO2+BV2+CC2+CJ2+CQ2+CX2+DE2+DL2+DS2+DZ2+EG2+EN2+EU2</f>
        <v>10.264071932</v>
      </c>
      <c r="E2" s="2">
        <f>L2+S2+Z2+AG2+AN2+AU2+BB2+BI2+BP2+BW2+CD2+CK2+CR2+CY2+DF2+DM2+DT2+EA2+EH2+EO2+EV2</f>
        <v>11.957067820000001</v>
      </c>
      <c r="F2" s="2">
        <f>M2+T2+AA2+AH2+AO2+AV2+BC2+BJ2+BQ2+BX2+CE2+CL2+CS2+CZ2+DG2+DN2+DU2+EB2+EI2+EP2+EW2</f>
        <v>3.1990767760000005</v>
      </c>
      <c r="G2" t="s">
        <v>1</v>
      </c>
      <c r="H2" t="s">
        <v>2</v>
      </c>
      <c r="I2">
        <v>15.572240000000001</v>
      </c>
      <c r="J2">
        <v>5.2945615999999998</v>
      </c>
      <c r="K2">
        <v>0.10900567999999999</v>
      </c>
      <c r="L2">
        <v>1.0589123199999999</v>
      </c>
      <c r="M2">
        <v>0.10900567999999999</v>
      </c>
      <c r="N2" t="s">
        <v>3</v>
      </c>
      <c r="O2" t="s">
        <v>4</v>
      </c>
      <c r="P2">
        <v>23.358357999999999</v>
      </c>
      <c r="Q2">
        <v>37.373372799999999</v>
      </c>
      <c r="R2">
        <v>3.5037536999999999</v>
      </c>
      <c r="S2">
        <v>2.10225222</v>
      </c>
      <c r="T2">
        <v>0.46716716000000003</v>
      </c>
      <c r="U2" t="s">
        <v>5</v>
      </c>
      <c r="V2" t="s">
        <v>6</v>
      </c>
      <c r="W2">
        <v>13.732376</v>
      </c>
      <c r="X2">
        <v>39.233398231999999</v>
      </c>
      <c r="Y2">
        <v>1.263378592</v>
      </c>
      <c r="Z2">
        <v>6.7288642400000001</v>
      </c>
      <c r="AA2">
        <v>0.56302741599999995</v>
      </c>
      <c r="AB2" t="s">
        <v>7</v>
      </c>
      <c r="AC2" t="s">
        <v>8</v>
      </c>
      <c r="AD2">
        <v>3.8930600000000002</v>
      </c>
      <c r="AE2">
        <v>34.414650399999999</v>
      </c>
      <c r="AF2">
        <v>3.8930600000000002</v>
      </c>
      <c r="AG2">
        <v>0</v>
      </c>
      <c r="AH2">
        <v>0</v>
      </c>
      <c r="AI2" t="s">
        <v>9</v>
      </c>
      <c r="AJ2" t="s">
        <v>10</v>
      </c>
      <c r="AK2">
        <v>15.572240000000001</v>
      </c>
      <c r="AL2">
        <v>18.9981328</v>
      </c>
      <c r="AM2">
        <v>0.79418423999999999</v>
      </c>
      <c r="AN2">
        <v>1.5260795199999999</v>
      </c>
      <c r="AO2">
        <v>1.7129464000000001</v>
      </c>
      <c r="AP2" t="s">
        <v>11</v>
      </c>
      <c r="AQ2" t="s">
        <v>12</v>
      </c>
      <c r="AR2">
        <v>4.5775000000000003E-2</v>
      </c>
      <c r="AS2">
        <v>0</v>
      </c>
      <c r="AT2">
        <v>0</v>
      </c>
      <c r="AU2">
        <v>0</v>
      </c>
      <c r="AV2">
        <v>0</v>
      </c>
      <c r="AW2" t="s">
        <v>13</v>
      </c>
      <c r="AX2" t="s">
        <v>14</v>
      </c>
      <c r="AY2">
        <v>1.14116</v>
      </c>
      <c r="AZ2">
        <v>6.2307335999999998</v>
      </c>
      <c r="BA2">
        <v>0.57057999999999998</v>
      </c>
      <c r="BB2">
        <v>0.17117399999999999</v>
      </c>
      <c r="BC2">
        <v>0.2168204</v>
      </c>
      <c r="BD2" t="s">
        <v>15</v>
      </c>
      <c r="BE2" t="s">
        <v>16</v>
      </c>
      <c r="BF2">
        <v>0.68478799999999995</v>
      </c>
      <c r="BG2">
        <v>3.0541544799999998</v>
      </c>
      <c r="BH2">
        <v>0.13010972000000001</v>
      </c>
      <c r="BI2">
        <v>0.36978551999999998</v>
      </c>
      <c r="BJ2">
        <v>0.13010972000000001</v>
      </c>
    </row>
    <row r="3" spans="1:83" x14ac:dyDescent="0.35">
      <c r="A3" t="s">
        <v>17</v>
      </c>
      <c r="B3" s="2">
        <f t="shared" ref="B3:B66" si="0">J3+Q3+X3+AE3+AL3+AS3+AZ3+BG3+BN3+BU3+CB3+CI3+CP3+CW3+DD3+DK3+DR3+DY3+EF3+EM3+ET3</f>
        <v>92.96</v>
      </c>
      <c r="C3" s="2">
        <f t="shared" ref="C3:C66" si="1">I3+P3+W3+AD3+AK3+AR3+AY3+BF3+BM3+BT3+CA3+CH3+CO3+CV3+DC3+DJ3+DQ3+DX3+EE3+EL3+ES3</f>
        <v>56</v>
      </c>
      <c r="D3" s="2">
        <f t="shared" ref="D3:D66" si="2">K3+R3+Y3+AF3+AM3+AT3+BA3+BH3+BO3+BV3+CC3+CJ3+CQ3+CX3+DE3+DL3+DS3+DZ3+EG3+EN3+EU3</f>
        <v>5.3760000000000003</v>
      </c>
      <c r="E3" s="2">
        <f t="shared" ref="E3:E66" si="3">L3+S3+Z3+AG3+AN3+AU3+BB3+BI3+BP3+BW3+CD3+CK3+CR3+CY3+DF3+DM3+DT3+EA3+EH3+EO3+EV3</f>
        <v>7.84</v>
      </c>
      <c r="F3" s="2">
        <f t="shared" ref="F3:F66" si="4">M3+T3+AA3+AH3+AO3+AV3+BC3+BJ3+BQ3+BX3+CE3+CL3+CS3+CZ3+DG3+DN3+DU3+EB3+EI3+EP3+EW3</f>
        <v>4.4240000000000004</v>
      </c>
      <c r="G3" t="s">
        <v>18</v>
      </c>
      <c r="H3" t="s">
        <v>19</v>
      </c>
      <c r="I3">
        <v>56</v>
      </c>
      <c r="J3">
        <v>92.96</v>
      </c>
      <c r="K3">
        <v>5.3760000000000003</v>
      </c>
      <c r="L3">
        <v>7.84</v>
      </c>
      <c r="M3">
        <v>4.4240000000000004</v>
      </c>
    </row>
    <row r="4" spans="1:83" x14ac:dyDescent="0.35">
      <c r="A4" t="s">
        <v>20</v>
      </c>
      <c r="B4" s="2">
        <f t="shared" si="0"/>
        <v>93.06</v>
      </c>
      <c r="C4" s="2">
        <f t="shared" si="1"/>
        <v>66</v>
      </c>
      <c r="D4" s="2">
        <f t="shared" si="2"/>
        <v>4.4880000000000004</v>
      </c>
      <c r="E4" s="2">
        <f t="shared" si="3"/>
        <v>11.88</v>
      </c>
      <c r="F4" s="2">
        <f t="shared" si="4"/>
        <v>1.3859999999999999</v>
      </c>
      <c r="G4" t="s">
        <v>21</v>
      </c>
      <c r="H4" t="s">
        <v>22</v>
      </c>
      <c r="I4">
        <v>66</v>
      </c>
      <c r="J4">
        <v>93.06</v>
      </c>
      <c r="K4">
        <v>4.4880000000000004</v>
      </c>
      <c r="L4">
        <v>11.88</v>
      </c>
      <c r="M4">
        <v>1.3859999999999999</v>
      </c>
    </row>
    <row r="5" spans="1:83" x14ac:dyDescent="0.35">
      <c r="A5" t="s">
        <v>23</v>
      </c>
      <c r="B5" s="2">
        <f t="shared" si="0"/>
        <v>195.36</v>
      </c>
      <c r="C5" s="2">
        <f t="shared" si="1"/>
        <v>132</v>
      </c>
      <c r="D5" s="2">
        <f t="shared" si="2"/>
        <v>14.52</v>
      </c>
      <c r="E5" s="2">
        <f t="shared" si="3"/>
        <v>2.1120000000000001</v>
      </c>
      <c r="F5" s="2">
        <f t="shared" si="4"/>
        <v>13.2</v>
      </c>
      <c r="G5" t="s">
        <v>24</v>
      </c>
      <c r="H5" t="s">
        <v>25</v>
      </c>
      <c r="I5">
        <v>132</v>
      </c>
      <c r="J5">
        <v>195.36</v>
      </c>
      <c r="K5">
        <v>14.52</v>
      </c>
      <c r="L5">
        <v>2.1120000000000001</v>
      </c>
      <c r="M5">
        <v>13.2</v>
      </c>
    </row>
    <row r="6" spans="1:83" x14ac:dyDescent="0.35">
      <c r="A6" t="s">
        <v>26</v>
      </c>
      <c r="B6" s="2">
        <f t="shared" si="0"/>
        <v>251.44499999999999</v>
      </c>
      <c r="C6" s="2">
        <f t="shared" si="1"/>
        <v>274</v>
      </c>
      <c r="D6" s="2">
        <f t="shared" si="2"/>
        <v>9.9220000000000006</v>
      </c>
      <c r="E6" s="2">
        <f t="shared" si="3"/>
        <v>17.648499999999999</v>
      </c>
      <c r="F6" s="2">
        <f t="shared" si="4"/>
        <v>20.945499999999999</v>
      </c>
      <c r="G6" t="s">
        <v>27</v>
      </c>
      <c r="H6" t="s">
        <v>28</v>
      </c>
      <c r="I6">
        <v>43</v>
      </c>
      <c r="J6">
        <v>140.18</v>
      </c>
      <c r="K6">
        <v>9.4600000000000009</v>
      </c>
      <c r="L6">
        <v>13.76</v>
      </c>
      <c r="M6">
        <v>1.1180000000000001</v>
      </c>
      <c r="N6" t="s">
        <v>29</v>
      </c>
      <c r="O6" t="s">
        <v>30</v>
      </c>
      <c r="P6">
        <v>192.5</v>
      </c>
      <c r="Q6">
        <v>100.1</v>
      </c>
      <c r="R6">
        <v>0.38500000000000001</v>
      </c>
      <c r="S6">
        <v>1.3474999999999999</v>
      </c>
      <c r="T6">
        <v>19.25</v>
      </c>
      <c r="U6" t="s">
        <v>31</v>
      </c>
      <c r="V6" t="s">
        <v>32</v>
      </c>
      <c r="W6">
        <v>38.5</v>
      </c>
      <c r="X6">
        <v>11.164999999999999</v>
      </c>
      <c r="Y6">
        <v>7.6999999999999999E-2</v>
      </c>
      <c r="Z6">
        <v>2.5409999999999999</v>
      </c>
      <c r="AA6">
        <v>0.57750000000000001</v>
      </c>
    </row>
    <row r="7" spans="1:83" x14ac:dyDescent="0.35">
      <c r="A7" t="s">
        <v>33</v>
      </c>
      <c r="B7" s="2">
        <f t="shared" si="0"/>
        <v>47.964083350000003</v>
      </c>
      <c r="C7" s="2">
        <f t="shared" si="1"/>
        <v>118.00000000000001</v>
      </c>
      <c r="D7" s="2">
        <f t="shared" si="2"/>
        <v>2.491867541</v>
      </c>
      <c r="E7" s="2">
        <f t="shared" si="3"/>
        <v>5.8126979839999997</v>
      </c>
      <c r="F7" s="2">
        <f t="shared" si="4"/>
        <v>2.0748152219999998</v>
      </c>
      <c r="G7" t="s">
        <v>34</v>
      </c>
      <c r="H7" t="s">
        <v>35</v>
      </c>
      <c r="I7">
        <v>114.253265</v>
      </c>
      <c r="J7">
        <v>28.56331625</v>
      </c>
      <c r="K7">
        <v>0.34275979499999998</v>
      </c>
      <c r="L7">
        <v>5.7126632500000003</v>
      </c>
      <c r="M7">
        <v>2.0565587700000001</v>
      </c>
      <c r="N7" t="s">
        <v>7</v>
      </c>
      <c r="O7" t="s">
        <v>8</v>
      </c>
      <c r="P7">
        <v>2.1422490000000001</v>
      </c>
      <c r="Q7">
        <v>18.937481160000001</v>
      </c>
      <c r="R7">
        <v>2.1422490000000001</v>
      </c>
      <c r="S7">
        <v>0</v>
      </c>
      <c r="T7">
        <v>0</v>
      </c>
      <c r="U7" t="s">
        <v>11</v>
      </c>
      <c r="V7" t="s">
        <v>12</v>
      </c>
      <c r="W7">
        <v>1.2593999999999999E-2</v>
      </c>
      <c r="X7">
        <v>0</v>
      </c>
      <c r="Y7">
        <v>0</v>
      </c>
      <c r="Z7">
        <v>0</v>
      </c>
      <c r="AA7">
        <v>0</v>
      </c>
      <c r="AB7" t="s">
        <v>36</v>
      </c>
      <c r="AC7" t="s">
        <v>37</v>
      </c>
      <c r="AD7">
        <v>1.428166</v>
      </c>
      <c r="AE7">
        <v>0.41416814000000002</v>
      </c>
      <c r="AF7">
        <v>5.7126640000000001E-3</v>
      </c>
      <c r="AG7">
        <v>9.2830789999999996E-2</v>
      </c>
      <c r="AH7">
        <v>1.2853494E-2</v>
      </c>
      <c r="AI7" t="s">
        <v>38</v>
      </c>
      <c r="AJ7" t="s">
        <v>39</v>
      </c>
      <c r="AK7">
        <v>0.16372600000000001</v>
      </c>
      <c r="AL7">
        <v>4.9117800000000003E-2</v>
      </c>
      <c r="AM7">
        <v>1.1460820000000001E-3</v>
      </c>
      <c r="AN7">
        <v>7.2039440000000003E-3</v>
      </c>
      <c r="AO7">
        <v>5.4029580000000002E-3</v>
      </c>
    </row>
    <row r="8" spans="1:83" x14ac:dyDescent="0.35">
      <c r="A8" t="s">
        <v>40</v>
      </c>
      <c r="B8" s="2">
        <f t="shared" si="0"/>
        <v>401.63043578999998</v>
      </c>
      <c r="C8" s="2">
        <f t="shared" si="1"/>
        <v>160.00000199999999</v>
      </c>
      <c r="D8" s="2">
        <f t="shared" si="2"/>
        <v>28.203755643999997</v>
      </c>
      <c r="E8" s="2">
        <f t="shared" si="3"/>
        <v>28.80575627</v>
      </c>
      <c r="F8" s="2">
        <f t="shared" si="4"/>
        <v>10.384487864</v>
      </c>
      <c r="G8" t="s">
        <v>27</v>
      </c>
      <c r="H8" t="s">
        <v>28</v>
      </c>
      <c r="I8">
        <v>75</v>
      </c>
      <c r="J8">
        <v>244.5</v>
      </c>
      <c r="K8">
        <v>16.5</v>
      </c>
      <c r="L8">
        <v>24</v>
      </c>
      <c r="M8">
        <v>1.95</v>
      </c>
      <c r="N8" t="s">
        <v>41</v>
      </c>
      <c r="O8" t="s">
        <v>42</v>
      </c>
      <c r="P8">
        <v>45.853661000000002</v>
      </c>
      <c r="Q8">
        <v>16.048781349999999</v>
      </c>
      <c r="R8">
        <v>0.18341464399999999</v>
      </c>
      <c r="S8">
        <v>3.2097562700000002</v>
      </c>
      <c r="T8">
        <v>1.100487864</v>
      </c>
      <c r="U8" t="s">
        <v>43</v>
      </c>
      <c r="V8" t="s">
        <v>44</v>
      </c>
      <c r="W8">
        <v>38</v>
      </c>
      <c r="X8">
        <v>130.94800000000001</v>
      </c>
      <c r="Y8">
        <v>10.374000000000001</v>
      </c>
      <c r="Z8">
        <v>1.5960000000000001</v>
      </c>
      <c r="AA8">
        <v>7.3339999999999996</v>
      </c>
      <c r="AB8" t="s">
        <v>7</v>
      </c>
      <c r="AC8" t="s">
        <v>8</v>
      </c>
      <c r="AD8">
        <v>1.1463410000000001</v>
      </c>
      <c r="AE8">
        <v>10.133654440000001</v>
      </c>
      <c r="AF8">
        <v>1.1463410000000001</v>
      </c>
      <c r="AG8">
        <v>0</v>
      </c>
      <c r="AH8">
        <v>0</v>
      </c>
    </row>
    <row r="9" spans="1:83" x14ac:dyDescent="0.35">
      <c r="A9" t="s">
        <v>45</v>
      </c>
      <c r="B9" s="2">
        <f t="shared" si="0"/>
        <v>365.20799999999997</v>
      </c>
      <c r="C9" s="2">
        <f t="shared" si="1"/>
        <v>236</v>
      </c>
      <c r="D9" s="2">
        <f t="shared" si="2"/>
        <v>23.704000000000001</v>
      </c>
      <c r="E9" s="2">
        <f t="shared" si="3"/>
        <v>21.484000000000002</v>
      </c>
      <c r="F9" s="2">
        <f t="shared" si="4"/>
        <v>16.22</v>
      </c>
      <c r="G9" t="s">
        <v>46</v>
      </c>
      <c r="H9" t="s">
        <v>47</v>
      </c>
      <c r="I9">
        <v>46</v>
      </c>
      <c r="J9">
        <v>15.18</v>
      </c>
      <c r="K9">
        <v>0.13800000000000001</v>
      </c>
      <c r="L9">
        <v>3.68</v>
      </c>
      <c r="M9">
        <v>0.32200000000000001</v>
      </c>
      <c r="N9" t="s">
        <v>24</v>
      </c>
      <c r="O9" t="s">
        <v>25</v>
      </c>
      <c r="P9">
        <v>68</v>
      </c>
      <c r="Q9">
        <v>100.64</v>
      </c>
      <c r="R9">
        <v>7.48</v>
      </c>
      <c r="S9">
        <v>1.0880000000000001</v>
      </c>
      <c r="T9">
        <v>6.8</v>
      </c>
      <c r="U9" t="s">
        <v>43</v>
      </c>
      <c r="V9" t="s">
        <v>44</v>
      </c>
      <c r="W9">
        <v>38</v>
      </c>
      <c r="X9">
        <v>130.94800000000001</v>
      </c>
      <c r="Y9">
        <v>10.374000000000001</v>
      </c>
      <c r="Z9">
        <v>1.5960000000000001</v>
      </c>
      <c r="AA9">
        <v>7.3339999999999996</v>
      </c>
      <c r="AB9" t="s">
        <v>21</v>
      </c>
      <c r="AC9" t="s">
        <v>22</v>
      </c>
      <c r="AD9">
        <v>84</v>
      </c>
      <c r="AE9">
        <v>118.44</v>
      </c>
      <c r="AF9">
        <v>5.7119999999999997</v>
      </c>
      <c r="AG9">
        <v>15.12</v>
      </c>
      <c r="AH9">
        <v>1.764</v>
      </c>
    </row>
    <row r="10" spans="1:83" x14ac:dyDescent="0.35">
      <c r="A10" t="s">
        <v>48</v>
      </c>
      <c r="B10" s="2">
        <f t="shared" si="0"/>
        <v>764.70885228300006</v>
      </c>
      <c r="C10" s="2">
        <f t="shared" si="1"/>
        <v>476.99999600000001</v>
      </c>
      <c r="D10" s="2">
        <f t="shared" si="2"/>
        <v>43.887475550999994</v>
      </c>
      <c r="E10" s="2">
        <f t="shared" si="3"/>
        <v>39.910617338999998</v>
      </c>
      <c r="F10" s="2">
        <f t="shared" si="4"/>
        <v>51.504722670999996</v>
      </c>
      <c r="G10" t="s">
        <v>49</v>
      </c>
      <c r="H10" t="s">
        <v>50</v>
      </c>
      <c r="I10">
        <v>202.38095100000001</v>
      </c>
      <c r="J10">
        <v>314.095235952</v>
      </c>
      <c r="K10">
        <v>14.571428471999999</v>
      </c>
      <c r="L10">
        <v>0</v>
      </c>
      <c r="M10">
        <v>42.499999709999997</v>
      </c>
      <c r="N10" t="s">
        <v>7</v>
      </c>
      <c r="O10" t="s">
        <v>8</v>
      </c>
      <c r="P10">
        <v>3.6386280000000002</v>
      </c>
      <c r="Q10">
        <v>32.165471519999997</v>
      </c>
      <c r="R10">
        <v>3.6386280000000002</v>
      </c>
      <c r="S10">
        <v>0</v>
      </c>
      <c r="T10">
        <v>0</v>
      </c>
      <c r="U10" t="s">
        <v>51</v>
      </c>
      <c r="V10" t="s">
        <v>52</v>
      </c>
      <c r="W10">
        <v>14.554513999999999</v>
      </c>
      <c r="X10">
        <v>40.403330863999997</v>
      </c>
      <c r="Y10">
        <v>2.488821894</v>
      </c>
      <c r="Z10">
        <v>0.46574444799999998</v>
      </c>
      <c r="AA10">
        <v>4.0752639200000003</v>
      </c>
      <c r="AB10" t="s">
        <v>53</v>
      </c>
      <c r="AC10" t="s">
        <v>54</v>
      </c>
      <c r="AD10">
        <v>202.38095100000001</v>
      </c>
      <c r="AE10">
        <v>183.55952255700001</v>
      </c>
      <c r="AF10">
        <v>5.8690475790000001</v>
      </c>
      <c r="AG10">
        <v>30.559523600999999</v>
      </c>
      <c r="AH10">
        <v>3.4404761669999999</v>
      </c>
      <c r="AI10" t="s">
        <v>55</v>
      </c>
      <c r="AJ10" t="s">
        <v>56</v>
      </c>
      <c r="AK10">
        <v>20.238095999999999</v>
      </c>
      <c r="AL10">
        <v>145.10714831999999</v>
      </c>
      <c r="AM10">
        <v>16.392857759999998</v>
      </c>
      <c r="AN10">
        <v>2.0238096000000001E-2</v>
      </c>
      <c r="AO10">
        <v>0.161904768</v>
      </c>
      <c r="AP10" t="s">
        <v>57</v>
      </c>
      <c r="AQ10" t="s">
        <v>58</v>
      </c>
      <c r="AR10">
        <v>3.6386280000000002</v>
      </c>
      <c r="AS10">
        <v>0.87327071999999994</v>
      </c>
      <c r="AT10">
        <v>0</v>
      </c>
      <c r="AU10">
        <v>7.277256E-2</v>
      </c>
      <c r="AV10">
        <v>0.14554512</v>
      </c>
      <c r="AW10" t="s">
        <v>59</v>
      </c>
      <c r="AY10">
        <v>19.252341999999999</v>
      </c>
      <c r="AZ10">
        <v>45.339265410000003</v>
      </c>
      <c r="BA10">
        <v>0.90486007400000001</v>
      </c>
      <c r="BB10">
        <v>8.0282266139999994</v>
      </c>
      <c r="BC10">
        <v>1.039626468</v>
      </c>
      <c r="BD10" t="s">
        <v>60</v>
      </c>
      <c r="BF10">
        <v>10.915886</v>
      </c>
      <c r="BG10">
        <v>3.16560694</v>
      </c>
      <c r="BH10">
        <v>2.1831771999999999E-2</v>
      </c>
      <c r="BI10">
        <v>0.76411202</v>
      </c>
      <c r="BJ10">
        <v>0.14190651800000001</v>
      </c>
    </row>
    <row r="11" spans="1:83" x14ac:dyDescent="0.35">
      <c r="A11" t="s">
        <v>61</v>
      </c>
      <c r="B11" s="2">
        <f t="shared" si="0"/>
        <v>151.624</v>
      </c>
      <c r="C11" s="2">
        <f t="shared" si="1"/>
        <v>44</v>
      </c>
      <c r="D11" s="2">
        <f t="shared" si="2"/>
        <v>12.012</v>
      </c>
      <c r="E11" s="2">
        <f t="shared" si="3"/>
        <v>1.8480000000000001</v>
      </c>
      <c r="F11" s="2">
        <f t="shared" si="4"/>
        <v>8.4920000000000009</v>
      </c>
      <c r="G11" t="s">
        <v>43</v>
      </c>
      <c r="H11" t="s">
        <v>44</v>
      </c>
      <c r="I11">
        <v>44</v>
      </c>
      <c r="J11">
        <v>151.624</v>
      </c>
      <c r="K11">
        <v>12.012</v>
      </c>
      <c r="L11">
        <v>1.8480000000000001</v>
      </c>
      <c r="M11">
        <v>8.4920000000000009</v>
      </c>
    </row>
    <row r="12" spans="1:83" x14ac:dyDescent="0.35">
      <c r="A12" t="s">
        <v>62</v>
      </c>
      <c r="B12" s="2">
        <f t="shared" si="0"/>
        <v>811.45643579</v>
      </c>
      <c r="C12" s="2">
        <f t="shared" si="1"/>
        <v>474.00000199999999</v>
      </c>
      <c r="D12" s="2">
        <f t="shared" si="2"/>
        <v>48.723755644000001</v>
      </c>
      <c r="E12" s="2">
        <f t="shared" si="3"/>
        <v>44.495756270000001</v>
      </c>
      <c r="F12" s="2">
        <f t="shared" si="4"/>
        <v>47.054487864000002</v>
      </c>
      <c r="G12" t="s">
        <v>63</v>
      </c>
      <c r="H12" t="s">
        <v>64</v>
      </c>
      <c r="I12">
        <v>36</v>
      </c>
      <c r="J12">
        <v>194.76</v>
      </c>
      <c r="K12">
        <v>15.12</v>
      </c>
      <c r="L12">
        <v>0.504</v>
      </c>
      <c r="M12">
        <v>13.32</v>
      </c>
      <c r="N12" t="s">
        <v>24</v>
      </c>
      <c r="O12" t="s">
        <v>25</v>
      </c>
      <c r="P12">
        <v>269</v>
      </c>
      <c r="Q12">
        <v>398.12</v>
      </c>
      <c r="R12">
        <v>29.59</v>
      </c>
      <c r="S12">
        <v>4.3040000000000003</v>
      </c>
      <c r="T12">
        <v>26.9</v>
      </c>
      <c r="U12" t="s">
        <v>41</v>
      </c>
      <c r="V12" t="s">
        <v>42</v>
      </c>
      <c r="W12">
        <v>45.853661000000002</v>
      </c>
      <c r="X12">
        <v>16.048781349999999</v>
      </c>
      <c r="Y12">
        <v>0.18341464399999999</v>
      </c>
      <c r="Z12">
        <v>3.2097562700000002</v>
      </c>
      <c r="AA12">
        <v>1.100487864</v>
      </c>
      <c r="AB12" t="s">
        <v>7</v>
      </c>
      <c r="AC12" t="s">
        <v>8</v>
      </c>
      <c r="AD12">
        <v>1.1463410000000001</v>
      </c>
      <c r="AE12">
        <v>10.133654440000001</v>
      </c>
      <c r="AF12">
        <v>1.1463410000000001</v>
      </c>
      <c r="AG12">
        <v>0</v>
      </c>
      <c r="AH12">
        <v>0</v>
      </c>
      <c r="AI12" t="s">
        <v>65</v>
      </c>
      <c r="AJ12" t="s">
        <v>66</v>
      </c>
      <c r="AK12">
        <v>122</v>
      </c>
      <c r="AL12">
        <v>192.39400000000001</v>
      </c>
      <c r="AM12">
        <v>2.6840000000000002</v>
      </c>
      <c r="AN12">
        <v>36.478000000000002</v>
      </c>
      <c r="AO12">
        <v>5.734</v>
      </c>
    </row>
    <row r="13" spans="1:83" x14ac:dyDescent="0.35">
      <c r="A13" t="s">
        <v>67</v>
      </c>
      <c r="B13" s="2">
        <f t="shared" si="0"/>
        <v>625.91</v>
      </c>
      <c r="C13" s="2">
        <f t="shared" si="1"/>
        <v>161</v>
      </c>
      <c r="D13" s="2">
        <f t="shared" si="2"/>
        <v>44.819999999999993</v>
      </c>
      <c r="E13" s="2">
        <f t="shared" si="3"/>
        <v>37.137999999999998</v>
      </c>
      <c r="F13" s="2">
        <f t="shared" si="4"/>
        <v>20.353999999999999</v>
      </c>
      <c r="G13" t="s">
        <v>63</v>
      </c>
      <c r="H13" t="s">
        <v>64</v>
      </c>
      <c r="I13">
        <v>47</v>
      </c>
      <c r="J13">
        <v>254.27</v>
      </c>
      <c r="K13">
        <v>19.739999999999998</v>
      </c>
      <c r="L13">
        <v>0.65800000000000003</v>
      </c>
      <c r="M13">
        <v>17.39</v>
      </c>
      <c r="N13" t="s">
        <v>27</v>
      </c>
      <c r="O13" t="s">
        <v>28</v>
      </c>
      <c r="P13">
        <v>114</v>
      </c>
      <c r="Q13">
        <v>371.64</v>
      </c>
      <c r="R13">
        <v>25.08</v>
      </c>
      <c r="S13">
        <v>36.479999999999997</v>
      </c>
      <c r="T13">
        <v>2.964</v>
      </c>
    </row>
    <row r="14" spans="1:83" x14ac:dyDescent="0.35">
      <c r="A14" t="s">
        <v>68</v>
      </c>
      <c r="B14" s="2">
        <f t="shared" si="0"/>
        <v>84.952001379000009</v>
      </c>
      <c r="C14" s="2">
        <f t="shared" si="1"/>
        <v>82.000004000000004</v>
      </c>
      <c r="D14" s="2">
        <f t="shared" si="2"/>
        <v>9.7970000940000013</v>
      </c>
      <c r="E14" s="2">
        <f t="shared" si="3"/>
        <v>2.7954288509999992</v>
      </c>
      <c r="F14" s="2">
        <f t="shared" si="4"/>
        <v>11.187000595000002</v>
      </c>
      <c r="G14" t="s">
        <v>69</v>
      </c>
      <c r="H14" t="s">
        <v>70</v>
      </c>
      <c r="I14">
        <v>57.142859999999999</v>
      </c>
      <c r="J14">
        <v>51.428573999999998</v>
      </c>
      <c r="K14">
        <v>7.4285718000000003</v>
      </c>
      <c r="L14">
        <v>0</v>
      </c>
      <c r="M14">
        <v>10.514286240000001</v>
      </c>
      <c r="N14" t="s">
        <v>71</v>
      </c>
      <c r="O14" t="s">
        <v>72</v>
      </c>
      <c r="P14">
        <v>0.57142899999999996</v>
      </c>
      <c r="Q14">
        <v>0.85142921000000005</v>
      </c>
      <c r="R14">
        <v>2.8571450000000002E-3</v>
      </c>
      <c r="S14">
        <v>0.18857156999999999</v>
      </c>
      <c r="T14">
        <v>3.6571456000000002E-2</v>
      </c>
      <c r="U14" t="s">
        <v>73</v>
      </c>
      <c r="V14" t="s">
        <v>74</v>
      </c>
      <c r="W14">
        <v>1.142857</v>
      </c>
      <c r="X14">
        <v>0.22857140000000001</v>
      </c>
      <c r="Y14">
        <v>2.2857139999999999E-3</v>
      </c>
      <c r="Z14">
        <v>3.7714281000000002E-2</v>
      </c>
      <c r="AA14">
        <v>1.7142854999999999E-2</v>
      </c>
      <c r="AB14" t="s">
        <v>7</v>
      </c>
      <c r="AC14" t="s">
        <v>8</v>
      </c>
      <c r="AD14">
        <v>2.285714</v>
      </c>
      <c r="AE14">
        <v>20.20571176</v>
      </c>
      <c r="AF14">
        <v>2.285714</v>
      </c>
      <c r="AG14">
        <v>0</v>
      </c>
      <c r="AH14">
        <v>0</v>
      </c>
      <c r="AI14" t="s">
        <v>11</v>
      </c>
      <c r="AJ14" t="s">
        <v>12</v>
      </c>
      <c r="AK14">
        <v>0.14285700000000001</v>
      </c>
      <c r="AL14">
        <v>0</v>
      </c>
      <c r="AM14">
        <v>0</v>
      </c>
      <c r="AN14">
        <v>0</v>
      </c>
      <c r="AO14">
        <v>0</v>
      </c>
      <c r="AP14" t="s">
        <v>75</v>
      </c>
      <c r="AQ14" t="s">
        <v>76</v>
      </c>
      <c r="AR14">
        <v>2.285714</v>
      </c>
      <c r="AS14">
        <v>0.41142852000000002</v>
      </c>
      <c r="AT14">
        <v>4.5714279999999998E-3</v>
      </c>
      <c r="AU14">
        <v>8.9142845999999998E-2</v>
      </c>
      <c r="AV14">
        <v>2.0571426E-2</v>
      </c>
      <c r="AW14" t="s">
        <v>77</v>
      </c>
      <c r="AX14" t="s">
        <v>78</v>
      </c>
      <c r="AY14">
        <v>11.428572000000001</v>
      </c>
      <c r="AZ14">
        <v>10.400000520000001</v>
      </c>
      <c r="BA14">
        <v>5.7142859999999997E-2</v>
      </c>
      <c r="BB14">
        <v>2.1828572519999998</v>
      </c>
      <c r="BC14">
        <v>0.48000002400000003</v>
      </c>
      <c r="BD14" t="s">
        <v>79</v>
      </c>
      <c r="BE14" t="s">
        <v>80</v>
      </c>
      <c r="BF14">
        <v>5.1428580000000004</v>
      </c>
      <c r="BG14">
        <v>0.97714301999999997</v>
      </c>
      <c r="BH14">
        <v>1.0285716E-2</v>
      </c>
      <c r="BI14">
        <v>0.19028574600000001</v>
      </c>
      <c r="BJ14">
        <v>9.2571444000000003E-2</v>
      </c>
      <c r="BK14" t="s">
        <v>81</v>
      </c>
      <c r="BL14" t="s">
        <v>82</v>
      </c>
      <c r="BM14">
        <v>1.142857</v>
      </c>
      <c r="BN14">
        <v>0.19428569000000001</v>
      </c>
      <c r="BO14">
        <v>0</v>
      </c>
      <c r="BP14">
        <v>6.3999992000000006E-2</v>
      </c>
      <c r="BQ14">
        <v>4.5714279999999998E-3</v>
      </c>
      <c r="BR14" t="s">
        <v>83</v>
      </c>
      <c r="BS14" t="s">
        <v>84</v>
      </c>
      <c r="BT14">
        <v>0.57142899999999996</v>
      </c>
      <c r="BU14">
        <v>0.21200015899999999</v>
      </c>
      <c r="BV14">
        <v>4.5714320000000003E-3</v>
      </c>
      <c r="BW14">
        <v>3.6571456000000002E-2</v>
      </c>
      <c r="BX14">
        <v>1.6571440999999999E-2</v>
      </c>
      <c r="BY14" t="s">
        <v>38</v>
      </c>
      <c r="BZ14" t="s">
        <v>39</v>
      </c>
      <c r="CA14">
        <v>0.14285700000000001</v>
      </c>
      <c r="CB14">
        <v>4.2857100000000002E-2</v>
      </c>
      <c r="CC14">
        <v>9.999989999999999E-4</v>
      </c>
      <c r="CD14">
        <v>6.2857080000000001E-3</v>
      </c>
      <c r="CE14">
        <v>4.7142809999999999E-3</v>
      </c>
    </row>
    <row r="15" spans="1:83" x14ac:dyDescent="0.35">
      <c r="A15" t="s">
        <v>85</v>
      </c>
      <c r="B15" s="2">
        <f t="shared" si="0"/>
        <v>150.96</v>
      </c>
      <c r="C15" s="2">
        <f t="shared" si="1"/>
        <v>222</v>
      </c>
      <c r="D15" s="2">
        <f t="shared" si="2"/>
        <v>3.1080000000000001</v>
      </c>
      <c r="E15" s="2">
        <f t="shared" si="3"/>
        <v>26.64</v>
      </c>
      <c r="F15" s="2">
        <f t="shared" si="4"/>
        <v>5.3280000000000003</v>
      </c>
      <c r="G15" t="s">
        <v>86</v>
      </c>
      <c r="H15" t="s">
        <v>87</v>
      </c>
      <c r="I15">
        <v>222</v>
      </c>
      <c r="J15">
        <v>150.96</v>
      </c>
      <c r="K15">
        <v>3.1080000000000001</v>
      </c>
      <c r="L15">
        <v>26.64</v>
      </c>
      <c r="M15">
        <v>5.3280000000000003</v>
      </c>
    </row>
    <row r="16" spans="1:83" x14ac:dyDescent="0.35">
      <c r="A16" t="s">
        <v>88</v>
      </c>
      <c r="B16" s="2">
        <f t="shared" si="0"/>
        <v>176.16141429800001</v>
      </c>
      <c r="C16" s="2">
        <f t="shared" si="1"/>
        <v>97.000000999999997</v>
      </c>
      <c r="D16" s="2">
        <f t="shared" si="2"/>
        <v>9.7894613840000009</v>
      </c>
      <c r="E16" s="2">
        <f t="shared" si="3"/>
        <v>14.871903558</v>
      </c>
      <c r="F16" s="2">
        <f t="shared" si="4"/>
        <v>7.5692049320000008</v>
      </c>
      <c r="G16" t="s">
        <v>89</v>
      </c>
      <c r="H16" t="s">
        <v>90</v>
      </c>
      <c r="I16">
        <v>10.047266</v>
      </c>
      <c r="J16">
        <v>4.0189063999999997</v>
      </c>
      <c r="K16">
        <v>1.0047265999999999E-2</v>
      </c>
      <c r="L16">
        <v>0.90425394000000003</v>
      </c>
      <c r="M16">
        <v>0.110519926</v>
      </c>
      <c r="N16" t="s">
        <v>7</v>
      </c>
      <c r="O16" t="s">
        <v>8</v>
      </c>
      <c r="P16">
        <v>5.0236330000000002</v>
      </c>
      <c r="Q16">
        <v>44.408915720000003</v>
      </c>
      <c r="R16">
        <v>5.0236330000000002</v>
      </c>
      <c r="S16">
        <v>0</v>
      </c>
      <c r="T16">
        <v>0</v>
      </c>
      <c r="U16" t="s">
        <v>51</v>
      </c>
      <c r="V16" t="s">
        <v>52</v>
      </c>
      <c r="W16">
        <v>20.094532000000001</v>
      </c>
      <c r="X16">
        <v>55.782420832</v>
      </c>
      <c r="Y16">
        <v>3.4361649719999998</v>
      </c>
      <c r="Z16">
        <v>0.64302502399999995</v>
      </c>
      <c r="AA16">
        <v>5.6264689600000004</v>
      </c>
      <c r="AB16" t="s">
        <v>11</v>
      </c>
      <c r="AC16" t="s">
        <v>12</v>
      </c>
      <c r="AD16">
        <v>8.8602E-2</v>
      </c>
      <c r="AE16">
        <v>0</v>
      </c>
      <c r="AF16">
        <v>0</v>
      </c>
      <c r="AG16">
        <v>0</v>
      </c>
      <c r="AH16">
        <v>0</v>
      </c>
      <c r="AI16" t="s">
        <v>91</v>
      </c>
      <c r="AJ16" t="s">
        <v>92</v>
      </c>
      <c r="AK16">
        <v>20.094532000000001</v>
      </c>
      <c r="AL16">
        <v>4.9834439359999996</v>
      </c>
      <c r="AM16">
        <v>4.0189063999999997E-2</v>
      </c>
      <c r="AN16">
        <v>1.185577388</v>
      </c>
      <c r="AO16">
        <v>0.20094532000000001</v>
      </c>
      <c r="AP16" t="s">
        <v>59</v>
      </c>
      <c r="AR16">
        <v>26.580538000000001</v>
      </c>
      <c r="AS16">
        <v>62.597166989999998</v>
      </c>
      <c r="AT16">
        <v>1.2492852860000001</v>
      </c>
      <c r="AU16">
        <v>11.084084345999999</v>
      </c>
      <c r="AV16">
        <v>1.4353490520000001</v>
      </c>
      <c r="AW16" t="s">
        <v>60</v>
      </c>
      <c r="AY16">
        <v>15.070898</v>
      </c>
      <c r="AZ16">
        <v>4.3705604200000003</v>
      </c>
      <c r="BA16">
        <v>3.0141795999999998E-2</v>
      </c>
      <c r="BB16">
        <v>1.0549628600000001</v>
      </c>
      <c r="BC16">
        <v>0.19592167399999999</v>
      </c>
    </row>
    <row r="17" spans="1:90" x14ac:dyDescent="0.35">
      <c r="A17" t="s">
        <v>93</v>
      </c>
      <c r="B17" s="2">
        <f t="shared" si="0"/>
        <v>256.58999999999997</v>
      </c>
      <c r="C17" s="2">
        <f t="shared" si="1"/>
        <v>117</v>
      </c>
      <c r="D17" s="2">
        <f t="shared" si="2"/>
        <v>17.181000000000001</v>
      </c>
      <c r="E17" s="2">
        <f t="shared" si="3"/>
        <v>14.850000000000001</v>
      </c>
      <c r="F17" s="2">
        <f t="shared" si="4"/>
        <v>10.197000000000001</v>
      </c>
      <c r="G17" t="s">
        <v>43</v>
      </c>
      <c r="H17" t="s">
        <v>44</v>
      </c>
      <c r="I17">
        <v>45</v>
      </c>
      <c r="J17">
        <v>155.07</v>
      </c>
      <c r="K17">
        <v>12.285</v>
      </c>
      <c r="L17">
        <v>1.89</v>
      </c>
      <c r="M17">
        <v>8.6850000000000005</v>
      </c>
      <c r="N17" t="s">
        <v>21</v>
      </c>
      <c r="O17" t="s">
        <v>22</v>
      </c>
      <c r="P17">
        <v>72</v>
      </c>
      <c r="Q17">
        <v>101.52</v>
      </c>
      <c r="R17">
        <v>4.8959999999999999</v>
      </c>
      <c r="S17">
        <v>12.96</v>
      </c>
      <c r="T17">
        <v>1.512</v>
      </c>
    </row>
    <row r="18" spans="1:90" x14ac:dyDescent="0.35">
      <c r="A18" t="s">
        <v>94</v>
      </c>
      <c r="B18" s="2">
        <f t="shared" si="0"/>
        <v>102.66</v>
      </c>
      <c r="C18" s="2">
        <f t="shared" si="1"/>
        <v>174</v>
      </c>
      <c r="D18" s="2">
        <f t="shared" si="2"/>
        <v>0.69599999999999995</v>
      </c>
      <c r="E18" s="2">
        <f t="shared" si="3"/>
        <v>6.2640000000000002</v>
      </c>
      <c r="F18" s="2">
        <f t="shared" si="4"/>
        <v>17.399999999999999</v>
      </c>
      <c r="G18" t="s">
        <v>95</v>
      </c>
      <c r="H18" t="s">
        <v>96</v>
      </c>
      <c r="I18">
        <v>174</v>
      </c>
      <c r="J18">
        <v>102.66</v>
      </c>
      <c r="K18">
        <v>0.69599999999999995</v>
      </c>
      <c r="L18">
        <v>6.2640000000000002</v>
      </c>
      <c r="M18">
        <v>17.399999999999999</v>
      </c>
    </row>
    <row r="19" spans="1:90" x14ac:dyDescent="0.35">
      <c r="A19" t="s">
        <v>97</v>
      </c>
      <c r="B19" s="2">
        <f t="shared" si="0"/>
        <v>187.88</v>
      </c>
      <c r="C19" s="2">
        <f t="shared" si="1"/>
        <v>122</v>
      </c>
      <c r="D19" s="2">
        <f t="shared" si="2"/>
        <v>14.273999999999999</v>
      </c>
      <c r="E19" s="2">
        <f t="shared" si="3"/>
        <v>0.73199999999999998</v>
      </c>
      <c r="F19" s="2">
        <f t="shared" si="4"/>
        <v>12.688000000000001</v>
      </c>
      <c r="G19" t="s">
        <v>98</v>
      </c>
      <c r="H19" t="s">
        <v>99</v>
      </c>
      <c r="I19">
        <v>122</v>
      </c>
      <c r="J19">
        <v>187.88</v>
      </c>
      <c r="K19">
        <v>14.273999999999999</v>
      </c>
      <c r="L19">
        <v>0.73199999999999998</v>
      </c>
      <c r="M19">
        <v>12.688000000000001</v>
      </c>
    </row>
    <row r="20" spans="1:90" x14ac:dyDescent="0.35">
      <c r="A20" t="s">
        <v>100</v>
      </c>
      <c r="B20" s="2">
        <f t="shared" si="0"/>
        <v>157.13043578999998</v>
      </c>
      <c r="C20" s="2">
        <f t="shared" si="1"/>
        <v>85.000002000000009</v>
      </c>
      <c r="D20" s="2">
        <f t="shared" si="2"/>
        <v>11.703755644000001</v>
      </c>
      <c r="E20" s="2">
        <f t="shared" si="3"/>
        <v>4.8057562699999998</v>
      </c>
      <c r="F20" s="2">
        <f t="shared" si="4"/>
        <v>8.4344878639999994</v>
      </c>
      <c r="G20" t="s">
        <v>41</v>
      </c>
      <c r="H20" t="s">
        <v>42</v>
      </c>
      <c r="I20">
        <v>45.853661000000002</v>
      </c>
      <c r="J20">
        <v>16.048781349999999</v>
      </c>
      <c r="K20">
        <v>0.18341464399999999</v>
      </c>
      <c r="L20">
        <v>3.2097562700000002</v>
      </c>
      <c r="M20">
        <v>1.100487864</v>
      </c>
      <c r="N20" t="s">
        <v>43</v>
      </c>
      <c r="O20" t="s">
        <v>44</v>
      </c>
      <c r="P20">
        <v>38</v>
      </c>
      <c r="Q20">
        <v>130.94800000000001</v>
      </c>
      <c r="R20">
        <v>10.374000000000001</v>
      </c>
      <c r="S20">
        <v>1.5960000000000001</v>
      </c>
      <c r="T20">
        <v>7.3339999999999996</v>
      </c>
      <c r="U20" t="s">
        <v>7</v>
      </c>
      <c r="V20" t="s">
        <v>8</v>
      </c>
      <c r="W20">
        <v>1.1463410000000001</v>
      </c>
      <c r="X20">
        <v>10.133654440000001</v>
      </c>
      <c r="Y20">
        <v>1.1463410000000001</v>
      </c>
      <c r="Z20">
        <v>0</v>
      </c>
      <c r="AA20">
        <v>0</v>
      </c>
    </row>
    <row r="21" spans="1:90" x14ac:dyDescent="0.35">
      <c r="A21" t="s">
        <v>101</v>
      </c>
      <c r="B21" s="2">
        <f t="shared" si="0"/>
        <v>158.00506210999998</v>
      </c>
      <c r="C21" s="2">
        <f t="shared" si="1"/>
        <v>108.000004</v>
      </c>
      <c r="D21" s="2">
        <f t="shared" si="2"/>
        <v>5.5523348350000008</v>
      </c>
      <c r="E21" s="2">
        <f t="shared" si="3"/>
        <v>5.9848160460000006</v>
      </c>
      <c r="F21" s="2">
        <f t="shared" si="4"/>
        <v>20.081653338999999</v>
      </c>
      <c r="G21" t="s">
        <v>102</v>
      </c>
      <c r="H21" t="s">
        <v>103</v>
      </c>
      <c r="I21">
        <v>61.549422999999997</v>
      </c>
      <c r="J21">
        <v>101.55654795</v>
      </c>
      <c r="K21">
        <v>2.2157792280000002</v>
      </c>
      <c r="L21">
        <v>0</v>
      </c>
      <c r="M21">
        <v>19.080321130000002</v>
      </c>
      <c r="N21" t="s">
        <v>1</v>
      </c>
      <c r="O21" t="s">
        <v>2</v>
      </c>
      <c r="P21">
        <v>7.6936780000000002</v>
      </c>
      <c r="Q21">
        <v>2.61585052</v>
      </c>
      <c r="R21">
        <v>5.3855746000000003E-2</v>
      </c>
      <c r="S21">
        <v>0.52317010399999997</v>
      </c>
      <c r="T21">
        <v>5.3855746000000003E-2</v>
      </c>
      <c r="U21" t="s">
        <v>104</v>
      </c>
      <c r="V21" t="s">
        <v>105</v>
      </c>
      <c r="W21">
        <v>7.6936780000000002</v>
      </c>
      <c r="X21">
        <v>3.0774712000000002</v>
      </c>
      <c r="Y21">
        <v>1.5387356E-2</v>
      </c>
      <c r="Z21">
        <v>0.69243102000000001</v>
      </c>
      <c r="AA21">
        <v>0.15387355999999999</v>
      </c>
      <c r="AB21" t="s">
        <v>106</v>
      </c>
      <c r="AC21" t="s">
        <v>107</v>
      </c>
      <c r="AD21">
        <v>3.0774710000000001</v>
      </c>
      <c r="AE21">
        <v>0.70781833000000005</v>
      </c>
      <c r="AF21">
        <v>1.2309884E-2</v>
      </c>
      <c r="AG21">
        <v>0.11078895599999999</v>
      </c>
      <c r="AH21">
        <v>8.9246659000000006E-2</v>
      </c>
      <c r="AI21" t="s">
        <v>89</v>
      </c>
      <c r="AJ21" t="s">
        <v>90</v>
      </c>
      <c r="AK21">
        <v>3.0774710000000001</v>
      </c>
      <c r="AL21">
        <v>1.2309884</v>
      </c>
      <c r="AM21">
        <v>3.077471E-3</v>
      </c>
      <c r="AN21">
        <v>0.27697239000000001</v>
      </c>
      <c r="AO21">
        <v>3.3852181000000002E-2</v>
      </c>
      <c r="AP21" t="s">
        <v>71</v>
      </c>
      <c r="AQ21" t="s">
        <v>72</v>
      </c>
      <c r="AR21">
        <v>1.5387360000000001</v>
      </c>
      <c r="AS21">
        <v>2.2927166400000001</v>
      </c>
      <c r="AT21">
        <v>7.6936799999999996E-3</v>
      </c>
      <c r="AU21">
        <v>0.50778288000000005</v>
      </c>
      <c r="AV21">
        <v>9.8479103999999998E-2</v>
      </c>
      <c r="AW21" t="s">
        <v>7</v>
      </c>
      <c r="AX21" t="s">
        <v>8</v>
      </c>
      <c r="AY21">
        <v>3.0774710000000001</v>
      </c>
      <c r="AZ21">
        <v>27.20484364</v>
      </c>
      <c r="BA21">
        <v>3.0774710000000001</v>
      </c>
      <c r="BB21">
        <v>0</v>
      </c>
      <c r="BC21">
        <v>0</v>
      </c>
      <c r="BD21" t="s">
        <v>11</v>
      </c>
      <c r="BE21" t="s">
        <v>12</v>
      </c>
      <c r="BF21">
        <v>1.5387360000000001</v>
      </c>
      <c r="BG21">
        <v>0</v>
      </c>
      <c r="BH21">
        <v>0</v>
      </c>
      <c r="BI21">
        <v>0</v>
      </c>
      <c r="BJ21">
        <v>0</v>
      </c>
      <c r="BK21" t="s">
        <v>108</v>
      </c>
      <c r="BL21" t="s">
        <v>109</v>
      </c>
      <c r="BM21">
        <v>0.28851300000000002</v>
      </c>
      <c r="BN21">
        <v>0.1154052</v>
      </c>
      <c r="BO21">
        <v>5.7702600000000001E-4</v>
      </c>
      <c r="BP21">
        <v>2.6831708999999999E-2</v>
      </c>
      <c r="BQ21">
        <v>5.7702600000000001E-3</v>
      </c>
      <c r="BR21" t="s">
        <v>36</v>
      </c>
      <c r="BS21" t="s">
        <v>37</v>
      </c>
      <c r="BT21">
        <v>3.0774710000000001</v>
      </c>
      <c r="BU21">
        <v>0.89246658999999995</v>
      </c>
      <c r="BV21">
        <v>1.2309884E-2</v>
      </c>
      <c r="BW21">
        <v>0.200035615</v>
      </c>
      <c r="BX21">
        <v>2.7697238999999998E-2</v>
      </c>
      <c r="BY21" t="s">
        <v>110</v>
      </c>
      <c r="BZ21" t="s">
        <v>111</v>
      </c>
      <c r="CA21">
        <v>15.387356</v>
      </c>
      <c r="CB21">
        <v>18.310953640000001</v>
      </c>
      <c r="CC21">
        <v>0.15387355999999999</v>
      </c>
      <c r="CD21">
        <v>3.6468033719999999</v>
      </c>
      <c r="CE21">
        <v>0.53855746000000004</v>
      </c>
    </row>
    <row r="22" spans="1:90" x14ac:dyDescent="0.35">
      <c r="A22" t="s">
        <v>112</v>
      </c>
      <c r="B22" s="2">
        <f t="shared" si="0"/>
        <v>237.87802706099998</v>
      </c>
      <c r="C22" s="2">
        <f t="shared" si="1"/>
        <v>139.000001</v>
      </c>
      <c r="D22" s="2">
        <f t="shared" si="2"/>
        <v>8.4553955739999989</v>
      </c>
      <c r="E22" s="2">
        <f t="shared" si="3"/>
        <v>32.886372039000001</v>
      </c>
      <c r="F22" s="2">
        <f t="shared" si="4"/>
        <v>8.050471903</v>
      </c>
      <c r="G22" t="s">
        <v>7</v>
      </c>
      <c r="H22" t="s">
        <v>8</v>
      </c>
      <c r="I22">
        <v>4.1984180000000002</v>
      </c>
      <c r="J22">
        <v>37.114015119999998</v>
      </c>
      <c r="K22">
        <v>4.1984180000000002</v>
      </c>
      <c r="L22">
        <v>0</v>
      </c>
      <c r="M22">
        <v>0</v>
      </c>
      <c r="N22" t="s">
        <v>51</v>
      </c>
      <c r="O22" t="s">
        <v>52</v>
      </c>
      <c r="P22">
        <v>16.793671</v>
      </c>
      <c r="Q22">
        <v>46.619230696000002</v>
      </c>
      <c r="R22">
        <v>2.8717177409999999</v>
      </c>
      <c r="S22">
        <v>0.53739747199999999</v>
      </c>
      <c r="T22">
        <v>4.7022278799999997</v>
      </c>
      <c r="U22" t="s">
        <v>113</v>
      </c>
      <c r="V22" t="s">
        <v>114</v>
      </c>
      <c r="W22">
        <v>79</v>
      </c>
      <c r="X22">
        <v>97.17</v>
      </c>
      <c r="Y22">
        <v>0.316</v>
      </c>
      <c r="Z22">
        <v>22.12</v>
      </c>
      <c r="AA22">
        <v>1.8169999999999999</v>
      </c>
      <c r="AB22" t="s">
        <v>57</v>
      </c>
      <c r="AC22" t="s">
        <v>58</v>
      </c>
      <c r="AD22">
        <v>4.1984180000000002</v>
      </c>
      <c r="AE22">
        <v>1.00762032</v>
      </c>
      <c r="AF22">
        <v>0</v>
      </c>
      <c r="AG22">
        <v>8.3968360000000006E-2</v>
      </c>
      <c r="AH22">
        <v>0.16793672000000001</v>
      </c>
      <c r="AI22" t="s">
        <v>59</v>
      </c>
      <c r="AK22">
        <v>22.214241000000001</v>
      </c>
      <c r="AL22">
        <v>52.314537555000001</v>
      </c>
      <c r="AM22">
        <v>1.0440693270000001</v>
      </c>
      <c r="AN22">
        <v>9.2633384969999994</v>
      </c>
      <c r="AO22">
        <v>1.1995690139999999</v>
      </c>
      <c r="AP22" t="s">
        <v>60</v>
      </c>
      <c r="AR22">
        <v>12.595253</v>
      </c>
      <c r="AS22">
        <v>3.6526233700000001</v>
      </c>
      <c r="AT22">
        <v>2.5190506000000001E-2</v>
      </c>
      <c r="AU22">
        <v>0.88166770999999999</v>
      </c>
      <c r="AV22">
        <v>0.16373828900000001</v>
      </c>
    </row>
    <row r="23" spans="1:90" x14ac:dyDescent="0.35">
      <c r="A23" t="s">
        <v>115</v>
      </c>
      <c r="B23" s="2">
        <f t="shared" si="0"/>
        <v>91.65</v>
      </c>
      <c r="C23" s="2">
        <f t="shared" si="1"/>
        <v>65</v>
      </c>
      <c r="D23" s="2">
        <f t="shared" si="2"/>
        <v>4.42</v>
      </c>
      <c r="E23" s="2">
        <f t="shared" si="3"/>
        <v>11.7</v>
      </c>
      <c r="F23" s="2">
        <f t="shared" si="4"/>
        <v>1.365</v>
      </c>
      <c r="G23" t="s">
        <v>21</v>
      </c>
      <c r="H23" t="s">
        <v>22</v>
      </c>
      <c r="I23">
        <v>65</v>
      </c>
      <c r="J23">
        <v>91.65</v>
      </c>
      <c r="K23">
        <v>4.42</v>
      </c>
      <c r="L23">
        <v>11.7</v>
      </c>
      <c r="M23">
        <v>1.365</v>
      </c>
    </row>
    <row r="24" spans="1:90" x14ac:dyDescent="0.35">
      <c r="A24" t="s">
        <v>116</v>
      </c>
      <c r="B24" s="2">
        <f t="shared" si="0"/>
        <v>189.32</v>
      </c>
      <c r="C24" s="2">
        <f t="shared" si="1"/>
        <v>188</v>
      </c>
      <c r="D24" s="2">
        <f t="shared" si="2"/>
        <v>11.712</v>
      </c>
      <c r="E24" s="2">
        <f t="shared" si="3"/>
        <v>10.347999999999999</v>
      </c>
      <c r="F24" s="2">
        <f t="shared" si="4"/>
        <v>14.984000000000002</v>
      </c>
      <c r="G24" t="s">
        <v>117</v>
      </c>
      <c r="H24" t="s">
        <v>118</v>
      </c>
      <c r="I24">
        <v>132</v>
      </c>
      <c r="J24">
        <v>96.36</v>
      </c>
      <c r="K24">
        <v>6.3360000000000003</v>
      </c>
      <c r="L24">
        <v>2.508</v>
      </c>
      <c r="M24">
        <v>10.56</v>
      </c>
      <c r="N24" t="s">
        <v>18</v>
      </c>
      <c r="O24" t="s">
        <v>19</v>
      </c>
      <c r="P24">
        <v>56</v>
      </c>
      <c r="Q24">
        <v>92.96</v>
      </c>
      <c r="R24">
        <v>5.3760000000000003</v>
      </c>
      <c r="S24">
        <v>7.84</v>
      </c>
      <c r="T24">
        <v>4.4240000000000004</v>
      </c>
    </row>
    <row r="25" spans="1:90" x14ac:dyDescent="0.35">
      <c r="A25" t="s">
        <v>119</v>
      </c>
      <c r="B25" s="2">
        <f t="shared" si="0"/>
        <v>236.42133000099997</v>
      </c>
      <c r="C25" s="2">
        <f t="shared" si="1"/>
        <v>97.000001999999995</v>
      </c>
      <c r="D25" s="2">
        <f t="shared" si="2"/>
        <v>16.824751716999998</v>
      </c>
      <c r="E25" s="2">
        <f t="shared" si="3"/>
        <v>9.119427344</v>
      </c>
      <c r="F25" s="2">
        <f t="shared" si="4"/>
        <v>12.432779321999998</v>
      </c>
      <c r="G25" t="s">
        <v>120</v>
      </c>
      <c r="H25" t="s">
        <v>121</v>
      </c>
      <c r="I25">
        <v>5.397875</v>
      </c>
      <c r="J25">
        <v>0.86365999999999998</v>
      </c>
      <c r="K25">
        <v>1.079575E-2</v>
      </c>
      <c r="L25">
        <v>0.18352774999999999</v>
      </c>
      <c r="M25">
        <v>3.7785125000000003E-2</v>
      </c>
      <c r="N25" t="s">
        <v>122</v>
      </c>
      <c r="O25" t="s">
        <v>123</v>
      </c>
      <c r="P25">
        <v>43.182999000000002</v>
      </c>
      <c r="Q25">
        <v>42.751169009999998</v>
      </c>
      <c r="R25">
        <v>0.129548997</v>
      </c>
      <c r="S25">
        <v>8.6365997999999999E-2</v>
      </c>
      <c r="T25">
        <v>10.36391976</v>
      </c>
      <c r="U25" t="s">
        <v>124</v>
      </c>
      <c r="V25" t="s">
        <v>125</v>
      </c>
      <c r="W25">
        <v>21.888382</v>
      </c>
      <c r="X25">
        <v>148.84099760000001</v>
      </c>
      <c r="Y25">
        <v>16.416286499999998</v>
      </c>
      <c r="Z25">
        <v>0.13133029199999999</v>
      </c>
      <c r="AA25">
        <v>0.21888382000000001</v>
      </c>
      <c r="AB25" t="s">
        <v>73</v>
      </c>
      <c r="AC25" t="s">
        <v>74</v>
      </c>
      <c r="AD25">
        <v>3.8234940000000002</v>
      </c>
      <c r="AE25">
        <v>0.76469880000000001</v>
      </c>
      <c r="AF25">
        <v>7.6469880000000004E-3</v>
      </c>
      <c r="AG25">
        <v>0.12617530199999999</v>
      </c>
      <c r="AH25">
        <v>5.735241E-2</v>
      </c>
      <c r="AI25" t="s">
        <v>11</v>
      </c>
      <c r="AJ25" t="s">
        <v>12</v>
      </c>
      <c r="AK25">
        <v>3.1733999999999998E-2</v>
      </c>
      <c r="AL25">
        <v>0</v>
      </c>
      <c r="AM25">
        <v>0</v>
      </c>
      <c r="AN25">
        <v>0</v>
      </c>
      <c r="AO25">
        <v>0</v>
      </c>
      <c r="AP25" t="s">
        <v>126</v>
      </c>
      <c r="AQ25" t="s">
        <v>127</v>
      </c>
      <c r="AR25">
        <v>14.470749</v>
      </c>
      <c r="AS25">
        <v>41.805993860999997</v>
      </c>
      <c r="AT25">
        <v>0.26047348199999998</v>
      </c>
      <c r="AU25">
        <v>8.1325609379999992</v>
      </c>
      <c r="AV25">
        <v>1.7220191309999999</v>
      </c>
      <c r="AW25" t="s">
        <v>81</v>
      </c>
      <c r="AX25" t="s">
        <v>82</v>
      </c>
      <c r="AY25">
        <v>8.2047690000000006</v>
      </c>
      <c r="AZ25">
        <v>1.3948107300000001</v>
      </c>
      <c r="BA25">
        <v>0</v>
      </c>
      <c r="BB25">
        <v>0.45946706399999998</v>
      </c>
      <c r="BC25">
        <v>3.2819076000000003E-2</v>
      </c>
    </row>
    <row r="26" spans="1:90" x14ac:dyDescent="0.35">
      <c r="A26" t="s">
        <v>128</v>
      </c>
      <c r="B26" s="2">
        <f t="shared" si="0"/>
        <v>303.60000000000002</v>
      </c>
      <c r="C26" s="2">
        <f t="shared" si="1"/>
        <v>132</v>
      </c>
      <c r="D26" s="2">
        <f t="shared" si="2"/>
        <v>7.1280000000000001</v>
      </c>
      <c r="E26" s="2">
        <f t="shared" si="3"/>
        <v>51.48</v>
      </c>
      <c r="F26" s="2">
        <f t="shared" si="4"/>
        <v>8.1839999999999993</v>
      </c>
      <c r="G26" t="s">
        <v>129</v>
      </c>
      <c r="H26" t="s">
        <v>130</v>
      </c>
      <c r="I26">
        <v>132</v>
      </c>
      <c r="J26">
        <v>303.60000000000002</v>
      </c>
      <c r="K26">
        <v>7.1280000000000001</v>
      </c>
      <c r="L26">
        <v>51.48</v>
      </c>
      <c r="M26">
        <v>8.1839999999999993</v>
      </c>
    </row>
    <row r="27" spans="1:90" x14ac:dyDescent="0.35">
      <c r="A27" t="s">
        <v>131</v>
      </c>
      <c r="B27" s="2">
        <f t="shared" si="0"/>
        <v>151.54</v>
      </c>
      <c r="C27" s="2">
        <f t="shared" si="1"/>
        <v>104</v>
      </c>
      <c r="D27" s="2">
        <f t="shared" si="2"/>
        <v>10.012</v>
      </c>
      <c r="E27" s="2">
        <f t="shared" si="3"/>
        <v>7.24</v>
      </c>
      <c r="F27" s="2">
        <f t="shared" si="4"/>
        <v>7.7140000000000004</v>
      </c>
      <c r="G27" t="s">
        <v>24</v>
      </c>
      <c r="H27" t="s">
        <v>25</v>
      </c>
      <c r="I27">
        <v>70</v>
      </c>
      <c r="J27">
        <v>103.6</v>
      </c>
      <c r="K27">
        <v>7.7</v>
      </c>
      <c r="L27">
        <v>1.1200000000000001</v>
      </c>
      <c r="M27">
        <v>7</v>
      </c>
      <c r="N27" t="s">
        <v>21</v>
      </c>
      <c r="O27" t="s">
        <v>22</v>
      </c>
      <c r="P27">
        <v>34</v>
      </c>
      <c r="Q27">
        <v>47.94</v>
      </c>
      <c r="R27">
        <v>2.3119999999999998</v>
      </c>
      <c r="S27">
        <v>6.12</v>
      </c>
      <c r="T27">
        <v>0.71399999999999997</v>
      </c>
    </row>
    <row r="28" spans="1:90" x14ac:dyDescent="0.35">
      <c r="A28" t="s">
        <v>132</v>
      </c>
      <c r="B28" s="2">
        <f t="shared" si="0"/>
        <v>321.30287721400003</v>
      </c>
      <c r="C28" s="2">
        <f t="shared" si="1"/>
        <v>192.00000200000002</v>
      </c>
      <c r="D28" s="2">
        <f t="shared" si="2"/>
        <v>17.076414246999999</v>
      </c>
      <c r="E28" s="2">
        <f t="shared" si="3"/>
        <v>7.6355072679999996</v>
      </c>
      <c r="F28" s="2">
        <f t="shared" si="4"/>
        <v>32.217227493000003</v>
      </c>
      <c r="G28" t="s">
        <v>133</v>
      </c>
      <c r="H28" t="s">
        <v>134</v>
      </c>
      <c r="I28">
        <v>21</v>
      </c>
      <c r="J28">
        <v>2.1</v>
      </c>
      <c r="K28">
        <v>0</v>
      </c>
      <c r="L28">
        <v>0.42</v>
      </c>
      <c r="M28">
        <v>0.21</v>
      </c>
      <c r="N28" t="s">
        <v>120</v>
      </c>
      <c r="O28" t="s">
        <v>121</v>
      </c>
      <c r="P28">
        <v>2.275223</v>
      </c>
      <c r="Q28">
        <v>0.36403567999999997</v>
      </c>
      <c r="R28">
        <v>4.5504459999999997E-3</v>
      </c>
      <c r="S28">
        <v>7.7357581999999994E-2</v>
      </c>
      <c r="T28">
        <v>1.5926560999999999E-2</v>
      </c>
      <c r="U28" t="s">
        <v>135</v>
      </c>
      <c r="V28" t="s">
        <v>136</v>
      </c>
      <c r="W28">
        <v>2.275223</v>
      </c>
      <c r="X28">
        <v>0.93284142999999997</v>
      </c>
      <c r="Y28">
        <v>4.5504459999999997E-3</v>
      </c>
      <c r="Z28">
        <v>0.22752230000000001</v>
      </c>
      <c r="AA28">
        <v>2.0477006999999998E-2</v>
      </c>
      <c r="AB28" t="s">
        <v>89</v>
      </c>
      <c r="AC28" t="s">
        <v>90</v>
      </c>
      <c r="AD28">
        <v>2.275223</v>
      </c>
      <c r="AE28">
        <v>0.91008920000000004</v>
      </c>
      <c r="AF28">
        <v>2.2752229999999998E-3</v>
      </c>
      <c r="AG28">
        <v>0.20477007</v>
      </c>
      <c r="AH28">
        <v>2.5027453000000002E-2</v>
      </c>
      <c r="AI28" t="s">
        <v>137</v>
      </c>
      <c r="AJ28" t="s">
        <v>138</v>
      </c>
      <c r="AK28">
        <v>24</v>
      </c>
      <c r="AL28">
        <v>19.440000000000001</v>
      </c>
      <c r="AM28">
        <v>9.6000000000000002E-2</v>
      </c>
      <c r="AN28">
        <v>3.36</v>
      </c>
      <c r="AO28">
        <v>1.2</v>
      </c>
      <c r="AP28" t="s">
        <v>139</v>
      </c>
      <c r="AQ28" t="s">
        <v>140</v>
      </c>
      <c r="AR28">
        <v>18.201782000000001</v>
      </c>
      <c r="AS28">
        <v>8.4092232839999994</v>
      </c>
      <c r="AT28">
        <v>1.8201782E-2</v>
      </c>
      <c r="AU28">
        <v>2.0568013660000002</v>
      </c>
      <c r="AV28">
        <v>1.8201782E-2</v>
      </c>
      <c r="AW28" t="s">
        <v>141</v>
      </c>
      <c r="AX28" t="s">
        <v>142</v>
      </c>
      <c r="AY28">
        <v>1.153254</v>
      </c>
      <c r="AZ28">
        <v>0</v>
      </c>
      <c r="BA28">
        <v>0</v>
      </c>
      <c r="BB28">
        <v>0</v>
      </c>
      <c r="BC28">
        <v>0</v>
      </c>
      <c r="BD28" t="s">
        <v>143</v>
      </c>
      <c r="BE28" t="s">
        <v>144</v>
      </c>
      <c r="BF28">
        <v>6.9678699999999996</v>
      </c>
      <c r="BG28">
        <v>18.395176800000002</v>
      </c>
      <c r="BH28">
        <v>1.0242768900000001</v>
      </c>
      <c r="BI28">
        <v>1.2890559500000001</v>
      </c>
      <c r="BJ28">
        <v>1.1496985500000001</v>
      </c>
      <c r="BK28" t="s">
        <v>11</v>
      </c>
      <c r="BL28" t="s">
        <v>12</v>
      </c>
      <c r="BM28">
        <v>9.0287999999999993E-2</v>
      </c>
      <c r="BN28">
        <v>0</v>
      </c>
      <c r="BO28">
        <v>0</v>
      </c>
      <c r="BP28">
        <v>0</v>
      </c>
      <c r="BQ28">
        <v>0</v>
      </c>
      <c r="BR28" t="s">
        <v>145</v>
      </c>
      <c r="BS28" t="s">
        <v>146</v>
      </c>
      <c r="BT28">
        <v>113.761139</v>
      </c>
      <c r="BU28">
        <v>270.75151082000002</v>
      </c>
      <c r="BV28">
        <v>15.92655946</v>
      </c>
      <c r="BW28">
        <v>0</v>
      </c>
      <c r="BX28">
        <v>29.57789614</v>
      </c>
    </row>
    <row r="29" spans="1:90" x14ac:dyDescent="0.35">
      <c r="A29" t="s">
        <v>147</v>
      </c>
      <c r="B29" s="2">
        <f t="shared" si="0"/>
        <v>477.58923984299997</v>
      </c>
      <c r="C29" s="2">
        <f t="shared" si="1"/>
        <v>232.99999499999998</v>
      </c>
      <c r="D29" s="2">
        <f t="shared" si="2"/>
        <v>29.732112926999999</v>
      </c>
      <c r="E29" s="2">
        <f t="shared" si="3"/>
        <v>30.848241492</v>
      </c>
      <c r="F29" s="2">
        <f t="shared" si="4"/>
        <v>22.526594226</v>
      </c>
      <c r="G29" t="s">
        <v>63</v>
      </c>
      <c r="H29" t="s">
        <v>64</v>
      </c>
      <c r="I29">
        <v>12.090574</v>
      </c>
      <c r="J29">
        <v>65.410005339999998</v>
      </c>
      <c r="K29">
        <v>5.0780410800000002</v>
      </c>
      <c r="L29">
        <v>0.16926803600000001</v>
      </c>
      <c r="M29">
        <v>4.4735123799999998</v>
      </c>
      <c r="N29" t="s">
        <v>1</v>
      </c>
      <c r="O29" t="s">
        <v>2</v>
      </c>
      <c r="P29">
        <v>36.271720999999999</v>
      </c>
      <c r="Q29">
        <v>12.33238514</v>
      </c>
      <c r="R29">
        <v>0.25390204700000002</v>
      </c>
      <c r="S29">
        <v>2.4664770279999999</v>
      </c>
      <c r="T29">
        <v>0.25390204700000002</v>
      </c>
      <c r="U29" t="s">
        <v>3</v>
      </c>
      <c r="V29" t="s">
        <v>4</v>
      </c>
      <c r="W29">
        <v>18.135860000000001</v>
      </c>
      <c r="X29">
        <v>29.017375999999999</v>
      </c>
      <c r="Y29">
        <v>2.7203789999999999</v>
      </c>
      <c r="Z29">
        <v>1.6322274000000001</v>
      </c>
      <c r="AA29">
        <v>0.36271720000000002</v>
      </c>
      <c r="AB29" t="s">
        <v>5</v>
      </c>
      <c r="AC29" t="s">
        <v>6</v>
      </c>
      <c r="AD29">
        <v>0.426483</v>
      </c>
      <c r="AE29">
        <v>1.218461931</v>
      </c>
      <c r="AF29">
        <v>3.9236436E-2</v>
      </c>
      <c r="AG29">
        <v>0.20897667</v>
      </c>
      <c r="AH29">
        <v>1.7485803000000001E-2</v>
      </c>
      <c r="AI29" t="s">
        <v>7</v>
      </c>
      <c r="AJ29" t="s">
        <v>8</v>
      </c>
      <c r="AK29">
        <v>10.146174999999999</v>
      </c>
      <c r="AL29">
        <v>89.692187000000004</v>
      </c>
      <c r="AM29">
        <v>10.146174999999999</v>
      </c>
      <c r="AN29">
        <v>0</v>
      </c>
      <c r="AO29">
        <v>0</v>
      </c>
      <c r="AP29" t="s">
        <v>148</v>
      </c>
      <c r="AQ29" t="s">
        <v>149</v>
      </c>
      <c r="AR29">
        <v>18.765243999999999</v>
      </c>
      <c r="AS29">
        <v>29.179954420000001</v>
      </c>
      <c r="AT29">
        <v>1.9703506200000001</v>
      </c>
      <c r="AU29">
        <v>0.225182928</v>
      </c>
      <c r="AV29">
        <v>2.3456554999999999</v>
      </c>
      <c r="AW29" t="s">
        <v>51</v>
      </c>
      <c r="AX29" t="s">
        <v>52</v>
      </c>
      <c r="AY29">
        <v>40.584702</v>
      </c>
      <c r="AZ29">
        <v>112.663132752</v>
      </c>
      <c r="BA29">
        <v>6.9399840419999999</v>
      </c>
      <c r="BB29">
        <v>1.298710464</v>
      </c>
      <c r="BC29">
        <v>11.36371656</v>
      </c>
      <c r="BD29" t="s">
        <v>11</v>
      </c>
      <c r="BE29" t="s">
        <v>12</v>
      </c>
      <c r="BF29">
        <v>3.5540000000000002E-2</v>
      </c>
      <c r="BG29">
        <v>0</v>
      </c>
      <c r="BH29">
        <v>0</v>
      </c>
      <c r="BI29">
        <v>0</v>
      </c>
      <c r="BJ29">
        <v>0</v>
      </c>
      <c r="BK29" t="s">
        <v>81</v>
      </c>
      <c r="BL29" t="s">
        <v>82</v>
      </c>
      <c r="BM29">
        <v>2.274575</v>
      </c>
      <c r="BN29">
        <v>0.38667774999999999</v>
      </c>
      <c r="BO29">
        <v>0</v>
      </c>
      <c r="BP29">
        <v>0.12737619999999999</v>
      </c>
      <c r="BQ29">
        <v>9.0983000000000001E-3</v>
      </c>
      <c r="BR29" t="s">
        <v>57</v>
      </c>
      <c r="BS29" t="s">
        <v>58</v>
      </c>
      <c r="BT29">
        <v>10.146174999999999</v>
      </c>
      <c r="BU29">
        <v>2.435082</v>
      </c>
      <c r="BV29">
        <v>0</v>
      </c>
      <c r="BW29">
        <v>0.20292350000000001</v>
      </c>
      <c r="BX29">
        <v>0.40584700000000001</v>
      </c>
      <c r="BY29" t="s">
        <v>59</v>
      </c>
      <c r="CA29">
        <v>53.684418000000001</v>
      </c>
      <c r="CB29">
        <v>126.42680439</v>
      </c>
      <c r="CC29">
        <v>2.5231676460000001</v>
      </c>
      <c r="CD29">
        <v>22.386402306000001</v>
      </c>
      <c r="CE29">
        <v>2.8989585720000002</v>
      </c>
      <c r="CF29" t="s">
        <v>60</v>
      </c>
      <c r="CH29">
        <v>30.438528000000002</v>
      </c>
      <c r="CI29">
        <v>8.8271731199999994</v>
      </c>
      <c r="CJ29">
        <v>6.0877055999999999E-2</v>
      </c>
      <c r="CK29">
        <v>2.1306969599999999</v>
      </c>
      <c r="CL29">
        <v>0.39570086399999999</v>
      </c>
    </row>
    <row r="30" spans="1:90" x14ac:dyDescent="0.35">
      <c r="A30" t="s">
        <v>150</v>
      </c>
      <c r="B30" s="2">
        <f t="shared" si="0"/>
        <v>49.6</v>
      </c>
      <c r="C30" s="2">
        <f t="shared" si="1"/>
        <v>124</v>
      </c>
      <c r="D30" s="2">
        <f t="shared" si="2"/>
        <v>0.496</v>
      </c>
      <c r="E30" s="2">
        <f t="shared" si="3"/>
        <v>11.036</v>
      </c>
      <c r="F30" s="2">
        <f t="shared" si="4"/>
        <v>2.2320000000000002</v>
      </c>
      <c r="G30" t="s">
        <v>151</v>
      </c>
      <c r="H30" t="s">
        <v>152</v>
      </c>
      <c r="I30">
        <v>124</v>
      </c>
      <c r="J30">
        <v>49.6</v>
      </c>
      <c r="K30">
        <v>0.496</v>
      </c>
      <c r="L30">
        <v>11.036</v>
      </c>
      <c r="M30">
        <v>2.2320000000000002</v>
      </c>
    </row>
    <row r="31" spans="1:90" x14ac:dyDescent="0.35">
      <c r="A31" t="s">
        <v>153</v>
      </c>
      <c r="B31" s="2">
        <f t="shared" si="0"/>
        <v>93.042000000000002</v>
      </c>
      <c r="C31" s="2">
        <f t="shared" si="1"/>
        <v>27</v>
      </c>
      <c r="D31" s="2">
        <f t="shared" si="2"/>
        <v>7.3710000000000004</v>
      </c>
      <c r="E31" s="2">
        <f t="shared" si="3"/>
        <v>1.1339999999999999</v>
      </c>
      <c r="F31" s="2">
        <f t="shared" si="4"/>
        <v>5.2110000000000003</v>
      </c>
      <c r="G31" t="s">
        <v>43</v>
      </c>
      <c r="H31" t="s">
        <v>44</v>
      </c>
      <c r="I31">
        <v>27</v>
      </c>
      <c r="J31">
        <v>93.042000000000002</v>
      </c>
      <c r="K31">
        <v>7.3710000000000004</v>
      </c>
      <c r="L31">
        <v>1.1339999999999999</v>
      </c>
      <c r="M31">
        <v>5.2110000000000003</v>
      </c>
    </row>
    <row r="32" spans="1:90" x14ac:dyDescent="0.35">
      <c r="A32" t="s">
        <v>154</v>
      </c>
      <c r="B32" s="2">
        <f t="shared" si="0"/>
        <v>36.4</v>
      </c>
      <c r="C32" s="2">
        <f t="shared" si="1"/>
        <v>70</v>
      </c>
      <c r="D32" s="2">
        <f t="shared" si="2"/>
        <v>0.14000000000000001</v>
      </c>
      <c r="E32" s="2">
        <f t="shared" si="3"/>
        <v>0.49</v>
      </c>
      <c r="F32" s="2">
        <f t="shared" si="4"/>
        <v>7</v>
      </c>
      <c r="G32" t="s">
        <v>29</v>
      </c>
      <c r="H32" t="s">
        <v>30</v>
      </c>
      <c r="I32">
        <v>70</v>
      </c>
      <c r="J32">
        <v>36.4</v>
      </c>
      <c r="K32">
        <v>0.14000000000000001</v>
      </c>
      <c r="L32">
        <v>0.49</v>
      </c>
      <c r="M32">
        <v>7</v>
      </c>
    </row>
    <row r="33" spans="1:97" x14ac:dyDescent="0.35">
      <c r="A33" t="s">
        <v>155</v>
      </c>
      <c r="B33" s="2">
        <f t="shared" si="0"/>
        <v>279.46957700899998</v>
      </c>
      <c r="C33" s="2">
        <f t="shared" si="1"/>
        <v>216.00000200000002</v>
      </c>
      <c r="D33" s="2">
        <f t="shared" si="2"/>
        <v>15.575228847</v>
      </c>
      <c r="E33" s="2">
        <f t="shared" si="3"/>
        <v>15.796602740000001</v>
      </c>
      <c r="F33" s="2">
        <f t="shared" si="4"/>
        <v>19.331280366999998</v>
      </c>
      <c r="G33" t="s">
        <v>41</v>
      </c>
      <c r="H33" t="s">
        <v>42</v>
      </c>
      <c r="I33">
        <v>46.883709000000003</v>
      </c>
      <c r="J33">
        <v>16.409298150000001</v>
      </c>
      <c r="K33">
        <v>0.18753483600000001</v>
      </c>
      <c r="L33">
        <v>3.28185963</v>
      </c>
      <c r="M33">
        <v>1.1252090159999999</v>
      </c>
      <c r="N33" t="s">
        <v>49</v>
      </c>
      <c r="O33" t="s">
        <v>50</v>
      </c>
      <c r="P33">
        <v>79.523810999999995</v>
      </c>
      <c r="Q33">
        <v>123.42095467199999</v>
      </c>
      <c r="R33">
        <v>5.7257143920000004</v>
      </c>
      <c r="S33">
        <v>0</v>
      </c>
      <c r="T33">
        <v>16.70000031</v>
      </c>
      <c r="U33" t="s">
        <v>7</v>
      </c>
      <c r="V33" t="s">
        <v>8</v>
      </c>
      <c r="W33">
        <v>0.87907000000000002</v>
      </c>
      <c r="X33">
        <v>7.7709788</v>
      </c>
      <c r="Y33">
        <v>0.87907000000000002</v>
      </c>
      <c r="Z33">
        <v>0</v>
      </c>
      <c r="AA33">
        <v>0</v>
      </c>
      <c r="AB33" t="s">
        <v>156</v>
      </c>
      <c r="AC33" t="s">
        <v>157</v>
      </c>
      <c r="AD33">
        <v>0.64600599999999997</v>
      </c>
      <c r="AE33">
        <v>2.5517237000000002</v>
      </c>
      <c r="AF33">
        <v>3.2946306000000002E-2</v>
      </c>
      <c r="AG33">
        <v>0.46060227799999998</v>
      </c>
      <c r="AH33">
        <v>8.5272792E-2</v>
      </c>
      <c r="AI33" t="s">
        <v>53</v>
      </c>
      <c r="AJ33" t="s">
        <v>54</v>
      </c>
      <c r="AK33">
        <v>79.523810999999995</v>
      </c>
      <c r="AL33">
        <v>72.128096576999994</v>
      </c>
      <c r="AM33">
        <v>2.3061905189999998</v>
      </c>
      <c r="AN33">
        <v>12.008095461</v>
      </c>
      <c r="AO33">
        <v>1.3519047870000001</v>
      </c>
      <c r="AP33" t="s">
        <v>11</v>
      </c>
      <c r="AQ33" t="s">
        <v>12</v>
      </c>
      <c r="AR33">
        <v>5.1679999999999999E-3</v>
      </c>
      <c r="AS33">
        <v>0</v>
      </c>
      <c r="AT33">
        <v>0</v>
      </c>
      <c r="AU33">
        <v>0</v>
      </c>
      <c r="AV33">
        <v>0</v>
      </c>
      <c r="AW33" t="s">
        <v>55</v>
      </c>
      <c r="AX33" t="s">
        <v>56</v>
      </c>
      <c r="AY33">
        <v>7.9523809999999999</v>
      </c>
      <c r="AZ33">
        <v>57.018571770000001</v>
      </c>
      <c r="BA33">
        <v>6.44142861</v>
      </c>
      <c r="BB33">
        <v>7.9523809999999997E-3</v>
      </c>
      <c r="BC33">
        <v>6.3619047999999997E-2</v>
      </c>
      <c r="BD33" t="s">
        <v>36</v>
      </c>
      <c r="BE33" t="s">
        <v>37</v>
      </c>
      <c r="BF33">
        <v>0.58604599999999996</v>
      </c>
      <c r="BG33">
        <v>0.16995334000000001</v>
      </c>
      <c r="BH33">
        <v>2.344184E-3</v>
      </c>
      <c r="BI33">
        <v>3.809299E-2</v>
      </c>
      <c r="BJ33">
        <v>5.2744139999999998E-3</v>
      </c>
    </row>
    <row r="34" spans="1:97" x14ac:dyDescent="0.35">
      <c r="A34" t="s">
        <v>158</v>
      </c>
      <c r="B34" s="2">
        <f t="shared" si="0"/>
        <v>471.07873992800006</v>
      </c>
      <c r="C34" s="2">
        <f t="shared" si="1"/>
        <v>218.00000299999996</v>
      </c>
      <c r="D34" s="2">
        <f t="shared" si="2"/>
        <v>30.777038146999999</v>
      </c>
      <c r="E34" s="2">
        <f t="shared" si="3"/>
        <v>26.247683835999997</v>
      </c>
      <c r="F34" s="2">
        <f t="shared" si="4"/>
        <v>23.078135462999999</v>
      </c>
      <c r="G34" t="s">
        <v>120</v>
      </c>
      <c r="H34" t="s">
        <v>121</v>
      </c>
      <c r="I34">
        <v>6.7334310000000004</v>
      </c>
      <c r="J34">
        <v>1.0773489599999999</v>
      </c>
      <c r="K34">
        <v>1.3466862E-2</v>
      </c>
      <c r="L34">
        <v>0.22893665399999999</v>
      </c>
      <c r="M34">
        <v>4.7134017E-2</v>
      </c>
      <c r="N34" t="s">
        <v>122</v>
      </c>
      <c r="O34" t="s">
        <v>123</v>
      </c>
      <c r="P34">
        <v>53.867451000000003</v>
      </c>
      <c r="Q34">
        <v>53.328776490000003</v>
      </c>
      <c r="R34">
        <v>0.161602353</v>
      </c>
      <c r="S34">
        <v>0.10773490199999999</v>
      </c>
      <c r="T34">
        <v>12.928188240000001</v>
      </c>
      <c r="U34" t="s">
        <v>89</v>
      </c>
      <c r="V34" t="s">
        <v>90</v>
      </c>
      <c r="W34">
        <v>10.047266</v>
      </c>
      <c r="X34">
        <v>4.0189063999999997</v>
      </c>
      <c r="Y34">
        <v>1.0047265999999999E-2</v>
      </c>
      <c r="Z34">
        <v>0.90425394000000003</v>
      </c>
      <c r="AA34">
        <v>0.110519926</v>
      </c>
      <c r="AB34" t="s">
        <v>124</v>
      </c>
      <c r="AC34" t="s">
        <v>125</v>
      </c>
      <c r="AD34">
        <v>27.304064</v>
      </c>
      <c r="AE34">
        <v>185.66763520000001</v>
      </c>
      <c r="AF34">
        <v>20.478048000000001</v>
      </c>
      <c r="AG34">
        <v>0.16382438399999999</v>
      </c>
      <c r="AH34">
        <v>0.27304064</v>
      </c>
      <c r="AI34" t="s">
        <v>73</v>
      </c>
      <c r="AJ34" t="s">
        <v>74</v>
      </c>
      <c r="AK34">
        <v>4.769514</v>
      </c>
      <c r="AL34">
        <v>0.95390280000000005</v>
      </c>
      <c r="AM34">
        <v>9.5390279999999997E-3</v>
      </c>
      <c r="AN34">
        <v>0.157393962</v>
      </c>
      <c r="AO34">
        <v>7.1542709999999995E-2</v>
      </c>
      <c r="AP34" t="s">
        <v>7</v>
      </c>
      <c r="AQ34" t="s">
        <v>8</v>
      </c>
      <c r="AR34">
        <v>5.0236330000000002</v>
      </c>
      <c r="AS34">
        <v>44.408915720000003</v>
      </c>
      <c r="AT34">
        <v>5.0236330000000002</v>
      </c>
      <c r="AU34">
        <v>0</v>
      </c>
      <c r="AV34">
        <v>0</v>
      </c>
      <c r="AW34" t="s">
        <v>51</v>
      </c>
      <c r="AX34" t="s">
        <v>52</v>
      </c>
      <c r="AY34">
        <v>20.094532000000001</v>
      </c>
      <c r="AZ34">
        <v>55.782420832</v>
      </c>
      <c r="BA34">
        <v>3.4361649719999998</v>
      </c>
      <c r="BB34">
        <v>0.64302502399999995</v>
      </c>
      <c r="BC34">
        <v>5.6264689600000004</v>
      </c>
      <c r="BD34" t="s">
        <v>11</v>
      </c>
      <c r="BE34" t="s">
        <v>12</v>
      </c>
      <c r="BF34">
        <v>0.128188</v>
      </c>
      <c r="BG34">
        <v>0</v>
      </c>
      <c r="BH34">
        <v>0</v>
      </c>
      <c r="BI34">
        <v>0</v>
      </c>
      <c r="BJ34">
        <v>0</v>
      </c>
      <c r="BK34" t="s">
        <v>126</v>
      </c>
      <c r="BL34" t="s">
        <v>127</v>
      </c>
      <c r="BM34">
        <v>18.05114</v>
      </c>
      <c r="BN34">
        <v>52.149743460000003</v>
      </c>
      <c r="BO34">
        <v>0.32492051999999999</v>
      </c>
      <c r="BP34">
        <v>10.14474068</v>
      </c>
      <c r="BQ34">
        <v>2.14808566</v>
      </c>
      <c r="BR34" t="s">
        <v>91</v>
      </c>
      <c r="BS34" t="s">
        <v>92</v>
      </c>
      <c r="BT34">
        <v>20.094532000000001</v>
      </c>
      <c r="BU34">
        <v>4.9834439359999996</v>
      </c>
      <c r="BV34">
        <v>4.0189063999999997E-2</v>
      </c>
      <c r="BW34">
        <v>1.185577388</v>
      </c>
      <c r="BX34">
        <v>0.20094532000000001</v>
      </c>
      <c r="BY34" t="s">
        <v>81</v>
      </c>
      <c r="BZ34" t="s">
        <v>82</v>
      </c>
      <c r="CA34">
        <v>10.234816</v>
      </c>
      <c r="CB34">
        <v>1.7399187199999999</v>
      </c>
      <c r="CC34">
        <v>0</v>
      </c>
      <c r="CD34">
        <v>0.57314969599999999</v>
      </c>
      <c r="CE34">
        <v>4.0939264000000003E-2</v>
      </c>
      <c r="CF34" t="s">
        <v>59</v>
      </c>
      <c r="CH34">
        <v>26.580538000000001</v>
      </c>
      <c r="CI34">
        <v>62.597166989999998</v>
      </c>
      <c r="CJ34">
        <v>1.2492852860000001</v>
      </c>
      <c r="CK34">
        <v>11.084084345999999</v>
      </c>
      <c r="CL34">
        <v>1.4353490520000001</v>
      </c>
      <c r="CM34" t="s">
        <v>60</v>
      </c>
      <c r="CO34">
        <v>15.070898</v>
      </c>
      <c r="CP34">
        <v>4.3705604200000003</v>
      </c>
      <c r="CQ34">
        <v>3.0141795999999998E-2</v>
      </c>
      <c r="CR34">
        <v>1.0549628600000001</v>
      </c>
      <c r="CS34">
        <v>0.19592167399999999</v>
      </c>
    </row>
    <row r="35" spans="1:97" x14ac:dyDescent="0.35">
      <c r="A35" t="s">
        <v>159</v>
      </c>
      <c r="B35" s="2">
        <f t="shared" si="0"/>
        <v>103.582453425</v>
      </c>
      <c r="C35" s="2">
        <f t="shared" si="1"/>
        <v>90.000001000000012</v>
      </c>
      <c r="D35" s="2">
        <f t="shared" si="2"/>
        <v>6.1104829179999989</v>
      </c>
      <c r="E35" s="2">
        <f t="shared" si="3"/>
        <v>2.1933212100000001</v>
      </c>
      <c r="F35" s="2">
        <f t="shared" si="4"/>
        <v>9.7407288439999995</v>
      </c>
      <c r="G35" t="s">
        <v>1</v>
      </c>
      <c r="H35" t="s">
        <v>2</v>
      </c>
      <c r="I35">
        <v>13.800452999999999</v>
      </c>
      <c r="J35">
        <v>4.6921540200000003</v>
      </c>
      <c r="K35">
        <v>9.6603171000000002E-2</v>
      </c>
      <c r="L35">
        <v>0.93843080400000001</v>
      </c>
      <c r="M35">
        <v>9.6603171000000002E-2</v>
      </c>
      <c r="N35" t="s">
        <v>89</v>
      </c>
      <c r="O35" t="s">
        <v>90</v>
      </c>
      <c r="P35">
        <v>5.0183470000000003</v>
      </c>
      <c r="Q35">
        <v>2.0073387999999999</v>
      </c>
      <c r="R35">
        <v>5.0183470000000003E-3</v>
      </c>
      <c r="S35">
        <v>0.45165123000000001</v>
      </c>
      <c r="T35">
        <v>5.5201817E-2</v>
      </c>
      <c r="U35" t="s">
        <v>71</v>
      </c>
      <c r="V35" t="s">
        <v>72</v>
      </c>
      <c r="W35">
        <v>1.0450710000000001</v>
      </c>
      <c r="X35">
        <v>1.5571557899999999</v>
      </c>
      <c r="Y35">
        <v>5.2253550000000001E-3</v>
      </c>
      <c r="Z35">
        <v>0.34487342999999998</v>
      </c>
      <c r="AA35">
        <v>6.6884544000000004E-2</v>
      </c>
      <c r="AB35" t="s">
        <v>160</v>
      </c>
      <c r="AC35" t="s">
        <v>161</v>
      </c>
      <c r="AD35">
        <v>37.637599999999999</v>
      </c>
      <c r="AE35">
        <v>66.693827200000001</v>
      </c>
      <c r="AF35">
        <v>3.1239208000000001</v>
      </c>
      <c r="AG35">
        <v>0</v>
      </c>
      <c r="AH35">
        <v>8.9953863999999992</v>
      </c>
      <c r="AI35" t="s">
        <v>151</v>
      </c>
      <c r="AJ35" t="s">
        <v>152</v>
      </c>
      <c r="AK35">
        <v>2.5092E-2</v>
      </c>
      <c r="AL35">
        <v>1.00368E-2</v>
      </c>
      <c r="AM35">
        <v>1.00368E-4</v>
      </c>
      <c r="AN35">
        <v>2.2331880000000001E-3</v>
      </c>
      <c r="AO35">
        <v>4.5165599999999999E-4</v>
      </c>
      <c r="AP35" t="s">
        <v>11</v>
      </c>
      <c r="AQ35" t="s">
        <v>12</v>
      </c>
      <c r="AR35">
        <v>4.4254000000000002E-2</v>
      </c>
      <c r="AS35">
        <v>0</v>
      </c>
      <c r="AT35">
        <v>0</v>
      </c>
      <c r="AU35">
        <v>0</v>
      </c>
      <c r="AV35">
        <v>0</v>
      </c>
      <c r="AW35" t="s">
        <v>162</v>
      </c>
      <c r="AX35" t="s">
        <v>163</v>
      </c>
      <c r="AY35">
        <v>20.361941999999999</v>
      </c>
      <c r="AZ35">
        <v>0</v>
      </c>
      <c r="BA35">
        <v>0</v>
      </c>
      <c r="BB35">
        <v>0</v>
      </c>
      <c r="BC35">
        <v>0</v>
      </c>
      <c r="BD35" t="s">
        <v>164</v>
      </c>
      <c r="BE35" t="s">
        <v>165</v>
      </c>
      <c r="BF35">
        <v>7.6404329999999998</v>
      </c>
      <c r="BG35">
        <v>25.694776179000002</v>
      </c>
      <c r="BH35">
        <v>2.796398478</v>
      </c>
      <c r="BI35">
        <v>0.206291691</v>
      </c>
      <c r="BJ35">
        <v>0.213932124</v>
      </c>
      <c r="BK35" t="s">
        <v>81</v>
      </c>
      <c r="BL35" t="s">
        <v>82</v>
      </c>
      <c r="BM35">
        <v>7.8411999999999996E-2</v>
      </c>
      <c r="BN35">
        <v>1.333004E-2</v>
      </c>
      <c r="BO35">
        <v>0</v>
      </c>
      <c r="BP35">
        <v>4.3910720000000002E-3</v>
      </c>
      <c r="BQ35">
        <v>3.1364799999999998E-4</v>
      </c>
      <c r="BR35" t="s">
        <v>166</v>
      </c>
      <c r="BS35" t="s">
        <v>167</v>
      </c>
      <c r="BT35">
        <v>0.83555500000000005</v>
      </c>
      <c r="BU35">
        <v>0.19050654</v>
      </c>
      <c r="BV35">
        <v>4.1777749999999999E-3</v>
      </c>
      <c r="BW35">
        <v>3.0915535000000001E-2</v>
      </c>
      <c r="BX35">
        <v>1.838221E-2</v>
      </c>
      <c r="BY35" t="s">
        <v>168</v>
      </c>
      <c r="BZ35" t="s">
        <v>169</v>
      </c>
      <c r="CA35">
        <v>0.62729299999999999</v>
      </c>
      <c r="CB35">
        <v>0.50183440000000001</v>
      </c>
      <c r="CC35">
        <v>5.0183440000000001E-3</v>
      </c>
      <c r="CD35">
        <v>0.11291274</v>
      </c>
      <c r="CE35">
        <v>1.1291274E-2</v>
      </c>
      <c r="CF35" t="s">
        <v>95</v>
      </c>
      <c r="CG35" t="s">
        <v>96</v>
      </c>
      <c r="CH35">
        <v>2.8228200000000001</v>
      </c>
      <c r="CI35">
        <v>1.6654637999999999</v>
      </c>
      <c r="CJ35">
        <v>1.1291280000000001E-2</v>
      </c>
      <c r="CK35">
        <v>0.10162152000000001</v>
      </c>
      <c r="CL35">
        <v>0.28228199999999998</v>
      </c>
      <c r="CM35" t="s">
        <v>170</v>
      </c>
      <c r="CO35">
        <v>6.2728999999999993E-2</v>
      </c>
      <c r="CP35">
        <v>0.55602985599999999</v>
      </c>
      <c r="CQ35">
        <v>6.2728999999999993E-2</v>
      </c>
      <c r="CR35">
        <v>0</v>
      </c>
      <c r="CS35">
        <v>0</v>
      </c>
    </row>
    <row r="36" spans="1:97" x14ac:dyDescent="0.35">
      <c r="A36" t="s">
        <v>171</v>
      </c>
      <c r="B36" s="2">
        <f t="shared" si="0"/>
        <v>99.544137629999994</v>
      </c>
      <c r="C36" s="2">
        <f t="shared" si="1"/>
        <v>53.999999000000003</v>
      </c>
      <c r="D36" s="2">
        <f t="shared" si="2"/>
        <v>5.1049896850000005</v>
      </c>
      <c r="E36" s="2">
        <f t="shared" si="3"/>
        <v>5.0261774530000007</v>
      </c>
      <c r="F36" s="2">
        <f t="shared" si="4"/>
        <v>8.2573275800000001</v>
      </c>
      <c r="G36" t="s">
        <v>172</v>
      </c>
      <c r="H36" t="s">
        <v>173</v>
      </c>
      <c r="I36">
        <v>3.9799329999999999</v>
      </c>
      <c r="J36">
        <v>15.99933066</v>
      </c>
      <c r="K36">
        <v>1.3133778899999999</v>
      </c>
      <c r="L36">
        <v>5.1739129000000002E-2</v>
      </c>
      <c r="M36">
        <v>0.99498324999999999</v>
      </c>
      <c r="N36" t="s">
        <v>174</v>
      </c>
      <c r="O36" t="s">
        <v>175</v>
      </c>
      <c r="P36">
        <v>8.1893080000000005</v>
      </c>
      <c r="Q36">
        <v>17.852691440000001</v>
      </c>
      <c r="R36">
        <v>0.23748993199999999</v>
      </c>
      <c r="S36">
        <v>3.6851886</v>
      </c>
      <c r="T36">
        <v>0.49135847999999999</v>
      </c>
      <c r="U36" t="s">
        <v>89</v>
      </c>
      <c r="V36" t="s">
        <v>90</v>
      </c>
      <c r="W36">
        <v>8.0013249999999996</v>
      </c>
      <c r="X36">
        <v>3.2005300000000001</v>
      </c>
      <c r="Y36">
        <v>8.0013250000000001E-3</v>
      </c>
      <c r="Z36">
        <v>0.72011924999999999</v>
      </c>
      <c r="AA36">
        <v>8.8014574999999998E-2</v>
      </c>
      <c r="AB36" t="s">
        <v>145</v>
      </c>
      <c r="AC36" t="s">
        <v>146</v>
      </c>
      <c r="AD36">
        <v>25.206244000000002</v>
      </c>
      <c r="AE36">
        <v>59.990860720000001</v>
      </c>
      <c r="AF36">
        <v>3.52887416</v>
      </c>
      <c r="AG36">
        <v>0</v>
      </c>
      <c r="AH36">
        <v>6.55362344</v>
      </c>
      <c r="AI36" t="s">
        <v>31</v>
      </c>
      <c r="AJ36" t="s">
        <v>32</v>
      </c>
      <c r="AK36">
        <v>8.623189</v>
      </c>
      <c r="AL36">
        <v>2.5007248099999999</v>
      </c>
      <c r="AM36">
        <v>1.7246378E-2</v>
      </c>
      <c r="AN36">
        <v>0.56913047400000005</v>
      </c>
      <c r="AO36">
        <v>0.12934783499999999</v>
      </c>
    </row>
    <row r="37" spans="1:97" x14ac:dyDescent="0.35">
      <c r="A37" t="s">
        <v>176</v>
      </c>
      <c r="B37" s="2">
        <f t="shared" si="0"/>
        <v>250.62844223799999</v>
      </c>
      <c r="C37" s="2">
        <f t="shared" si="1"/>
        <v>152.00000299999999</v>
      </c>
      <c r="D37" s="2">
        <f t="shared" si="2"/>
        <v>4.4877625500000002</v>
      </c>
      <c r="E37" s="2">
        <f t="shared" si="3"/>
        <v>42.728555491999998</v>
      </c>
      <c r="F37" s="2">
        <f t="shared" si="4"/>
        <v>10.357069551</v>
      </c>
      <c r="G37" t="s">
        <v>177</v>
      </c>
      <c r="H37" t="s">
        <v>178</v>
      </c>
      <c r="I37">
        <v>36.118813000000003</v>
      </c>
      <c r="J37">
        <v>99.326735749999997</v>
      </c>
      <c r="K37">
        <v>0</v>
      </c>
      <c r="L37">
        <v>23.477228449999998</v>
      </c>
      <c r="M37">
        <v>0.90297032499999996</v>
      </c>
      <c r="N37" t="s">
        <v>179</v>
      </c>
      <c r="O37" t="s">
        <v>180</v>
      </c>
      <c r="P37">
        <v>18.059405999999999</v>
      </c>
      <c r="Q37">
        <v>84.752792357999994</v>
      </c>
      <c r="R37">
        <v>3.684118824</v>
      </c>
      <c r="S37">
        <v>11.684435682</v>
      </c>
      <c r="T37">
        <v>1.8059406</v>
      </c>
      <c r="U37" t="s">
        <v>181</v>
      </c>
      <c r="V37" t="s">
        <v>182</v>
      </c>
      <c r="W37">
        <v>24.079208000000001</v>
      </c>
      <c r="X37">
        <v>16.614653520000001</v>
      </c>
      <c r="Y37">
        <v>4.8158416000000002E-2</v>
      </c>
      <c r="Z37">
        <v>4.33425744</v>
      </c>
      <c r="AA37">
        <v>0.16855445599999999</v>
      </c>
      <c r="AB37" t="s">
        <v>183</v>
      </c>
      <c r="AC37" t="s">
        <v>184</v>
      </c>
      <c r="AD37">
        <v>1.5049509999999999</v>
      </c>
      <c r="AE37">
        <v>7.3140618599999998</v>
      </c>
      <c r="AF37">
        <v>0.46653481000000002</v>
      </c>
      <c r="AG37">
        <v>0.63207941999999995</v>
      </c>
      <c r="AH37">
        <v>0.25584167000000002</v>
      </c>
      <c r="AI37" t="s">
        <v>95</v>
      </c>
      <c r="AJ37" t="s">
        <v>96</v>
      </c>
      <c r="AK37">
        <v>72.237624999999994</v>
      </c>
      <c r="AL37">
        <v>42.62019875</v>
      </c>
      <c r="AM37">
        <v>0.2889505</v>
      </c>
      <c r="AN37">
        <v>2.6005544999999999</v>
      </c>
      <c r="AO37">
        <v>7.2237625000000003</v>
      </c>
    </row>
    <row r="38" spans="1:97" x14ac:dyDescent="0.35">
      <c r="A38" t="s">
        <v>185</v>
      </c>
      <c r="B38" s="2">
        <f t="shared" si="0"/>
        <v>193.81856899299999</v>
      </c>
      <c r="C38" s="2">
        <f t="shared" si="1"/>
        <v>210.99999599999998</v>
      </c>
      <c r="D38" s="2">
        <f t="shared" si="2"/>
        <v>11.303571340999998</v>
      </c>
      <c r="E38" s="2">
        <f t="shared" si="3"/>
        <v>21.662666284</v>
      </c>
      <c r="F38" s="2">
        <f t="shared" si="4"/>
        <v>3.446333267</v>
      </c>
      <c r="G38" t="s">
        <v>53</v>
      </c>
      <c r="H38" t="s">
        <v>54</v>
      </c>
      <c r="I38">
        <v>100.47618900000001</v>
      </c>
      <c r="J38">
        <v>91.131903422999997</v>
      </c>
      <c r="K38">
        <v>2.9138094809999999</v>
      </c>
      <c r="L38">
        <v>15.171904539</v>
      </c>
      <c r="M38">
        <v>1.708095213</v>
      </c>
      <c r="N38" t="s">
        <v>55</v>
      </c>
      <c r="O38" t="s">
        <v>56</v>
      </c>
      <c r="P38">
        <v>10.047618999999999</v>
      </c>
      <c r="Q38">
        <v>72.041428229999994</v>
      </c>
      <c r="R38">
        <v>8.1385713899999992</v>
      </c>
      <c r="S38">
        <v>1.0047619000000001E-2</v>
      </c>
      <c r="T38">
        <v>8.0380952000000006E-2</v>
      </c>
      <c r="U38" t="s">
        <v>79</v>
      </c>
      <c r="V38" t="s">
        <v>80</v>
      </c>
      <c r="W38">
        <v>50.238093999999997</v>
      </c>
      <c r="X38">
        <v>9.5452378600000003</v>
      </c>
      <c r="Y38">
        <v>0.10047618799999999</v>
      </c>
      <c r="Z38">
        <v>1.858809478</v>
      </c>
      <c r="AA38">
        <v>0.90428569199999997</v>
      </c>
      <c r="AB38" t="s">
        <v>186</v>
      </c>
      <c r="AC38" t="s">
        <v>187</v>
      </c>
      <c r="AD38">
        <v>50.238093999999997</v>
      </c>
      <c r="AE38">
        <v>21.099999480000001</v>
      </c>
      <c r="AF38">
        <v>0.150714282</v>
      </c>
      <c r="AG38">
        <v>4.6219046480000001</v>
      </c>
      <c r="AH38">
        <v>0.75357141000000005</v>
      </c>
    </row>
    <row r="39" spans="1:97" x14ac:dyDescent="0.35">
      <c r="A39" t="s">
        <v>188</v>
      </c>
      <c r="B39" s="2">
        <f t="shared" si="0"/>
        <v>381.81</v>
      </c>
      <c r="C39" s="2">
        <f t="shared" si="1"/>
        <v>96</v>
      </c>
      <c r="D39" s="2">
        <f t="shared" si="2"/>
        <v>29.470000000000002</v>
      </c>
      <c r="E39" s="2">
        <f t="shared" si="3"/>
        <v>1.4140000000000001</v>
      </c>
      <c r="F39" s="2">
        <f t="shared" si="4"/>
        <v>26.07</v>
      </c>
      <c r="G39" t="s">
        <v>63</v>
      </c>
      <c r="H39" t="s">
        <v>64</v>
      </c>
      <c r="I39">
        <v>61</v>
      </c>
      <c r="J39">
        <v>330.01</v>
      </c>
      <c r="K39">
        <v>25.62</v>
      </c>
      <c r="L39">
        <v>0.85399999999999998</v>
      </c>
      <c r="M39">
        <v>22.57</v>
      </c>
      <c r="N39" t="s">
        <v>24</v>
      </c>
      <c r="O39" t="s">
        <v>25</v>
      </c>
      <c r="P39">
        <v>35</v>
      </c>
      <c r="Q39">
        <v>51.8</v>
      </c>
      <c r="R39">
        <v>3.85</v>
      </c>
      <c r="S39">
        <v>0.56000000000000005</v>
      </c>
      <c r="T39">
        <v>3.5</v>
      </c>
    </row>
    <row r="40" spans="1:97" x14ac:dyDescent="0.35">
      <c r="A40" t="s">
        <v>189</v>
      </c>
      <c r="B40" s="2">
        <f t="shared" si="0"/>
        <v>606.55999999999995</v>
      </c>
      <c r="C40" s="2">
        <f t="shared" si="1"/>
        <v>277</v>
      </c>
      <c r="D40" s="2">
        <f t="shared" si="2"/>
        <v>46.769999999999996</v>
      </c>
      <c r="E40" s="2">
        <f t="shared" si="3"/>
        <v>7.032</v>
      </c>
      <c r="F40" s="2">
        <f t="shared" si="4"/>
        <v>37</v>
      </c>
      <c r="G40" t="s">
        <v>24</v>
      </c>
      <c r="H40" t="s">
        <v>25</v>
      </c>
      <c r="I40">
        <v>177</v>
      </c>
      <c r="J40">
        <v>261.95999999999998</v>
      </c>
      <c r="K40">
        <v>19.47</v>
      </c>
      <c r="L40">
        <v>2.8319999999999999</v>
      </c>
      <c r="M40">
        <v>17.7</v>
      </c>
      <c r="N40" t="s">
        <v>43</v>
      </c>
      <c r="O40" t="s">
        <v>44</v>
      </c>
      <c r="P40">
        <v>100</v>
      </c>
      <c r="Q40">
        <v>344.6</v>
      </c>
      <c r="R40">
        <v>27.3</v>
      </c>
      <c r="S40">
        <v>4.2</v>
      </c>
      <c r="T40">
        <v>19.3</v>
      </c>
    </row>
    <row r="41" spans="1:97" x14ac:dyDescent="0.35">
      <c r="A41" t="s">
        <v>190</v>
      </c>
      <c r="B41" s="2">
        <f t="shared" si="0"/>
        <v>619.06243578999999</v>
      </c>
      <c r="C41" s="2">
        <f t="shared" si="1"/>
        <v>352.00000199999999</v>
      </c>
      <c r="D41" s="2">
        <f t="shared" si="2"/>
        <v>46.039755644000003</v>
      </c>
      <c r="E41" s="2">
        <f t="shared" si="3"/>
        <v>8.0177562699999996</v>
      </c>
      <c r="F41" s="2">
        <f t="shared" si="4"/>
        <v>41.320487864</v>
      </c>
      <c r="G41" t="s">
        <v>63</v>
      </c>
      <c r="H41" t="s">
        <v>64</v>
      </c>
      <c r="I41">
        <v>36</v>
      </c>
      <c r="J41">
        <v>194.76</v>
      </c>
      <c r="K41">
        <v>15.12</v>
      </c>
      <c r="L41">
        <v>0.504</v>
      </c>
      <c r="M41">
        <v>13.32</v>
      </c>
      <c r="N41" t="s">
        <v>24</v>
      </c>
      <c r="O41" t="s">
        <v>25</v>
      </c>
      <c r="P41">
        <v>269</v>
      </c>
      <c r="Q41">
        <v>398.12</v>
      </c>
      <c r="R41">
        <v>29.59</v>
      </c>
      <c r="S41">
        <v>4.3040000000000003</v>
      </c>
      <c r="T41">
        <v>26.9</v>
      </c>
      <c r="U41" t="s">
        <v>41</v>
      </c>
      <c r="V41" t="s">
        <v>42</v>
      </c>
      <c r="W41">
        <v>45.853661000000002</v>
      </c>
      <c r="X41">
        <v>16.048781349999999</v>
      </c>
      <c r="Y41">
        <v>0.18341464399999999</v>
      </c>
      <c r="Z41">
        <v>3.2097562700000002</v>
      </c>
      <c r="AA41">
        <v>1.100487864</v>
      </c>
      <c r="AB41" t="s">
        <v>7</v>
      </c>
      <c r="AC41" t="s">
        <v>8</v>
      </c>
      <c r="AD41">
        <v>1.1463410000000001</v>
      </c>
      <c r="AE41">
        <v>10.133654440000001</v>
      </c>
      <c r="AF41">
        <v>1.1463410000000001</v>
      </c>
      <c r="AG41">
        <v>0</v>
      </c>
      <c r="AH41">
        <v>0</v>
      </c>
    </row>
    <row r="42" spans="1:97" x14ac:dyDescent="0.35">
      <c r="A42" t="s">
        <v>191</v>
      </c>
      <c r="B42" s="2">
        <f t="shared" si="0"/>
        <v>199.94</v>
      </c>
      <c r="C42" s="2">
        <f t="shared" si="1"/>
        <v>156</v>
      </c>
      <c r="D42" s="2">
        <f t="shared" si="2"/>
        <v>14.352</v>
      </c>
      <c r="E42" s="2">
        <f t="shared" si="3"/>
        <v>3.7960000000000003</v>
      </c>
      <c r="F42" s="2">
        <f t="shared" si="4"/>
        <v>13.39</v>
      </c>
      <c r="G42" t="s">
        <v>24</v>
      </c>
      <c r="H42" t="s">
        <v>25</v>
      </c>
      <c r="I42">
        <v>130</v>
      </c>
      <c r="J42">
        <v>192.4</v>
      </c>
      <c r="K42">
        <v>14.3</v>
      </c>
      <c r="L42">
        <v>2.08</v>
      </c>
      <c r="M42">
        <v>13</v>
      </c>
      <c r="N42" t="s">
        <v>31</v>
      </c>
      <c r="O42" t="s">
        <v>32</v>
      </c>
      <c r="P42">
        <v>26</v>
      </c>
      <c r="Q42">
        <v>7.54</v>
      </c>
      <c r="R42">
        <v>5.1999999999999998E-2</v>
      </c>
      <c r="S42">
        <v>1.716</v>
      </c>
      <c r="T42">
        <v>0.39</v>
      </c>
    </row>
    <row r="43" spans="1:97" x14ac:dyDescent="0.35">
      <c r="A43" t="s">
        <v>192</v>
      </c>
      <c r="B43" s="2">
        <f t="shared" si="0"/>
        <v>156.18433560599999</v>
      </c>
      <c r="C43" s="2">
        <f t="shared" si="1"/>
        <v>85.999997000000008</v>
      </c>
      <c r="D43" s="2">
        <f t="shared" si="2"/>
        <v>8.6793153279999995</v>
      </c>
      <c r="E43" s="2">
        <f t="shared" si="3"/>
        <v>13.185398838999999</v>
      </c>
      <c r="F43" s="2">
        <f t="shared" si="4"/>
        <v>6.7108410089999992</v>
      </c>
      <c r="G43" t="s">
        <v>89</v>
      </c>
      <c r="H43" t="s">
        <v>90</v>
      </c>
      <c r="I43">
        <v>8.9078850000000003</v>
      </c>
      <c r="J43">
        <v>3.5631539999999999</v>
      </c>
      <c r="K43">
        <v>8.9078850000000008E-3</v>
      </c>
      <c r="L43">
        <v>0.80170965000000005</v>
      </c>
      <c r="M43">
        <v>9.7986735000000005E-2</v>
      </c>
      <c r="N43" t="s">
        <v>7</v>
      </c>
      <c r="O43" t="s">
        <v>8</v>
      </c>
      <c r="P43">
        <v>4.4539419999999996</v>
      </c>
      <c r="Q43">
        <v>39.372847280000002</v>
      </c>
      <c r="R43">
        <v>4.4539419999999996</v>
      </c>
      <c r="S43">
        <v>0</v>
      </c>
      <c r="T43">
        <v>0</v>
      </c>
      <c r="U43" t="s">
        <v>51</v>
      </c>
      <c r="V43" t="s">
        <v>52</v>
      </c>
      <c r="W43">
        <v>17.815769</v>
      </c>
      <c r="X43">
        <v>49.456574744000001</v>
      </c>
      <c r="Y43">
        <v>3.0464964989999999</v>
      </c>
      <c r="Z43">
        <v>0.57010460799999996</v>
      </c>
      <c r="AA43">
        <v>4.9884153199999997</v>
      </c>
      <c r="AB43" t="s">
        <v>11</v>
      </c>
      <c r="AC43" t="s">
        <v>12</v>
      </c>
      <c r="AD43">
        <v>7.8553999999999999E-2</v>
      </c>
      <c r="AE43">
        <v>0</v>
      </c>
      <c r="AF43">
        <v>0</v>
      </c>
      <c r="AG43">
        <v>0</v>
      </c>
      <c r="AH43">
        <v>0</v>
      </c>
      <c r="AI43" t="s">
        <v>91</v>
      </c>
      <c r="AJ43" t="s">
        <v>92</v>
      </c>
      <c r="AK43">
        <v>17.815769</v>
      </c>
      <c r="AL43">
        <v>4.4183107120000003</v>
      </c>
      <c r="AM43">
        <v>3.5631537999999997E-2</v>
      </c>
      <c r="AN43">
        <v>1.051130371</v>
      </c>
      <c r="AO43">
        <v>0.17815769000000001</v>
      </c>
      <c r="AP43" t="s">
        <v>59</v>
      </c>
      <c r="AR43">
        <v>23.56625</v>
      </c>
      <c r="AS43">
        <v>55.498518750000002</v>
      </c>
      <c r="AT43">
        <v>1.1076137500000001</v>
      </c>
      <c r="AU43">
        <v>9.8271262499999992</v>
      </c>
      <c r="AV43">
        <v>1.2725774999999999</v>
      </c>
      <c r="AW43" t="s">
        <v>60</v>
      </c>
      <c r="AY43">
        <v>13.361827999999999</v>
      </c>
      <c r="AZ43">
        <v>3.8749301200000001</v>
      </c>
      <c r="BA43">
        <v>2.6723655999999998E-2</v>
      </c>
      <c r="BB43">
        <v>0.93532795999999996</v>
      </c>
      <c r="BC43">
        <v>0.17370376400000001</v>
      </c>
    </row>
    <row r="44" spans="1:97" x14ac:dyDescent="0.35">
      <c r="A44" t="s">
        <v>193</v>
      </c>
      <c r="B44" s="2">
        <f t="shared" si="0"/>
        <v>190.59208547400002</v>
      </c>
      <c r="C44" s="2">
        <f t="shared" si="1"/>
        <v>104</v>
      </c>
      <c r="D44" s="2">
        <f t="shared" si="2"/>
        <v>7.3427988129999999</v>
      </c>
      <c r="E44" s="2">
        <f t="shared" si="3"/>
        <v>23.790295478000001</v>
      </c>
      <c r="F44" s="2">
        <f t="shared" si="4"/>
        <v>6.883233411</v>
      </c>
      <c r="G44" t="s">
        <v>194</v>
      </c>
      <c r="H44" t="s">
        <v>195</v>
      </c>
      <c r="I44">
        <v>51</v>
      </c>
      <c r="J44">
        <v>66.3</v>
      </c>
      <c r="K44">
        <v>0.153</v>
      </c>
      <c r="L44">
        <v>14.28</v>
      </c>
      <c r="M44">
        <v>1.377</v>
      </c>
      <c r="N44" t="s">
        <v>7</v>
      </c>
      <c r="O44" t="s">
        <v>8</v>
      </c>
      <c r="P44">
        <v>3.708602</v>
      </c>
      <c r="Q44">
        <v>32.784041680000001</v>
      </c>
      <c r="R44">
        <v>3.708602</v>
      </c>
      <c r="S44">
        <v>0</v>
      </c>
      <c r="T44">
        <v>0</v>
      </c>
      <c r="U44" t="s">
        <v>51</v>
      </c>
      <c r="V44" t="s">
        <v>52</v>
      </c>
      <c r="W44">
        <v>14.834409000000001</v>
      </c>
      <c r="X44">
        <v>41.180319384000001</v>
      </c>
      <c r="Y44">
        <v>2.536683939</v>
      </c>
      <c r="Z44">
        <v>0.47470108799999999</v>
      </c>
      <c r="AA44">
        <v>4.1536345199999998</v>
      </c>
      <c r="AB44" t="s">
        <v>57</v>
      </c>
      <c r="AC44" t="s">
        <v>58</v>
      </c>
      <c r="AD44">
        <v>3.708602</v>
      </c>
      <c r="AE44">
        <v>0.89006448000000005</v>
      </c>
      <c r="AF44">
        <v>0</v>
      </c>
      <c r="AG44">
        <v>7.4172039999999995E-2</v>
      </c>
      <c r="AH44">
        <v>0.14834407999999999</v>
      </c>
      <c r="AI44" t="s">
        <v>59</v>
      </c>
      <c r="AK44">
        <v>19.622579999999999</v>
      </c>
      <c r="AL44">
        <v>46.211175900000001</v>
      </c>
      <c r="AM44">
        <v>0.92226125999999997</v>
      </c>
      <c r="AN44">
        <v>8.1826158600000003</v>
      </c>
      <c r="AO44">
        <v>1.0596193199999999</v>
      </c>
      <c r="AP44" t="s">
        <v>60</v>
      </c>
      <c r="AR44">
        <v>11.125807</v>
      </c>
      <c r="AS44">
        <v>3.2264840299999999</v>
      </c>
      <c r="AT44">
        <v>2.2251613999999999E-2</v>
      </c>
      <c r="AU44">
        <v>0.77880649000000002</v>
      </c>
      <c r="AV44">
        <v>0.144635491</v>
      </c>
    </row>
    <row r="45" spans="1:97" x14ac:dyDescent="0.35">
      <c r="A45" t="s">
        <v>196</v>
      </c>
      <c r="B45" s="2">
        <f t="shared" si="0"/>
        <v>252.567623019</v>
      </c>
      <c r="C45" s="2">
        <f t="shared" si="1"/>
        <v>167.00000299999999</v>
      </c>
      <c r="D45" s="2">
        <f t="shared" si="2"/>
        <v>14.473333521000001</v>
      </c>
      <c r="E45" s="2">
        <f t="shared" si="3"/>
        <v>12.016047842000001</v>
      </c>
      <c r="F45" s="2">
        <f t="shared" si="4"/>
        <v>18.115524144999998</v>
      </c>
      <c r="G45" t="s">
        <v>49</v>
      </c>
      <c r="H45" t="s">
        <v>50</v>
      </c>
      <c r="I45">
        <v>79.523810999999995</v>
      </c>
      <c r="J45">
        <v>123.42095467199999</v>
      </c>
      <c r="K45">
        <v>5.7257143920000004</v>
      </c>
      <c r="L45">
        <v>0</v>
      </c>
      <c r="M45">
        <v>16.70000031</v>
      </c>
      <c r="N45" t="s">
        <v>53</v>
      </c>
      <c r="O45" t="s">
        <v>54</v>
      </c>
      <c r="P45">
        <v>79.523810999999995</v>
      </c>
      <c r="Q45">
        <v>72.128096576999994</v>
      </c>
      <c r="R45">
        <v>2.3061905189999998</v>
      </c>
      <c r="S45">
        <v>12.008095461</v>
      </c>
      <c r="T45">
        <v>1.3519047870000001</v>
      </c>
      <c r="U45" t="s">
        <v>55</v>
      </c>
      <c r="V45" t="s">
        <v>56</v>
      </c>
      <c r="W45">
        <v>7.9523809999999999</v>
      </c>
      <c r="X45">
        <v>57.018571770000001</v>
      </c>
      <c r="Y45">
        <v>6.44142861</v>
      </c>
      <c r="Z45">
        <v>7.9523809999999997E-3</v>
      </c>
      <c r="AA45">
        <v>6.3619047999999997E-2</v>
      </c>
    </row>
    <row r="46" spans="1:97" x14ac:dyDescent="0.35">
      <c r="A46" t="s">
        <v>197</v>
      </c>
      <c r="B46" s="2">
        <f t="shared" si="0"/>
        <v>523.91561516599995</v>
      </c>
      <c r="C46" s="2">
        <f t="shared" si="1"/>
        <v>349.00000399999999</v>
      </c>
      <c r="D46" s="2">
        <f t="shared" si="2"/>
        <v>30.053937275999999</v>
      </c>
      <c r="E46" s="2">
        <f t="shared" si="3"/>
        <v>11.421677886000001</v>
      </c>
      <c r="F46" s="2">
        <f t="shared" si="4"/>
        <v>49.164018575</v>
      </c>
      <c r="G46" t="s">
        <v>198</v>
      </c>
      <c r="H46" t="s">
        <v>199</v>
      </c>
      <c r="I46">
        <v>117.247124</v>
      </c>
      <c r="J46">
        <v>24.035660419999999</v>
      </c>
      <c r="K46">
        <v>0.351741372</v>
      </c>
      <c r="L46">
        <v>3.9864022160000001</v>
      </c>
      <c r="M46">
        <v>1.055224116</v>
      </c>
      <c r="N46" t="s">
        <v>120</v>
      </c>
      <c r="O46" t="s">
        <v>121</v>
      </c>
      <c r="P46">
        <v>3.4824839999999999</v>
      </c>
      <c r="Q46">
        <v>0.55719744000000004</v>
      </c>
      <c r="R46">
        <v>6.9649680000000002E-3</v>
      </c>
      <c r="S46">
        <v>0.11840445600000001</v>
      </c>
      <c r="T46">
        <v>2.4377388E-2</v>
      </c>
      <c r="U46" t="s">
        <v>135</v>
      </c>
      <c r="V46" t="s">
        <v>136</v>
      </c>
      <c r="W46">
        <v>3.4824839999999999</v>
      </c>
      <c r="X46">
        <v>1.42781844</v>
      </c>
      <c r="Y46">
        <v>6.9649680000000002E-3</v>
      </c>
      <c r="Z46">
        <v>0.34824840000000001</v>
      </c>
      <c r="AA46">
        <v>3.1342356000000002E-2</v>
      </c>
      <c r="AB46" t="s">
        <v>89</v>
      </c>
      <c r="AC46" t="s">
        <v>90</v>
      </c>
      <c r="AD46">
        <v>3.4824839999999999</v>
      </c>
      <c r="AE46">
        <v>1.3929936000000001</v>
      </c>
      <c r="AF46">
        <v>3.4824840000000001E-3</v>
      </c>
      <c r="AG46">
        <v>0.31342355999999999</v>
      </c>
      <c r="AH46">
        <v>3.8307323999999997E-2</v>
      </c>
      <c r="AI46" t="s">
        <v>139</v>
      </c>
      <c r="AJ46" t="s">
        <v>140</v>
      </c>
      <c r="AK46">
        <v>27.859870999999998</v>
      </c>
      <c r="AL46">
        <v>12.871260402000001</v>
      </c>
      <c r="AM46">
        <v>2.7859871000000001E-2</v>
      </c>
      <c r="AN46">
        <v>3.148165423</v>
      </c>
      <c r="AO46">
        <v>2.7859871000000001E-2</v>
      </c>
      <c r="AP46" t="s">
        <v>7</v>
      </c>
      <c r="AQ46" t="s">
        <v>8</v>
      </c>
      <c r="AR46">
        <v>2.1983830000000002</v>
      </c>
      <c r="AS46">
        <v>19.433705719999999</v>
      </c>
      <c r="AT46">
        <v>2.1983830000000002</v>
      </c>
      <c r="AU46">
        <v>0</v>
      </c>
      <c r="AV46">
        <v>0</v>
      </c>
      <c r="AW46" t="s">
        <v>141</v>
      </c>
      <c r="AX46" t="s">
        <v>142</v>
      </c>
      <c r="AY46">
        <v>1.7651840000000001</v>
      </c>
      <c r="AZ46">
        <v>0</v>
      </c>
      <c r="BA46">
        <v>0</v>
      </c>
      <c r="BB46">
        <v>0</v>
      </c>
      <c r="BC46">
        <v>0</v>
      </c>
      <c r="BD46" t="s">
        <v>200</v>
      </c>
      <c r="BE46" t="s">
        <v>201</v>
      </c>
      <c r="BF46">
        <v>3.0759820000000002</v>
      </c>
      <c r="BG46">
        <v>17.170131523999999</v>
      </c>
      <c r="BH46">
        <v>1.5133831440000001</v>
      </c>
      <c r="BI46">
        <v>0.33220605600000003</v>
      </c>
      <c r="BJ46">
        <v>0.95047843799999998</v>
      </c>
      <c r="BK46" t="s">
        <v>143</v>
      </c>
      <c r="BL46" t="s">
        <v>144</v>
      </c>
      <c r="BM46">
        <v>10.665107000000001</v>
      </c>
      <c r="BN46">
        <v>28.155882479999999</v>
      </c>
      <c r="BO46">
        <v>1.567770729</v>
      </c>
      <c r="BP46">
        <v>1.9730447950000001</v>
      </c>
      <c r="BQ46">
        <v>1.7597426549999999</v>
      </c>
      <c r="BR46" t="s">
        <v>11</v>
      </c>
      <c r="BS46" t="s">
        <v>12</v>
      </c>
      <c r="BT46">
        <v>0.15112100000000001</v>
      </c>
      <c r="BU46">
        <v>0</v>
      </c>
      <c r="BV46">
        <v>0</v>
      </c>
      <c r="BW46">
        <v>0</v>
      </c>
      <c r="BX46">
        <v>0</v>
      </c>
      <c r="BY46" t="s">
        <v>202</v>
      </c>
      <c r="BZ46" t="s">
        <v>203</v>
      </c>
      <c r="CA46">
        <v>1.465589</v>
      </c>
      <c r="CB46">
        <v>4.4553905599999997</v>
      </c>
      <c r="CC46">
        <v>0</v>
      </c>
      <c r="CD46">
        <v>1.2017829799999999</v>
      </c>
      <c r="CE46">
        <v>4.3967670000000002E-3</v>
      </c>
      <c r="CF46" t="s">
        <v>145</v>
      </c>
      <c r="CG46" t="s">
        <v>146</v>
      </c>
      <c r="CH46">
        <v>174.124191</v>
      </c>
      <c r="CI46">
        <v>414.41557458</v>
      </c>
      <c r="CJ46">
        <v>24.377386739999999</v>
      </c>
      <c r="CK46">
        <v>0</v>
      </c>
      <c r="CL46">
        <v>45.272289659999998</v>
      </c>
    </row>
    <row r="47" spans="1:97" x14ac:dyDescent="0.35">
      <c r="A47" t="s">
        <v>204</v>
      </c>
      <c r="B47" s="2">
        <f t="shared" si="0"/>
        <v>194.25338464699999</v>
      </c>
      <c r="C47" s="2">
        <f t="shared" si="1"/>
        <v>142.99999800000001</v>
      </c>
      <c r="D47" s="2">
        <f t="shared" si="2"/>
        <v>7.8577349689999991</v>
      </c>
      <c r="E47" s="2">
        <f t="shared" si="3"/>
        <v>6.8227555419999995</v>
      </c>
      <c r="F47" s="2">
        <f t="shared" si="4"/>
        <v>23.142958425000003</v>
      </c>
      <c r="G47" t="s">
        <v>102</v>
      </c>
      <c r="H47" t="s">
        <v>103</v>
      </c>
      <c r="I47">
        <v>69.466469000000004</v>
      </c>
      <c r="J47">
        <v>114.61967385</v>
      </c>
      <c r="K47">
        <v>2.500792884</v>
      </c>
      <c r="L47">
        <v>0</v>
      </c>
      <c r="M47">
        <v>21.534605389999999</v>
      </c>
      <c r="N47" t="s">
        <v>89</v>
      </c>
      <c r="O47" t="s">
        <v>90</v>
      </c>
      <c r="P47">
        <v>2.8944359999999998</v>
      </c>
      <c r="Q47">
        <v>1.1577744000000001</v>
      </c>
      <c r="R47">
        <v>2.8944359999999998E-3</v>
      </c>
      <c r="S47">
        <v>0.26049924000000002</v>
      </c>
      <c r="T47">
        <v>3.1838796000000003E-2</v>
      </c>
      <c r="U47" t="s">
        <v>71</v>
      </c>
      <c r="V47" t="s">
        <v>72</v>
      </c>
      <c r="W47">
        <v>1.6335729999999999</v>
      </c>
      <c r="X47">
        <v>2.43402377</v>
      </c>
      <c r="Y47">
        <v>8.1678649999999998E-3</v>
      </c>
      <c r="Z47">
        <v>0.53907908999999998</v>
      </c>
      <c r="AA47">
        <v>0.104548672</v>
      </c>
      <c r="AB47" t="s">
        <v>141</v>
      </c>
      <c r="AC47" t="s">
        <v>142</v>
      </c>
      <c r="AD47">
        <v>1.1577740000000001</v>
      </c>
      <c r="AE47">
        <v>0</v>
      </c>
      <c r="AF47">
        <v>0</v>
      </c>
      <c r="AG47">
        <v>0</v>
      </c>
      <c r="AH47">
        <v>0</v>
      </c>
      <c r="AI47" t="s">
        <v>11</v>
      </c>
      <c r="AJ47" t="s">
        <v>12</v>
      </c>
      <c r="AK47">
        <v>0.69682100000000002</v>
      </c>
      <c r="AL47">
        <v>0</v>
      </c>
      <c r="AM47">
        <v>0</v>
      </c>
      <c r="AN47">
        <v>0</v>
      </c>
      <c r="AO47">
        <v>0</v>
      </c>
      <c r="AP47" t="s">
        <v>162</v>
      </c>
      <c r="AQ47" t="s">
        <v>163</v>
      </c>
      <c r="AR47">
        <v>20.839943000000002</v>
      </c>
      <c r="AS47">
        <v>0</v>
      </c>
      <c r="AT47">
        <v>0</v>
      </c>
      <c r="AU47">
        <v>0</v>
      </c>
      <c r="AV47">
        <v>0</v>
      </c>
      <c r="AW47" t="s">
        <v>205</v>
      </c>
      <c r="AX47" t="s">
        <v>206</v>
      </c>
      <c r="AY47">
        <v>2.3155489999999999</v>
      </c>
      <c r="AZ47">
        <v>0.69466470000000002</v>
      </c>
      <c r="BA47">
        <v>4.6310980000000002E-3</v>
      </c>
      <c r="BB47">
        <v>0.24313264500000001</v>
      </c>
      <c r="BC47">
        <v>1.6208843000000001E-2</v>
      </c>
      <c r="BD47" t="s">
        <v>207</v>
      </c>
      <c r="BE47" t="s">
        <v>208</v>
      </c>
      <c r="BF47">
        <v>13.893293999999999</v>
      </c>
      <c r="BG47">
        <v>19.867410419999999</v>
      </c>
      <c r="BH47">
        <v>9.7253058000000003E-2</v>
      </c>
      <c r="BI47">
        <v>3.6122564399999999</v>
      </c>
      <c r="BJ47">
        <v>1.2503964599999999</v>
      </c>
      <c r="BK47" t="s">
        <v>166</v>
      </c>
      <c r="BL47" t="s">
        <v>167</v>
      </c>
      <c r="BM47">
        <v>1.013053</v>
      </c>
      <c r="BN47">
        <v>0.230976084</v>
      </c>
      <c r="BO47">
        <v>5.0652650000000002E-3</v>
      </c>
      <c r="BP47">
        <v>3.7482961000000002E-2</v>
      </c>
      <c r="BQ47">
        <v>2.2287166000000001E-2</v>
      </c>
      <c r="BR47" t="s">
        <v>83</v>
      </c>
      <c r="BS47" t="s">
        <v>84</v>
      </c>
      <c r="BT47">
        <v>0.72360899999999995</v>
      </c>
      <c r="BU47">
        <v>0.26845893900000001</v>
      </c>
      <c r="BV47">
        <v>5.7888719999999996E-3</v>
      </c>
      <c r="BW47">
        <v>4.6310975999999997E-2</v>
      </c>
      <c r="BX47">
        <v>2.0984661000000002E-2</v>
      </c>
      <c r="BY47" t="s">
        <v>209</v>
      </c>
      <c r="BZ47" t="s">
        <v>210</v>
      </c>
      <c r="CA47">
        <v>23.155491000000001</v>
      </c>
      <c r="CB47">
        <v>8.7990865800000009</v>
      </c>
      <c r="CC47">
        <v>2.3155491E-2</v>
      </c>
      <c r="CD47">
        <v>2.0839941899999999</v>
      </c>
      <c r="CE47">
        <v>0.162088437</v>
      </c>
      <c r="CF47" t="s">
        <v>170</v>
      </c>
      <c r="CH47">
        <v>5.2099859999999998</v>
      </c>
      <c r="CI47">
        <v>46.181315904000002</v>
      </c>
      <c r="CJ47">
        <v>5.2099859999999998</v>
      </c>
      <c r="CK47">
        <v>0</v>
      </c>
      <c r="CL47">
        <v>0</v>
      </c>
    </row>
    <row r="48" spans="1:97" x14ac:dyDescent="0.35">
      <c r="A48" t="s">
        <v>211</v>
      </c>
      <c r="B48" s="2">
        <f t="shared" si="0"/>
        <v>602.85209495000004</v>
      </c>
      <c r="C48" s="2">
        <f t="shared" si="1"/>
        <v>316.99999800000001</v>
      </c>
      <c r="D48" s="2">
        <f t="shared" si="2"/>
        <v>42.647755059999994</v>
      </c>
      <c r="E48" s="2">
        <f t="shared" si="3"/>
        <v>32.626089606000001</v>
      </c>
      <c r="F48" s="2">
        <f t="shared" si="4"/>
        <v>23.860320684000001</v>
      </c>
      <c r="G48" t="s">
        <v>24</v>
      </c>
      <c r="H48" t="s">
        <v>25</v>
      </c>
      <c r="I48">
        <v>130.83332799999999</v>
      </c>
      <c r="J48">
        <v>193.63332543999999</v>
      </c>
      <c r="K48">
        <v>14.39166608</v>
      </c>
      <c r="L48">
        <v>2.093333248</v>
      </c>
      <c r="M48">
        <v>13.083332800000001</v>
      </c>
      <c r="N48" t="s">
        <v>27</v>
      </c>
      <c r="O48" t="s">
        <v>28</v>
      </c>
      <c r="P48">
        <v>75</v>
      </c>
      <c r="Q48">
        <v>244.5</v>
      </c>
      <c r="R48">
        <v>16.5</v>
      </c>
      <c r="S48">
        <v>24</v>
      </c>
      <c r="T48">
        <v>1.95</v>
      </c>
      <c r="U48" t="s">
        <v>41</v>
      </c>
      <c r="V48" t="s">
        <v>42</v>
      </c>
      <c r="W48">
        <v>45.853661000000002</v>
      </c>
      <c r="X48">
        <v>16.048781349999999</v>
      </c>
      <c r="Y48">
        <v>0.18341464399999999</v>
      </c>
      <c r="Z48">
        <v>3.2097562700000002</v>
      </c>
      <c r="AA48">
        <v>1.100487864</v>
      </c>
      <c r="AB48" t="s">
        <v>43</v>
      </c>
      <c r="AC48" t="s">
        <v>44</v>
      </c>
      <c r="AD48">
        <v>38</v>
      </c>
      <c r="AE48">
        <v>130.94800000000001</v>
      </c>
      <c r="AF48">
        <v>10.374000000000001</v>
      </c>
      <c r="AG48">
        <v>1.5960000000000001</v>
      </c>
      <c r="AH48">
        <v>7.3339999999999996</v>
      </c>
      <c r="AI48" t="s">
        <v>7</v>
      </c>
      <c r="AJ48" t="s">
        <v>8</v>
      </c>
      <c r="AK48">
        <v>1.1463410000000001</v>
      </c>
      <c r="AL48">
        <v>10.133654440000001</v>
      </c>
      <c r="AM48">
        <v>1.1463410000000001</v>
      </c>
      <c r="AN48">
        <v>0</v>
      </c>
      <c r="AO48">
        <v>0</v>
      </c>
      <c r="AP48" t="s">
        <v>31</v>
      </c>
      <c r="AQ48" t="s">
        <v>32</v>
      </c>
      <c r="AR48">
        <v>26.166668000000001</v>
      </c>
      <c r="AS48">
        <v>7.5883337199999996</v>
      </c>
      <c r="AT48">
        <v>5.2333336000000001E-2</v>
      </c>
      <c r="AU48">
        <v>1.727000088</v>
      </c>
      <c r="AV48">
        <v>0.39250002000000001</v>
      </c>
    </row>
    <row r="49" spans="1:146" x14ac:dyDescent="0.35">
      <c r="A49" t="s">
        <v>212</v>
      </c>
      <c r="B49" s="2">
        <f t="shared" si="0"/>
        <v>80</v>
      </c>
      <c r="C49" s="2">
        <f t="shared" si="1"/>
        <v>50</v>
      </c>
      <c r="D49" s="2">
        <f t="shared" si="2"/>
        <v>5</v>
      </c>
      <c r="E49" s="2">
        <f t="shared" si="3"/>
        <v>1.5</v>
      </c>
      <c r="F49" s="2">
        <f t="shared" si="4"/>
        <v>7</v>
      </c>
      <c r="G49" t="s">
        <v>213</v>
      </c>
      <c r="H49" t="s">
        <v>214</v>
      </c>
      <c r="I49">
        <v>50</v>
      </c>
      <c r="J49">
        <v>80</v>
      </c>
      <c r="K49">
        <v>5</v>
      </c>
      <c r="L49">
        <v>1.5</v>
      </c>
      <c r="M49">
        <v>7</v>
      </c>
    </row>
    <row r="50" spans="1:146" x14ac:dyDescent="0.35">
      <c r="A50" t="s">
        <v>215</v>
      </c>
      <c r="B50" s="2">
        <f t="shared" si="0"/>
        <v>234.65919113699999</v>
      </c>
      <c r="C50" s="2">
        <f t="shared" si="1"/>
        <v>190.000001</v>
      </c>
      <c r="D50" s="2">
        <f t="shared" si="2"/>
        <v>11.448371242</v>
      </c>
      <c r="E50" s="2">
        <f t="shared" si="3"/>
        <v>13.516670683000001</v>
      </c>
      <c r="F50" s="2">
        <f t="shared" si="4"/>
        <v>19.815256024</v>
      </c>
      <c r="G50" t="s">
        <v>216</v>
      </c>
      <c r="H50" t="s">
        <v>217</v>
      </c>
      <c r="I50">
        <v>5.6540090000000003</v>
      </c>
      <c r="J50">
        <v>6.27594999</v>
      </c>
      <c r="K50">
        <v>5.0886081E-2</v>
      </c>
      <c r="L50">
        <v>1.30042207</v>
      </c>
      <c r="M50">
        <v>0.14700423400000001</v>
      </c>
      <c r="N50" t="s">
        <v>41</v>
      </c>
      <c r="O50" t="s">
        <v>42</v>
      </c>
      <c r="P50">
        <v>52.624572999999998</v>
      </c>
      <c r="Q50">
        <v>18.418600550000001</v>
      </c>
      <c r="R50">
        <v>0.210498292</v>
      </c>
      <c r="S50">
        <v>3.6837201099999999</v>
      </c>
      <c r="T50">
        <v>1.262989752</v>
      </c>
      <c r="U50" t="s">
        <v>218</v>
      </c>
      <c r="V50" t="s">
        <v>219</v>
      </c>
      <c r="W50">
        <v>1.1308020000000001</v>
      </c>
      <c r="X50">
        <v>0.18092832</v>
      </c>
      <c r="Y50">
        <v>1.130802E-3</v>
      </c>
      <c r="Z50">
        <v>3.8447268E-2</v>
      </c>
      <c r="AA50">
        <v>7.9156139999999996E-3</v>
      </c>
      <c r="AB50" t="s">
        <v>71</v>
      </c>
      <c r="AC50" t="s">
        <v>72</v>
      </c>
      <c r="AD50">
        <v>0.14135</v>
      </c>
      <c r="AE50">
        <v>0.21061150000000001</v>
      </c>
      <c r="AF50">
        <v>7.0675000000000002E-4</v>
      </c>
      <c r="AG50">
        <v>4.6645499999999999E-2</v>
      </c>
      <c r="AH50">
        <v>9.0463999999999996E-3</v>
      </c>
      <c r="AI50" t="s">
        <v>160</v>
      </c>
      <c r="AJ50" t="s">
        <v>161</v>
      </c>
      <c r="AK50">
        <v>56.540084999999998</v>
      </c>
      <c r="AL50">
        <v>100.18903062</v>
      </c>
      <c r="AM50">
        <v>4.6928270550000004</v>
      </c>
      <c r="AN50">
        <v>0</v>
      </c>
      <c r="AO50">
        <v>13.513080315</v>
      </c>
      <c r="AP50" t="s">
        <v>7</v>
      </c>
      <c r="AQ50" t="s">
        <v>8</v>
      </c>
      <c r="AR50">
        <v>4.0711620000000002</v>
      </c>
      <c r="AS50">
        <v>35.98907208</v>
      </c>
      <c r="AT50">
        <v>4.0711620000000002</v>
      </c>
      <c r="AU50">
        <v>0</v>
      </c>
      <c r="AV50">
        <v>0</v>
      </c>
      <c r="AW50" t="s">
        <v>156</v>
      </c>
      <c r="AX50" t="s">
        <v>157</v>
      </c>
      <c r="AY50">
        <v>0.725109</v>
      </c>
      <c r="AZ50">
        <v>2.8641805499999999</v>
      </c>
      <c r="BA50">
        <v>3.6980559000000003E-2</v>
      </c>
      <c r="BB50">
        <v>0.517002717</v>
      </c>
      <c r="BC50">
        <v>9.5714387999999997E-2</v>
      </c>
      <c r="BD50" t="s">
        <v>141</v>
      </c>
      <c r="BE50" t="s">
        <v>142</v>
      </c>
      <c r="BF50">
        <v>0.56540100000000004</v>
      </c>
      <c r="BG50">
        <v>0</v>
      </c>
      <c r="BH50">
        <v>0</v>
      </c>
      <c r="BI50">
        <v>0</v>
      </c>
      <c r="BJ50">
        <v>0</v>
      </c>
      <c r="BK50" t="s">
        <v>51</v>
      </c>
      <c r="BL50" t="s">
        <v>52</v>
      </c>
      <c r="BM50">
        <v>10.076202</v>
      </c>
      <c r="BN50">
        <v>27.971536751999999</v>
      </c>
      <c r="BO50">
        <v>1.7230305420000001</v>
      </c>
      <c r="BP50">
        <v>0.32243846399999998</v>
      </c>
      <c r="BQ50">
        <v>2.8213365600000002</v>
      </c>
      <c r="BR50" t="s">
        <v>11</v>
      </c>
      <c r="BS50" t="s">
        <v>12</v>
      </c>
      <c r="BT50">
        <v>7.6476000000000002E-2</v>
      </c>
      <c r="BU50">
        <v>0</v>
      </c>
      <c r="BV50">
        <v>0</v>
      </c>
      <c r="BW50">
        <v>0</v>
      </c>
      <c r="BX50">
        <v>0</v>
      </c>
      <c r="BY50" t="s">
        <v>36</v>
      </c>
      <c r="BZ50" t="s">
        <v>37</v>
      </c>
      <c r="CA50">
        <v>0.65780700000000003</v>
      </c>
      <c r="CB50">
        <v>0.19076403</v>
      </c>
      <c r="CC50">
        <v>2.6312280000000002E-3</v>
      </c>
      <c r="CD50">
        <v>4.2757455E-2</v>
      </c>
      <c r="CE50">
        <v>5.9202630000000003E-3</v>
      </c>
      <c r="CF50" t="s">
        <v>220</v>
      </c>
      <c r="CG50" t="s">
        <v>221</v>
      </c>
      <c r="CH50">
        <v>32</v>
      </c>
      <c r="CI50">
        <v>7.36</v>
      </c>
      <c r="CJ50">
        <v>0</v>
      </c>
      <c r="CK50">
        <v>1.28</v>
      </c>
      <c r="CL50">
        <v>0.96</v>
      </c>
      <c r="CM50" t="s">
        <v>222</v>
      </c>
      <c r="CN50" t="s">
        <v>223</v>
      </c>
      <c r="CO50">
        <v>1.413502</v>
      </c>
      <c r="CP50">
        <v>0.35337550000000001</v>
      </c>
      <c r="CQ50">
        <v>9.8945140000000001E-3</v>
      </c>
      <c r="CR50">
        <v>5.2299574000000001E-2</v>
      </c>
      <c r="CS50">
        <v>3.6751051999999999E-2</v>
      </c>
      <c r="CT50" t="s">
        <v>224</v>
      </c>
      <c r="CU50" t="s">
        <v>225</v>
      </c>
      <c r="CV50">
        <v>0.28270000000000001</v>
      </c>
      <c r="CW50">
        <v>0.28552699999999998</v>
      </c>
      <c r="CX50">
        <v>4.8059000000000001E-3</v>
      </c>
      <c r="CY50">
        <v>6.7848000000000006E-2</v>
      </c>
      <c r="CZ50">
        <v>1.6962000000000001E-2</v>
      </c>
      <c r="DA50" t="s">
        <v>81</v>
      </c>
      <c r="DB50" t="s">
        <v>82</v>
      </c>
      <c r="DC50">
        <v>7.0675000000000002E-2</v>
      </c>
      <c r="DD50">
        <v>1.2014749999999999E-2</v>
      </c>
      <c r="DE50">
        <v>0</v>
      </c>
      <c r="DF50">
        <v>3.9578E-3</v>
      </c>
      <c r="DG50">
        <v>2.8269999999999999E-4</v>
      </c>
      <c r="DH50" t="s">
        <v>57</v>
      </c>
      <c r="DI50" t="s">
        <v>58</v>
      </c>
      <c r="DJ50">
        <v>2.8017509999999999</v>
      </c>
      <c r="DK50">
        <v>0.67242024</v>
      </c>
      <c r="DL50">
        <v>0</v>
      </c>
      <c r="DM50">
        <v>5.6035019999999998E-2</v>
      </c>
      <c r="DN50">
        <v>0.11207004</v>
      </c>
      <c r="DO50" t="s">
        <v>83</v>
      </c>
      <c r="DP50" t="s">
        <v>84</v>
      </c>
      <c r="DQ50">
        <v>0.28270000000000001</v>
      </c>
      <c r="DR50">
        <v>0.10488169999999999</v>
      </c>
      <c r="DS50">
        <v>2.2615999999999999E-3</v>
      </c>
      <c r="DT50">
        <v>1.8092799999999999E-2</v>
      </c>
      <c r="DU50">
        <v>8.1983000000000004E-3</v>
      </c>
      <c r="DV50" t="s">
        <v>59</v>
      </c>
      <c r="DX50">
        <v>13.328545</v>
      </c>
      <c r="DY50">
        <v>31.388723474999999</v>
      </c>
      <c r="DZ50">
        <v>0.62644161499999995</v>
      </c>
      <c r="EA50">
        <v>5.558003265</v>
      </c>
      <c r="EB50">
        <v>0.71974143000000002</v>
      </c>
      <c r="EC50" t="s">
        <v>60</v>
      </c>
      <c r="EE50">
        <v>7.5571520000000003</v>
      </c>
      <c r="EF50">
        <v>2.1915740800000001</v>
      </c>
      <c r="EG50">
        <v>1.5114304E-2</v>
      </c>
      <c r="EH50">
        <v>0.52900064000000002</v>
      </c>
      <c r="EI50">
        <v>9.8242975999999996E-2</v>
      </c>
    </row>
    <row r="51" spans="1:146" x14ac:dyDescent="0.35">
      <c r="A51" t="s">
        <v>226</v>
      </c>
      <c r="B51" s="2">
        <f t="shared" si="0"/>
        <v>362.5</v>
      </c>
      <c r="C51" s="2">
        <f t="shared" si="1"/>
        <v>203</v>
      </c>
      <c r="D51" s="2">
        <f t="shared" si="2"/>
        <v>26.738</v>
      </c>
      <c r="E51" s="2">
        <f t="shared" si="3"/>
        <v>10.324</v>
      </c>
      <c r="F51" s="2">
        <f t="shared" si="4"/>
        <v>18.850000000000001</v>
      </c>
      <c r="G51" t="s">
        <v>27</v>
      </c>
      <c r="H51" t="s">
        <v>28</v>
      </c>
      <c r="I51">
        <v>29</v>
      </c>
      <c r="J51">
        <v>94.54</v>
      </c>
      <c r="K51">
        <v>6.38</v>
      </c>
      <c r="L51">
        <v>9.2799999999999994</v>
      </c>
      <c r="M51">
        <v>0.754</v>
      </c>
      <c r="N51" t="s">
        <v>98</v>
      </c>
      <c r="O51" t="s">
        <v>99</v>
      </c>
      <c r="P51">
        <v>174</v>
      </c>
      <c r="Q51">
        <v>267.95999999999998</v>
      </c>
      <c r="R51">
        <v>20.358000000000001</v>
      </c>
      <c r="S51">
        <v>1.044</v>
      </c>
      <c r="T51">
        <v>18.096</v>
      </c>
    </row>
    <row r="52" spans="1:146" x14ac:dyDescent="0.35">
      <c r="A52" t="s">
        <v>227</v>
      </c>
      <c r="B52" s="2">
        <f t="shared" si="0"/>
        <v>7.1</v>
      </c>
      <c r="C52" s="2">
        <f t="shared" si="1"/>
        <v>71</v>
      </c>
      <c r="D52" s="2">
        <f t="shared" si="2"/>
        <v>0</v>
      </c>
      <c r="E52" s="2">
        <f t="shared" si="3"/>
        <v>1.42</v>
      </c>
      <c r="F52" s="2">
        <f t="shared" si="4"/>
        <v>0.71</v>
      </c>
      <c r="G52" t="s">
        <v>133</v>
      </c>
      <c r="H52" t="s">
        <v>134</v>
      </c>
      <c r="I52">
        <v>71</v>
      </c>
      <c r="J52">
        <v>7.1</v>
      </c>
      <c r="K52">
        <v>0</v>
      </c>
      <c r="L52">
        <v>1.42</v>
      </c>
      <c r="M52">
        <v>0.71</v>
      </c>
    </row>
    <row r="53" spans="1:146" x14ac:dyDescent="0.35">
      <c r="A53" t="s">
        <v>228</v>
      </c>
      <c r="B53" s="2">
        <f t="shared" si="0"/>
        <v>136.42155820900001</v>
      </c>
      <c r="C53" s="2">
        <f t="shared" si="1"/>
        <v>77</v>
      </c>
      <c r="D53" s="2">
        <f t="shared" si="2"/>
        <v>12.462207900999999</v>
      </c>
      <c r="E53" s="2">
        <f t="shared" si="3"/>
        <v>6.5254780210000005</v>
      </c>
      <c r="F53" s="2">
        <f t="shared" si="4"/>
        <v>2.1559543149999998</v>
      </c>
      <c r="G53" t="s">
        <v>3</v>
      </c>
      <c r="H53" t="s">
        <v>4</v>
      </c>
      <c r="I53">
        <v>31.150383000000001</v>
      </c>
      <c r="J53">
        <v>49.840612800000002</v>
      </c>
      <c r="K53">
        <v>4.6725574500000002</v>
      </c>
      <c r="L53">
        <v>2.8035344699999998</v>
      </c>
      <c r="M53">
        <v>0.62300765999999996</v>
      </c>
      <c r="N53" t="s">
        <v>218</v>
      </c>
      <c r="O53" t="s">
        <v>219</v>
      </c>
      <c r="P53">
        <v>5.1917299999999997</v>
      </c>
      <c r="Q53">
        <v>0.83067679999999999</v>
      </c>
      <c r="R53">
        <v>5.1917300000000003E-3</v>
      </c>
      <c r="S53">
        <v>0.17651881999999999</v>
      </c>
      <c r="T53">
        <v>3.6342109999999997E-2</v>
      </c>
      <c r="U53" t="s">
        <v>5</v>
      </c>
      <c r="V53" t="s">
        <v>6</v>
      </c>
      <c r="W53">
        <v>0.79357699999999998</v>
      </c>
      <c r="X53">
        <v>2.2672494890000001</v>
      </c>
      <c r="Y53">
        <v>7.3009084000000002E-2</v>
      </c>
      <c r="Z53">
        <v>0.38885272999999998</v>
      </c>
      <c r="AA53">
        <v>3.2536656999999997E-2</v>
      </c>
      <c r="AB53" t="s">
        <v>7</v>
      </c>
      <c r="AC53" t="s">
        <v>8</v>
      </c>
      <c r="AD53">
        <v>5.1917299999999997</v>
      </c>
      <c r="AE53">
        <v>45.894893199999999</v>
      </c>
      <c r="AF53">
        <v>5.1917299999999997</v>
      </c>
      <c r="AG53">
        <v>0</v>
      </c>
      <c r="AH53">
        <v>0</v>
      </c>
      <c r="AI53" t="s">
        <v>11</v>
      </c>
      <c r="AJ53" t="s">
        <v>12</v>
      </c>
      <c r="AK53">
        <v>6.1044000000000001E-2</v>
      </c>
      <c r="AL53">
        <v>0</v>
      </c>
      <c r="AM53">
        <v>0</v>
      </c>
      <c r="AN53">
        <v>0</v>
      </c>
      <c r="AO53">
        <v>0</v>
      </c>
      <c r="AP53" t="s">
        <v>36</v>
      </c>
      <c r="AQ53" t="s">
        <v>37</v>
      </c>
      <c r="AR53">
        <v>20.766922000000001</v>
      </c>
      <c r="AS53">
        <v>6.0224073799999998</v>
      </c>
      <c r="AT53">
        <v>8.3067688000000001E-2</v>
      </c>
      <c r="AU53">
        <v>1.34984993</v>
      </c>
      <c r="AV53">
        <v>0.18690229799999999</v>
      </c>
      <c r="AW53" t="s">
        <v>229</v>
      </c>
      <c r="AX53" t="s">
        <v>230</v>
      </c>
      <c r="AY53">
        <v>5.1917299999999997</v>
      </c>
      <c r="AZ53">
        <v>29.5409437</v>
      </c>
      <c r="BA53">
        <v>2.3881958000000001</v>
      </c>
      <c r="BB53">
        <v>1.4536844</v>
      </c>
      <c r="BC53">
        <v>1.0902632999999999</v>
      </c>
      <c r="BD53" t="s">
        <v>222</v>
      </c>
      <c r="BE53" t="s">
        <v>223</v>
      </c>
      <c r="BF53">
        <v>6.922307</v>
      </c>
      <c r="BG53">
        <v>1.73057675</v>
      </c>
      <c r="BH53">
        <v>4.8456148999999997E-2</v>
      </c>
      <c r="BI53">
        <v>0.256125359</v>
      </c>
      <c r="BJ53">
        <v>0.17997998200000001</v>
      </c>
      <c r="BK53" t="s">
        <v>81</v>
      </c>
      <c r="BL53" t="s">
        <v>82</v>
      </c>
      <c r="BM53">
        <v>1.730577</v>
      </c>
      <c r="BN53">
        <v>0.29419809000000002</v>
      </c>
      <c r="BO53">
        <v>0</v>
      </c>
      <c r="BP53">
        <v>9.6912312E-2</v>
      </c>
      <c r="BQ53">
        <v>6.9223080000000003E-3</v>
      </c>
    </row>
    <row r="54" spans="1:146" x14ac:dyDescent="0.35">
      <c r="A54" t="s">
        <v>231</v>
      </c>
      <c r="B54" s="2">
        <f t="shared" si="0"/>
        <v>261.95999999999998</v>
      </c>
      <c r="C54" s="2">
        <f t="shared" si="1"/>
        <v>177</v>
      </c>
      <c r="D54" s="2">
        <f t="shared" si="2"/>
        <v>19.47</v>
      </c>
      <c r="E54" s="2">
        <f t="shared" si="3"/>
        <v>2.8319999999999999</v>
      </c>
      <c r="F54" s="2">
        <f t="shared" si="4"/>
        <v>17.7</v>
      </c>
      <c r="G54" t="s">
        <v>24</v>
      </c>
      <c r="H54" t="s">
        <v>25</v>
      </c>
      <c r="I54">
        <v>177</v>
      </c>
      <c r="J54">
        <v>261.95999999999998</v>
      </c>
      <c r="K54">
        <v>19.47</v>
      </c>
      <c r="L54">
        <v>2.8319999999999999</v>
      </c>
      <c r="M54">
        <v>17.7</v>
      </c>
    </row>
    <row r="55" spans="1:146" x14ac:dyDescent="0.35">
      <c r="A55" t="s">
        <v>232</v>
      </c>
      <c r="B55" s="2">
        <f t="shared" si="0"/>
        <v>247.16</v>
      </c>
      <c r="C55" s="2">
        <f t="shared" si="1"/>
        <v>167</v>
      </c>
      <c r="D55" s="2">
        <f t="shared" si="2"/>
        <v>18.37</v>
      </c>
      <c r="E55" s="2">
        <f t="shared" si="3"/>
        <v>2.6720000000000002</v>
      </c>
      <c r="F55" s="2">
        <f t="shared" si="4"/>
        <v>16.7</v>
      </c>
      <c r="G55" t="s">
        <v>24</v>
      </c>
      <c r="H55" t="s">
        <v>25</v>
      </c>
      <c r="I55">
        <v>167</v>
      </c>
      <c r="J55">
        <v>247.16</v>
      </c>
      <c r="K55">
        <v>18.37</v>
      </c>
      <c r="L55">
        <v>2.6720000000000002</v>
      </c>
      <c r="M55">
        <v>16.7</v>
      </c>
    </row>
    <row r="56" spans="1:146" x14ac:dyDescent="0.35">
      <c r="A56" t="s">
        <v>233</v>
      </c>
      <c r="B56" s="2">
        <f t="shared" si="0"/>
        <v>164.28</v>
      </c>
      <c r="C56" s="2">
        <f t="shared" si="1"/>
        <v>111</v>
      </c>
      <c r="D56" s="2">
        <f t="shared" si="2"/>
        <v>12.21</v>
      </c>
      <c r="E56" s="2">
        <f t="shared" si="3"/>
        <v>1.776</v>
      </c>
      <c r="F56" s="2">
        <f t="shared" si="4"/>
        <v>11.1</v>
      </c>
      <c r="G56" t="s">
        <v>24</v>
      </c>
      <c r="H56" t="s">
        <v>25</v>
      </c>
      <c r="I56">
        <v>111</v>
      </c>
      <c r="J56">
        <v>164.28</v>
      </c>
      <c r="K56">
        <v>12.21</v>
      </c>
      <c r="L56">
        <v>1.776</v>
      </c>
      <c r="M56">
        <v>11.1</v>
      </c>
    </row>
    <row r="57" spans="1:146" x14ac:dyDescent="0.35">
      <c r="A57" t="s">
        <v>234</v>
      </c>
      <c r="B57" s="2">
        <f t="shared" si="0"/>
        <v>93.033714650999983</v>
      </c>
      <c r="C57" s="2">
        <f t="shared" si="1"/>
        <v>41.999997999999998</v>
      </c>
      <c r="D57" s="2">
        <f t="shared" si="2"/>
        <v>0.89462162999999995</v>
      </c>
      <c r="E57" s="2">
        <f t="shared" si="3"/>
        <v>17.965692751999995</v>
      </c>
      <c r="F57" s="2">
        <f t="shared" si="4"/>
        <v>3.1000989380000004</v>
      </c>
      <c r="G57" t="s">
        <v>133</v>
      </c>
      <c r="H57" t="s">
        <v>134</v>
      </c>
      <c r="I57">
        <v>0.11812</v>
      </c>
      <c r="J57">
        <v>1.1812E-2</v>
      </c>
      <c r="K57">
        <v>0</v>
      </c>
      <c r="L57">
        <v>2.3624000000000002E-3</v>
      </c>
      <c r="M57">
        <v>1.1812000000000001E-3</v>
      </c>
      <c r="N57" t="s">
        <v>235</v>
      </c>
      <c r="O57" t="s">
        <v>236</v>
      </c>
      <c r="P57">
        <v>1.754926</v>
      </c>
      <c r="Q57">
        <v>1.6847289599999999</v>
      </c>
      <c r="R57">
        <v>2.6323889999999999E-2</v>
      </c>
      <c r="S57">
        <v>0.36853446000000001</v>
      </c>
      <c r="T57">
        <v>5.9667484E-2</v>
      </c>
      <c r="U57" t="s">
        <v>237</v>
      </c>
      <c r="V57" t="s">
        <v>238</v>
      </c>
      <c r="W57">
        <v>2.6998859999999998</v>
      </c>
      <c r="X57">
        <v>4.1119263779999997</v>
      </c>
      <c r="Y57">
        <v>0.26188894200000001</v>
      </c>
      <c r="Z57">
        <v>0.39958312800000001</v>
      </c>
      <c r="AA57">
        <v>2.699886E-2</v>
      </c>
      <c r="AB57" t="s">
        <v>89</v>
      </c>
      <c r="AC57" t="s">
        <v>90</v>
      </c>
      <c r="AD57">
        <v>0.23624000000000001</v>
      </c>
      <c r="AE57">
        <v>9.4495999999999997E-2</v>
      </c>
      <c r="AF57">
        <v>2.3624E-4</v>
      </c>
      <c r="AG57">
        <v>2.1261599999999999E-2</v>
      </c>
      <c r="AH57">
        <v>2.5986400000000002E-3</v>
      </c>
      <c r="AI57" t="s">
        <v>71</v>
      </c>
      <c r="AJ57" t="s">
        <v>72</v>
      </c>
      <c r="AK57">
        <v>3.0428E-2</v>
      </c>
      <c r="AL57">
        <v>4.5337719999999998E-2</v>
      </c>
      <c r="AM57">
        <v>1.5213999999999999E-4</v>
      </c>
      <c r="AN57">
        <v>1.004124E-2</v>
      </c>
      <c r="AO57">
        <v>1.947392E-3</v>
      </c>
      <c r="AP57" t="s">
        <v>148</v>
      </c>
      <c r="AQ57" t="s">
        <v>149</v>
      </c>
      <c r="AR57">
        <v>0.290238</v>
      </c>
      <c r="AS57">
        <v>0.45132009000000001</v>
      </c>
      <c r="AT57">
        <v>3.047499E-2</v>
      </c>
      <c r="AU57">
        <v>3.4828559999999999E-3</v>
      </c>
      <c r="AV57">
        <v>3.6279749999999999E-2</v>
      </c>
      <c r="AW57" t="s">
        <v>239</v>
      </c>
      <c r="AX57" t="s">
        <v>240</v>
      </c>
      <c r="AY57">
        <v>0.74246900000000005</v>
      </c>
      <c r="AZ57">
        <v>2.7471353000000001</v>
      </c>
      <c r="BA57">
        <v>1.3364442000000001E-2</v>
      </c>
      <c r="BB57">
        <v>0.58877791700000004</v>
      </c>
      <c r="BC57">
        <v>5.1972829999999998E-2</v>
      </c>
      <c r="BD57" t="s">
        <v>11</v>
      </c>
      <c r="BE57" t="s">
        <v>12</v>
      </c>
      <c r="BF57">
        <v>2.0285000000000001E-2</v>
      </c>
      <c r="BG57">
        <v>0</v>
      </c>
      <c r="BH57">
        <v>0</v>
      </c>
      <c r="BI57">
        <v>0</v>
      </c>
      <c r="BJ57">
        <v>0</v>
      </c>
      <c r="BK57" t="s">
        <v>108</v>
      </c>
      <c r="BL57" t="s">
        <v>109</v>
      </c>
      <c r="BM57">
        <v>4.7619999999999997E-3</v>
      </c>
      <c r="BN57">
        <v>1.9047999999999999E-3</v>
      </c>
      <c r="BO57" s="1">
        <v>9.5240000000000006E-6</v>
      </c>
      <c r="BP57">
        <v>4.4286599999999998E-4</v>
      </c>
      <c r="BQ57" s="1">
        <v>9.5240000000000003E-5</v>
      </c>
      <c r="BR57" t="s">
        <v>241</v>
      </c>
      <c r="BS57" t="s">
        <v>242</v>
      </c>
      <c r="BT57">
        <v>2.6998859999999998</v>
      </c>
      <c r="BU57">
        <v>1.6361309159999999</v>
      </c>
      <c r="BV57">
        <v>1.0799543999999999E-2</v>
      </c>
      <c r="BW57">
        <v>0.40498289999999998</v>
      </c>
      <c r="BX57">
        <v>2.1599087999999999E-2</v>
      </c>
      <c r="BY57" t="s">
        <v>243</v>
      </c>
      <c r="BZ57" t="s">
        <v>244</v>
      </c>
      <c r="CA57">
        <v>28.570723999999998</v>
      </c>
      <c r="CB57">
        <v>78.569490999999999</v>
      </c>
      <c r="CC57">
        <v>0.34284868800000001</v>
      </c>
      <c r="CD57">
        <v>15.99960544</v>
      </c>
      <c r="CE57">
        <v>2.5999358840000002</v>
      </c>
      <c r="CF57" t="s">
        <v>245</v>
      </c>
      <c r="CG57" t="s">
        <v>246</v>
      </c>
      <c r="CH57">
        <v>1.3161940000000001</v>
      </c>
      <c r="CI57">
        <v>0.1974291</v>
      </c>
      <c r="CJ57">
        <v>5.2647759999999997E-3</v>
      </c>
      <c r="CK57">
        <v>3.5537237999999999E-2</v>
      </c>
      <c r="CL57">
        <v>1.4478134E-2</v>
      </c>
      <c r="CM57" t="s">
        <v>247</v>
      </c>
      <c r="CN57" t="s">
        <v>248</v>
      </c>
      <c r="CO57">
        <v>0.67497099999999999</v>
      </c>
      <c r="CP57">
        <v>0.34423521000000001</v>
      </c>
      <c r="CQ57">
        <v>1.2824449E-2</v>
      </c>
      <c r="CR57">
        <v>3.3748550000000002E-2</v>
      </c>
      <c r="CS57">
        <v>2.3623985E-2</v>
      </c>
      <c r="CT57" t="s">
        <v>166</v>
      </c>
      <c r="CU57" t="s">
        <v>167</v>
      </c>
      <c r="CV57">
        <v>3.3749000000000001E-2</v>
      </c>
      <c r="CW57">
        <v>7.6947719999999999E-3</v>
      </c>
      <c r="CX57">
        <v>1.6874500000000001E-4</v>
      </c>
      <c r="CY57">
        <v>1.248713E-3</v>
      </c>
      <c r="CZ57">
        <v>7.4247799999999997E-4</v>
      </c>
      <c r="DA57" t="s">
        <v>83</v>
      </c>
      <c r="DB57" t="s">
        <v>84</v>
      </c>
      <c r="DC57">
        <v>5.3237E-2</v>
      </c>
      <c r="DD57">
        <v>1.9750927000000001E-2</v>
      </c>
      <c r="DE57">
        <v>4.2589599999999999E-4</v>
      </c>
      <c r="DF57">
        <v>3.4071679999999999E-3</v>
      </c>
      <c r="DG57">
        <v>1.5438730000000001E-3</v>
      </c>
      <c r="DH57" t="s">
        <v>95</v>
      </c>
      <c r="DI57" t="s">
        <v>96</v>
      </c>
      <c r="DJ57">
        <v>2.574341</v>
      </c>
      <c r="DK57">
        <v>1.51886119</v>
      </c>
      <c r="DL57">
        <v>1.0297364E-2</v>
      </c>
      <c r="DM57">
        <v>9.2676276000000002E-2</v>
      </c>
      <c r="DN57">
        <v>0.2574341</v>
      </c>
      <c r="DO57" t="s">
        <v>170</v>
      </c>
      <c r="DQ57">
        <v>0.17954200000000001</v>
      </c>
      <c r="DR57">
        <v>1.5914602879999999</v>
      </c>
      <c r="DS57">
        <v>0.17954200000000001</v>
      </c>
      <c r="DT57">
        <v>0</v>
      </c>
      <c r="DU57">
        <v>0</v>
      </c>
    </row>
    <row r="58" spans="1:146" x14ac:dyDescent="0.35">
      <c r="A58" t="s">
        <v>249</v>
      </c>
      <c r="B58" s="2">
        <f t="shared" si="0"/>
        <v>138.18</v>
      </c>
      <c r="C58" s="2">
        <f t="shared" si="1"/>
        <v>98</v>
      </c>
      <c r="D58" s="2">
        <f t="shared" si="2"/>
        <v>6.6639999999999997</v>
      </c>
      <c r="E58" s="2">
        <f t="shared" si="3"/>
        <v>17.64</v>
      </c>
      <c r="F58" s="2">
        <f t="shared" si="4"/>
        <v>2.0579999999999998</v>
      </c>
      <c r="G58" t="s">
        <v>21</v>
      </c>
      <c r="H58" t="s">
        <v>22</v>
      </c>
      <c r="I58">
        <v>98</v>
      </c>
      <c r="J58">
        <v>138.18</v>
      </c>
      <c r="K58">
        <v>6.6639999999999997</v>
      </c>
      <c r="L58">
        <v>17.64</v>
      </c>
      <c r="M58">
        <v>2.0579999999999998</v>
      </c>
    </row>
    <row r="59" spans="1:146" x14ac:dyDescent="0.35">
      <c r="A59" t="s">
        <v>250</v>
      </c>
      <c r="B59" s="2">
        <f t="shared" si="0"/>
        <v>187.61069308999998</v>
      </c>
      <c r="C59" s="2">
        <f t="shared" si="1"/>
        <v>79.999999000000003</v>
      </c>
      <c r="D59" s="2">
        <f t="shared" si="2"/>
        <v>10.852526538000001</v>
      </c>
      <c r="E59" s="2">
        <f t="shared" si="3"/>
        <v>14.355162686</v>
      </c>
      <c r="F59" s="2">
        <f t="shared" si="4"/>
        <v>8.3112954749999997</v>
      </c>
      <c r="G59" t="s">
        <v>7</v>
      </c>
      <c r="H59" t="s">
        <v>8</v>
      </c>
      <c r="I59">
        <v>5.5978899999999996</v>
      </c>
      <c r="J59">
        <v>49.485347599999997</v>
      </c>
      <c r="K59">
        <v>5.5978899999999996</v>
      </c>
      <c r="L59">
        <v>0</v>
      </c>
      <c r="M59">
        <v>0</v>
      </c>
      <c r="N59" t="s">
        <v>51</v>
      </c>
      <c r="O59" t="s">
        <v>52</v>
      </c>
      <c r="P59">
        <v>22.391559999999998</v>
      </c>
      <c r="Q59">
        <v>62.15897056</v>
      </c>
      <c r="R59">
        <v>3.8289567600000001</v>
      </c>
      <c r="S59">
        <v>0.71652992000000004</v>
      </c>
      <c r="T59">
        <v>6.2696367999999998</v>
      </c>
      <c r="U59" t="s">
        <v>57</v>
      </c>
      <c r="V59" t="s">
        <v>58</v>
      </c>
      <c r="W59">
        <v>5.5978899999999996</v>
      </c>
      <c r="X59">
        <v>1.3434936</v>
      </c>
      <c r="Y59">
        <v>0</v>
      </c>
      <c r="Z59">
        <v>0.1119578</v>
      </c>
      <c r="AA59">
        <v>0.22391559999999999</v>
      </c>
      <c r="AB59" t="s">
        <v>59</v>
      </c>
      <c r="AD59">
        <v>29.618988000000002</v>
      </c>
      <c r="AE59">
        <v>69.752716739999997</v>
      </c>
      <c r="AF59">
        <v>1.392092436</v>
      </c>
      <c r="AG59">
        <v>12.351117995999999</v>
      </c>
      <c r="AH59">
        <v>1.5994253519999999</v>
      </c>
      <c r="AI59" t="s">
        <v>60</v>
      </c>
      <c r="AK59">
        <v>16.793671</v>
      </c>
      <c r="AL59">
        <v>4.8701645899999999</v>
      </c>
      <c r="AM59">
        <v>3.3587341999999999E-2</v>
      </c>
      <c r="AN59">
        <v>1.1755569699999999</v>
      </c>
      <c r="AO59">
        <v>0.21831772299999999</v>
      </c>
    </row>
    <row r="60" spans="1:146" x14ac:dyDescent="0.35">
      <c r="A60" t="s">
        <v>251</v>
      </c>
      <c r="B60" s="2">
        <f t="shared" si="0"/>
        <v>327.04403160199996</v>
      </c>
      <c r="C60" s="2">
        <f t="shared" si="1"/>
        <v>314.99999999999989</v>
      </c>
      <c r="D60" s="2">
        <f t="shared" si="2"/>
        <v>15.914732950000001</v>
      </c>
      <c r="E60" s="2">
        <f t="shared" si="3"/>
        <v>28.382375940000003</v>
      </c>
      <c r="F60" s="2">
        <f t="shared" si="4"/>
        <v>18.009549604</v>
      </c>
      <c r="G60" t="s">
        <v>252</v>
      </c>
      <c r="H60" t="s">
        <v>253</v>
      </c>
      <c r="I60">
        <v>30.072444999999998</v>
      </c>
      <c r="J60">
        <v>23.155782649999999</v>
      </c>
      <c r="K60">
        <v>3.0072445E-2</v>
      </c>
      <c r="L60">
        <v>5.1123156500000002</v>
      </c>
      <c r="M60">
        <v>0.60144889999999995</v>
      </c>
      <c r="N60" t="s">
        <v>34</v>
      </c>
      <c r="O60" t="s">
        <v>35</v>
      </c>
      <c r="P60">
        <v>114.253265</v>
      </c>
      <c r="Q60">
        <v>28.56331625</v>
      </c>
      <c r="R60">
        <v>0.34275979499999998</v>
      </c>
      <c r="S60">
        <v>5.7126632500000003</v>
      </c>
      <c r="T60">
        <v>2.0565587700000001</v>
      </c>
      <c r="U60" t="s">
        <v>254</v>
      </c>
      <c r="V60" t="s">
        <v>255</v>
      </c>
      <c r="W60">
        <v>48.867722000000001</v>
      </c>
      <c r="X60">
        <v>122.16930499999999</v>
      </c>
      <c r="Y60">
        <v>7.3301582999999999</v>
      </c>
      <c r="Z60">
        <v>0</v>
      </c>
      <c r="AA60">
        <v>12.70560772</v>
      </c>
      <c r="AB60" t="s">
        <v>256</v>
      </c>
      <c r="AC60" t="s">
        <v>257</v>
      </c>
      <c r="AD60">
        <v>3.7590560000000002</v>
      </c>
      <c r="AE60">
        <v>2.2930241599999999</v>
      </c>
      <c r="AF60">
        <v>1.1277168000000001E-2</v>
      </c>
      <c r="AG60">
        <v>0.52626784000000004</v>
      </c>
      <c r="AH60">
        <v>5.638584E-2</v>
      </c>
      <c r="AI60" t="s">
        <v>137</v>
      </c>
      <c r="AJ60" t="s">
        <v>138</v>
      </c>
      <c r="AK60">
        <v>30.072444999999998</v>
      </c>
      <c r="AL60">
        <v>24.358680450000001</v>
      </c>
      <c r="AM60">
        <v>0.12028978</v>
      </c>
      <c r="AN60">
        <v>4.2101423000000002</v>
      </c>
      <c r="AO60">
        <v>1.50362225</v>
      </c>
      <c r="AP60" t="s">
        <v>71</v>
      </c>
      <c r="AQ60" t="s">
        <v>72</v>
      </c>
      <c r="AR60">
        <v>0.53378599999999998</v>
      </c>
      <c r="AS60">
        <v>0.79534114</v>
      </c>
      <c r="AT60">
        <v>2.6689299999999999E-3</v>
      </c>
      <c r="AU60">
        <v>0.17614937999999999</v>
      </c>
      <c r="AV60">
        <v>3.4162303999999998E-2</v>
      </c>
      <c r="AW60" t="s">
        <v>258</v>
      </c>
      <c r="AX60" t="s">
        <v>259</v>
      </c>
      <c r="AY60">
        <v>6.6009019999999996</v>
      </c>
      <c r="AZ60">
        <v>4.046352926</v>
      </c>
      <c r="BA60">
        <v>0.21782976600000001</v>
      </c>
      <c r="BB60">
        <v>0.39605412000000001</v>
      </c>
      <c r="BC60">
        <v>0.244233374</v>
      </c>
      <c r="BD60" t="s">
        <v>7</v>
      </c>
      <c r="BE60" t="s">
        <v>8</v>
      </c>
      <c r="BF60">
        <v>3.800786</v>
      </c>
      <c r="BG60">
        <v>33.598948239999999</v>
      </c>
      <c r="BH60">
        <v>3.800786</v>
      </c>
      <c r="BI60">
        <v>0</v>
      </c>
      <c r="BJ60">
        <v>0</v>
      </c>
      <c r="BK60" t="s">
        <v>141</v>
      </c>
      <c r="BL60" t="s">
        <v>142</v>
      </c>
      <c r="BM60">
        <v>0.95479999999999998</v>
      </c>
      <c r="BN60">
        <v>0</v>
      </c>
      <c r="BO60">
        <v>0</v>
      </c>
      <c r="BP60">
        <v>0</v>
      </c>
      <c r="BQ60">
        <v>0</v>
      </c>
      <c r="BR60" t="s">
        <v>11</v>
      </c>
      <c r="BS60" t="s">
        <v>12</v>
      </c>
      <c r="BT60">
        <v>0.24753500000000001</v>
      </c>
      <c r="BU60">
        <v>0</v>
      </c>
      <c r="BV60">
        <v>0</v>
      </c>
      <c r="BW60">
        <v>0</v>
      </c>
      <c r="BX60">
        <v>0</v>
      </c>
      <c r="BY60" t="s">
        <v>164</v>
      </c>
      <c r="BZ60" t="s">
        <v>165</v>
      </c>
      <c r="CA60">
        <v>1.2729299999999999</v>
      </c>
      <c r="CB60">
        <v>4.2808635900000001</v>
      </c>
      <c r="CC60">
        <v>0.46589237999999999</v>
      </c>
      <c r="CD60">
        <v>3.4369110000000001E-2</v>
      </c>
      <c r="CE60">
        <v>3.564204E-2</v>
      </c>
      <c r="CF60" t="s">
        <v>260</v>
      </c>
      <c r="CG60" t="s">
        <v>261</v>
      </c>
      <c r="CH60">
        <v>3.7590560000000002</v>
      </c>
      <c r="CI60">
        <v>7.4429308799999996</v>
      </c>
      <c r="CJ60">
        <v>0.71422063999999996</v>
      </c>
      <c r="CK60">
        <v>0.17291657599999999</v>
      </c>
      <c r="CL60">
        <v>9.0217344000000005E-2</v>
      </c>
      <c r="CM60" t="s">
        <v>262</v>
      </c>
      <c r="CN60" t="s">
        <v>263</v>
      </c>
      <c r="CO60">
        <v>66.341460999999995</v>
      </c>
      <c r="CP60">
        <v>50.419510359999997</v>
      </c>
      <c r="CQ60">
        <v>0</v>
      </c>
      <c r="CR60">
        <v>11.941462980000001</v>
      </c>
      <c r="CS60">
        <v>0.66341461000000002</v>
      </c>
      <c r="CT60" t="s">
        <v>36</v>
      </c>
      <c r="CU60" t="s">
        <v>37</v>
      </c>
      <c r="CV60">
        <v>1.428166</v>
      </c>
      <c r="CW60">
        <v>0.41416814000000002</v>
      </c>
      <c r="CX60">
        <v>5.7126640000000001E-3</v>
      </c>
      <c r="CY60">
        <v>9.2830789999999996E-2</v>
      </c>
      <c r="CZ60">
        <v>1.2853494E-2</v>
      </c>
      <c r="DA60" t="s">
        <v>38</v>
      </c>
      <c r="DB60" t="s">
        <v>39</v>
      </c>
      <c r="DC60">
        <v>0.16372600000000001</v>
      </c>
      <c r="DD60">
        <v>4.9117800000000003E-2</v>
      </c>
      <c r="DE60">
        <v>1.1460820000000001E-3</v>
      </c>
      <c r="DF60">
        <v>7.2039440000000003E-3</v>
      </c>
      <c r="DG60">
        <v>5.4029580000000002E-3</v>
      </c>
      <c r="DH60" t="s">
        <v>170</v>
      </c>
      <c r="DJ60">
        <v>2.8719190000000001</v>
      </c>
      <c r="DK60">
        <v>25.456690016</v>
      </c>
      <c r="DL60">
        <v>2.8719190000000001</v>
      </c>
      <c r="DM60">
        <v>0</v>
      </c>
      <c r="DN60">
        <v>0</v>
      </c>
    </row>
    <row r="61" spans="1:146" x14ac:dyDescent="0.35">
      <c r="A61" t="s">
        <v>264</v>
      </c>
      <c r="B61" s="2">
        <f t="shared" si="0"/>
        <v>207.63000000000002</v>
      </c>
      <c r="C61" s="2">
        <f t="shared" si="1"/>
        <v>162</v>
      </c>
      <c r="D61" s="2">
        <f t="shared" si="2"/>
        <v>14.904</v>
      </c>
      <c r="E61" s="2">
        <f t="shared" si="3"/>
        <v>3.9420000000000002</v>
      </c>
      <c r="F61" s="2">
        <f t="shared" si="4"/>
        <v>13.904999999999999</v>
      </c>
      <c r="G61" t="s">
        <v>24</v>
      </c>
      <c r="H61" t="s">
        <v>25</v>
      </c>
      <c r="I61">
        <v>135</v>
      </c>
      <c r="J61">
        <v>199.8</v>
      </c>
      <c r="K61">
        <v>14.85</v>
      </c>
      <c r="L61">
        <v>2.16</v>
      </c>
      <c r="M61">
        <v>13.5</v>
      </c>
      <c r="N61" t="s">
        <v>31</v>
      </c>
      <c r="O61" t="s">
        <v>32</v>
      </c>
      <c r="P61">
        <v>27</v>
      </c>
      <c r="Q61">
        <v>7.83</v>
      </c>
      <c r="R61">
        <v>5.3999999999999999E-2</v>
      </c>
      <c r="S61">
        <v>1.782</v>
      </c>
      <c r="T61">
        <v>0.40500000000000003</v>
      </c>
    </row>
    <row r="62" spans="1:146" x14ac:dyDescent="0.35">
      <c r="A62" t="s">
        <v>265</v>
      </c>
      <c r="B62" s="2">
        <f t="shared" si="0"/>
        <v>205.69316939199999</v>
      </c>
      <c r="C62" s="2">
        <f t="shared" si="1"/>
        <v>136.00000200000002</v>
      </c>
      <c r="D62" s="2">
        <f t="shared" si="2"/>
        <v>16.481325149</v>
      </c>
      <c r="E62" s="2">
        <f t="shared" si="3"/>
        <v>4.8573715340000003</v>
      </c>
      <c r="F62" s="2">
        <f t="shared" si="4"/>
        <v>10.506058484</v>
      </c>
      <c r="G62" t="s">
        <v>216</v>
      </c>
      <c r="H62" t="s">
        <v>217</v>
      </c>
      <c r="I62">
        <v>5.8023569999999998</v>
      </c>
      <c r="J62">
        <v>6.4406162699999996</v>
      </c>
      <c r="K62">
        <v>5.2221213000000002E-2</v>
      </c>
      <c r="L62">
        <v>1.3345421099999999</v>
      </c>
      <c r="M62">
        <v>0.15086128200000001</v>
      </c>
      <c r="N62" t="s">
        <v>133</v>
      </c>
      <c r="O62" t="s">
        <v>134</v>
      </c>
      <c r="P62">
        <v>15.272728000000001</v>
      </c>
      <c r="Q62">
        <v>1.5272728</v>
      </c>
      <c r="R62">
        <v>0</v>
      </c>
      <c r="S62">
        <v>0.30545455999999999</v>
      </c>
      <c r="T62">
        <v>0.15272727999999999</v>
      </c>
      <c r="U62" t="s">
        <v>104</v>
      </c>
      <c r="V62" t="s">
        <v>105</v>
      </c>
      <c r="W62">
        <v>15.272728000000001</v>
      </c>
      <c r="X62">
        <v>6.1090911999999999</v>
      </c>
      <c r="Y62">
        <v>3.0545455999999999E-2</v>
      </c>
      <c r="Z62">
        <v>1.3745455200000001</v>
      </c>
      <c r="AA62">
        <v>0.30545455999999999</v>
      </c>
      <c r="AB62" t="s">
        <v>106</v>
      </c>
      <c r="AC62" t="s">
        <v>107</v>
      </c>
      <c r="AD62">
        <v>1.4505889999999999</v>
      </c>
      <c r="AE62">
        <v>0.33363546999999999</v>
      </c>
      <c r="AF62">
        <v>5.8023559999999998E-3</v>
      </c>
      <c r="AG62">
        <v>5.2221204E-2</v>
      </c>
      <c r="AH62">
        <v>4.2067080999999999E-2</v>
      </c>
      <c r="AI62" t="s">
        <v>117</v>
      </c>
      <c r="AJ62" t="s">
        <v>118</v>
      </c>
      <c r="AK62">
        <v>33</v>
      </c>
      <c r="AL62">
        <v>24.09</v>
      </c>
      <c r="AM62">
        <v>1.5840000000000001</v>
      </c>
      <c r="AN62">
        <v>0.627</v>
      </c>
      <c r="AO62">
        <v>2.64</v>
      </c>
      <c r="AP62" t="s">
        <v>218</v>
      </c>
      <c r="AQ62" t="s">
        <v>219</v>
      </c>
      <c r="AR62">
        <v>12.218182000000001</v>
      </c>
      <c r="AS62">
        <v>1.9549091199999999</v>
      </c>
      <c r="AT62">
        <v>1.2218181999999999E-2</v>
      </c>
      <c r="AU62">
        <v>0.41541818800000002</v>
      </c>
      <c r="AV62">
        <v>8.5527274E-2</v>
      </c>
      <c r="AW62" t="s">
        <v>89</v>
      </c>
      <c r="AX62" t="s">
        <v>90</v>
      </c>
      <c r="AY62">
        <v>0.58023599999999997</v>
      </c>
      <c r="AZ62">
        <v>0.23209440000000001</v>
      </c>
      <c r="BA62">
        <v>5.8023600000000003E-4</v>
      </c>
      <c r="BB62">
        <v>5.2221240000000002E-2</v>
      </c>
      <c r="BC62">
        <v>6.3825959999999999E-3</v>
      </c>
      <c r="BD62" t="s">
        <v>71</v>
      </c>
      <c r="BE62" t="s">
        <v>72</v>
      </c>
      <c r="BF62">
        <v>1.6339900000000001</v>
      </c>
      <c r="BG62">
        <v>2.4346451</v>
      </c>
      <c r="BH62">
        <v>8.1699500000000005E-3</v>
      </c>
      <c r="BI62">
        <v>0.53921669999999999</v>
      </c>
      <c r="BJ62">
        <v>0.10457536000000001</v>
      </c>
      <c r="BK62" t="s">
        <v>258</v>
      </c>
      <c r="BL62" t="s">
        <v>259</v>
      </c>
      <c r="BM62">
        <v>0.76363599999999998</v>
      </c>
      <c r="BN62">
        <v>0.46810886800000001</v>
      </c>
      <c r="BO62">
        <v>2.5199988E-2</v>
      </c>
      <c r="BP62">
        <v>4.5818159999999997E-2</v>
      </c>
      <c r="BQ62">
        <v>2.8254531999999999E-2</v>
      </c>
      <c r="BR62" t="s">
        <v>73</v>
      </c>
      <c r="BS62" t="s">
        <v>74</v>
      </c>
      <c r="BT62">
        <v>0.87035399999999996</v>
      </c>
      <c r="BU62">
        <v>0.1740708</v>
      </c>
      <c r="BV62">
        <v>1.7407080000000001E-3</v>
      </c>
      <c r="BW62">
        <v>2.8721681999999998E-2</v>
      </c>
      <c r="BX62">
        <v>1.3055310000000001E-2</v>
      </c>
      <c r="BY62" t="s">
        <v>7</v>
      </c>
      <c r="BZ62" t="s">
        <v>8</v>
      </c>
      <c r="CA62">
        <v>12.43577</v>
      </c>
      <c r="CB62">
        <v>109.9322068</v>
      </c>
      <c r="CC62">
        <v>12.43577</v>
      </c>
      <c r="CD62">
        <v>0</v>
      </c>
      <c r="CE62">
        <v>0</v>
      </c>
      <c r="CF62" t="s">
        <v>141</v>
      </c>
      <c r="CG62" t="s">
        <v>142</v>
      </c>
      <c r="CH62">
        <v>6.1090910000000003</v>
      </c>
      <c r="CI62">
        <v>0</v>
      </c>
      <c r="CJ62">
        <v>0</v>
      </c>
      <c r="CK62">
        <v>0</v>
      </c>
      <c r="CL62">
        <v>0</v>
      </c>
      <c r="CM62" t="s">
        <v>151</v>
      </c>
      <c r="CN62" t="s">
        <v>152</v>
      </c>
      <c r="CO62">
        <v>7.2528999999999996E-2</v>
      </c>
      <c r="CP62">
        <v>2.9011599999999999E-2</v>
      </c>
      <c r="CQ62">
        <v>2.9011599999999999E-4</v>
      </c>
      <c r="CR62">
        <v>6.4550809999999997E-3</v>
      </c>
      <c r="CS62">
        <v>1.3055219999999999E-3</v>
      </c>
      <c r="CT62" t="s">
        <v>11</v>
      </c>
      <c r="CU62" t="s">
        <v>12</v>
      </c>
      <c r="CV62">
        <v>0.45434799999999997</v>
      </c>
      <c r="CW62">
        <v>0</v>
      </c>
      <c r="CX62">
        <v>0</v>
      </c>
      <c r="CY62">
        <v>0</v>
      </c>
      <c r="CZ62">
        <v>0</v>
      </c>
      <c r="DA62" t="s">
        <v>266</v>
      </c>
      <c r="DB62" t="s">
        <v>267</v>
      </c>
      <c r="DC62">
        <v>29.011786000000001</v>
      </c>
      <c r="DD62">
        <v>51.640979080000001</v>
      </c>
      <c r="DE62">
        <v>2.32094288</v>
      </c>
      <c r="DF62">
        <v>0</v>
      </c>
      <c r="DG62">
        <v>6.9628286399999997</v>
      </c>
      <c r="DH62" t="s">
        <v>205</v>
      </c>
      <c r="DI62" t="s">
        <v>206</v>
      </c>
      <c r="DJ62">
        <v>3.6264999999999999E-2</v>
      </c>
      <c r="DK62">
        <v>1.08795E-2</v>
      </c>
      <c r="DL62" s="1">
        <v>7.2529999999999998E-5</v>
      </c>
      <c r="DM62">
        <v>3.8078249999999999E-3</v>
      </c>
      <c r="DN62">
        <v>2.5385499999999999E-4</v>
      </c>
      <c r="DO62" t="s">
        <v>36</v>
      </c>
      <c r="DP62" t="s">
        <v>37</v>
      </c>
      <c r="DQ62">
        <v>0.29011799999999999</v>
      </c>
      <c r="DR62">
        <v>8.4134219999999996E-2</v>
      </c>
      <c r="DS62">
        <v>1.1604720000000001E-3</v>
      </c>
      <c r="DT62">
        <v>1.885767E-2</v>
      </c>
      <c r="DU62">
        <v>2.6110619999999999E-3</v>
      </c>
      <c r="DV62" t="s">
        <v>81</v>
      </c>
      <c r="DW62" t="s">
        <v>82</v>
      </c>
      <c r="DX62">
        <v>0.29011799999999999</v>
      </c>
      <c r="DY62">
        <v>4.9320059999999999E-2</v>
      </c>
      <c r="DZ62">
        <v>0</v>
      </c>
      <c r="EA62">
        <v>1.6246607999999999E-2</v>
      </c>
      <c r="EB62">
        <v>1.1604720000000001E-3</v>
      </c>
      <c r="EC62" t="s">
        <v>166</v>
      </c>
      <c r="ED62" t="s">
        <v>167</v>
      </c>
      <c r="EE62">
        <v>0.29011799999999999</v>
      </c>
      <c r="EF62">
        <v>6.6146904000000006E-2</v>
      </c>
      <c r="EG62">
        <v>1.4505900000000001E-3</v>
      </c>
      <c r="EH62">
        <v>1.0734366E-2</v>
      </c>
      <c r="EI62">
        <v>6.3825959999999999E-3</v>
      </c>
      <c r="EJ62" t="s">
        <v>168</v>
      </c>
      <c r="EK62" t="s">
        <v>169</v>
      </c>
      <c r="EL62">
        <v>0.14505899999999999</v>
      </c>
      <c r="EM62">
        <v>0.1160472</v>
      </c>
      <c r="EN62">
        <v>1.1604720000000001E-3</v>
      </c>
      <c r="EO62">
        <v>2.6110620000000001E-2</v>
      </c>
      <c r="EP62">
        <v>2.6110619999999999E-3</v>
      </c>
    </row>
    <row r="63" spans="1:146" x14ac:dyDescent="0.35">
      <c r="A63" t="s">
        <v>268</v>
      </c>
      <c r="B63" s="2">
        <f t="shared" si="0"/>
        <v>253.06850595399999</v>
      </c>
      <c r="C63" s="2">
        <f t="shared" si="1"/>
        <v>144.99999400000002</v>
      </c>
      <c r="D63" s="2">
        <f t="shared" si="2"/>
        <v>14.671488598</v>
      </c>
      <c r="E63" s="2">
        <f t="shared" si="3"/>
        <v>11.491882958000001</v>
      </c>
      <c r="F63" s="2">
        <f t="shared" si="4"/>
        <v>19.076248649</v>
      </c>
      <c r="G63" t="s">
        <v>252</v>
      </c>
      <c r="H63" t="s">
        <v>253</v>
      </c>
      <c r="I63">
        <v>56.143371999999999</v>
      </c>
      <c r="J63">
        <v>43.23039644</v>
      </c>
      <c r="K63">
        <v>5.6143371999999997E-2</v>
      </c>
      <c r="L63">
        <v>9.5443732400000005</v>
      </c>
      <c r="M63">
        <v>1.12286744</v>
      </c>
      <c r="N63" t="s">
        <v>269</v>
      </c>
      <c r="O63" t="s">
        <v>270</v>
      </c>
      <c r="P63">
        <v>70.179214000000002</v>
      </c>
      <c r="Q63">
        <v>190.18566994</v>
      </c>
      <c r="R63">
        <v>13.334050660000001</v>
      </c>
      <c r="S63">
        <v>0</v>
      </c>
      <c r="T63">
        <v>17.5448035</v>
      </c>
      <c r="U63" t="s">
        <v>71</v>
      </c>
      <c r="V63" t="s">
        <v>72</v>
      </c>
      <c r="W63">
        <v>3.094376</v>
      </c>
      <c r="X63">
        <v>4.6106202400000003</v>
      </c>
      <c r="Y63">
        <v>1.547188E-2</v>
      </c>
      <c r="Z63">
        <v>1.02114408</v>
      </c>
      <c r="AA63">
        <v>0.19804006399999999</v>
      </c>
      <c r="AB63" t="s">
        <v>11</v>
      </c>
      <c r="AC63" t="s">
        <v>12</v>
      </c>
      <c r="AD63">
        <v>0.30943799999999999</v>
      </c>
      <c r="AE63">
        <v>0</v>
      </c>
      <c r="AF63">
        <v>0</v>
      </c>
      <c r="AG63">
        <v>0</v>
      </c>
      <c r="AH63">
        <v>0</v>
      </c>
      <c r="AI63" t="s">
        <v>31</v>
      </c>
      <c r="AJ63" t="s">
        <v>32</v>
      </c>
      <c r="AK63">
        <v>14.035843</v>
      </c>
      <c r="AL63">
        <v>4.0703944700000001</v>
      </c>
      <c r="AM63">
        <v>2.8071685999999998E-2</v>
      </c>
      <c r="AN63">
        <v>0.92636563800000005</v>
      </c>
      <c r="AO63">
        <v>0.210537645</v>
      </c>
      <c r="AP63" t="s">
        <v>170</v>
      </c>
      <c r="AR63">
        <v>1.237751</v>
      </c>
      <c r="AS63">
        <v>10.971424863999999</v>
      </c>
      <c r="AT63">
        <v>1.237751</v>
      </c>
      <c r="AU63">
        <v>0</v>
      </c>
      <c r="AV63">
        <v>0</v>
      </c>
    </row>
    <row r="64" spans="1:146" x14ac:dyDescent="0.35">
      <c r="A64" t="s">
        <v>271</v>
      </c>
      <c r="B64" s="2">
        <f t="shared" si="0"/>
        <v>401.36</v>
      </c>
      <c r="C64" s="2">
        <f t="shared" si="1"/>
        <v>181</v>
      </c>
      <c r="D64" s="2">
        <f t="shared" si="2"/>
        <v>29.470000000000002</v>
      </c>
      <c r="E64" s="2">
        <f t="shared" si="3"/>
        <v>4.8140000000000001</v>
      </c>
      <c r="F64" s="2">
        <f t="shared" si="4"/>
        <v>28.62</v>
      </c>
      <c r="G64" t="s">
        <v>63</v>
      </c>
      <c r="H64" t="s">
        <v>64</v>
      </c>
      <c r="I64">
        <v>61</v>
      </c>
      <c r="J64">
        <v>330.01</v>
      </c>
      <c r="K64">
        <v>25.62</v>
      </c>
      <c r="L64">
        <v>0.85399999999999998</v>
      </c>
      <c r="M64">
        <v>22.57</v>
      </c>
      <c r="N64" t="s">
        <v>24</v>
      </c>
      <c r="O64" t="s">
        <v>25</v>
      </c>
      <c r="P64">
        <v>35</v>
      </c>
      <c r="Q64">
        <v>51.8</v>
      </c>
      <c r="R64">
        <v>3.85</v>
      </c>
      <c r="S64">
        <v>0.56000000000000005</v>
      </c>
      <c r="T64">
        <v>3.5</v>
      </c>
      <c r="U64" t="s">
        <v>220</v>
      </c>
      <c r="V64" t="s">
        <v>221</v>
      </c>
      <c r="W64">
        <v>85</v>
      </c>
      <c r="X64">
        <v>19.55</v>
      </c>
      <c r="Y64">
        <v>0</v>
      </c>
      <c r="Z64">
        <v>3.4</v>
      </c>
      <c r="AA64">
        <v>2.5499999999999998</v>
      </c>
    </row>
    <row r="65" spans="1:139" x14ac:dyDescent="0.35">
      <c r="A65" t="s">
        <v>272</v>
      </c>
      <c r="B65" s="2">
        <f t="shared" si="0"/>
        <v>226.17</v>
      </c>
      <c r="C65" s="2">
        <f t="shared" si="1"/>
        <v>150</v>
      </c>
      <c r="D65" s="2">
        <f t="shared" si="2"/>
        <v>15.66</v>
      </c>
      <c r="E65" s="2">
        <f t="shared" si="3"/>
        <v>9.99</v>
      </c>
      <c r="F65" s="2">
        <f t="shared" si="4"/>
        <v>12.780000000000001</v>
      </c>
      <c r="G65" t="s">
        <v>133</v>
      </c>
      <c r="H65" t="s">
        <v>134</v>
      </c>
      <c r="I65">
        <v>60</v>
      </c>
      <c r="J65">
        <v>6</v>
      </c>
      <c r="K65">
        <v>0</v>
      </c>
      <c r="L65">
        <v>1.2</v>
      </c>
      <c r="M65">
        <v>0.6</v>
      </c>
      <c r="N65" t="s">
        <v>273</v>
      </c>
      <c r="O65" t="s">
        <v>274</v>
      </c>
      <c r="P65">
        <v>30</v>
      </c>
      <c r="Q65">
        <v>120.57</v>
      </c>
      <c r="R65">
        <v>9.9</v>
      </c>
      <c r="S65">
        <v>0.39</v>
      </c>
      <c r="T65">
        <v>7.44</v>
      </c>
      <c r="U65" t="s">
        <v>18</v>
      </c>
      <c r="V65" t="s">
        <v>19</v>
      </c>
      <c r="W65">
        <v>60</v>
      </c>
      <c r="X65">
        <v>99.6</v>
      </c>
      <c r="Y65">
        <v>5.76</v>
      </c>
      <c r="Z65">
        <v>8.4</v>
      </c>
      <c r="AA65">
        <v>4.74</v>
      </c>
    </row>
    <row r="66" spans="1:139" x14ac:dyDescent="0.35">
      <c r="A66" t="s">
        <v>275</v>
      </c>
      <c r="B66" s="2">
        <f t="shared" si="0"/>
        <v>259.2</v>
      </c>
      <c r="C66" s="2">
        <f t="shared" si="1"/>
        <v>192</v>
      </c>
      <c r="D66" s="2">
        <f t="shared" si="2"/>
        <v>9.6</v>
      </c>
      <c r="E66" s="2">
        <f t="shared" si="3"/>
        <v>29.568000000000001</v>
      </c>
      <c r="F66" s="2">
        <f t="shared" si="4"/>
        <v>13.824</v>
      </c>
      <c r="G66" t="s">
        <v>276</v>
      </c>
      <c r="H66" t="s">
        <v>277</v>
      </c>
      <c r="I66">
        <v>192</v>
      </c>
      <c r="J66">
        <v>259.2</v>
      </c>
      <c r="K66">
        <v>9.6</v>
      </c>
      <c r="L66">
        <v>29.568000000000001</v>
      </c>
      <c r="M66">
        <v>13.824</v>
      </c>
    </row>
    <row r="67" spans="1:139" x14ac:dyDescent="0.35">
      <c r="A67" t="s">
        <v>278</v>
      </c>
      <c r="B67" s="2">
        <f t="shared" ref="B67:B130" si="5">J67+Q67+X67+AE67+AL67+AS67+AZ67+BG67+BN67+BU67+CB67+CI67+CP67+CW67+DD67+DK67+DR67+DY67+EF67+EM67+ET67</f>
        <v>184.08068273500001</v>
      </c>
      <c r="C67" s="2">
        <f t="shared" ref="C67:C130" si="6">I67+P67+W67+AD67+AK67+AR67+AY67+BF67+BM67+BT67+CA67+CH67+CO67+CV67+DC67+DJ67+DQ67+DX67+EE67+EL67+ES67</f>
        <v>89.999998000000005</v>
      </c>
      <c r="D67" s="2">
        <f t="shared" ref="D67:D130" si="7">K67+R67+Y67+AF67+AM67+AT67+BA67+BH67+BO67+BV67+CC67+CJ67+CQ67+CX67+DE67+DL67+DS67+DZ67+EG67+EN67+EU67</f>
        <v>10.210574277999998</v>
      </c>
      <c r="E67" s="2">
        <f t="shared" ref="E67:E130" si="8">L67+S67+Z67+AG67+AN67+AU67+BB67+BI67+BP67+BW67+CD67+CK67+CR67+CY67+DF67+DM67+DT67+EA67+EH67+EO67+EV67</f>
        <v>3.3319539039999997</v>
      </c>
      <c r="F67" s="2">
        <f t="shared" ref="F67:F130" si="9">M67+T67+AA67+AH67+AO67+AV67+BC67+BJ67+BQ67+BX67+CE67+CL67+CS67+CZ67+DG67+DN67+DU67+EB67+EI67+EP67+EW67</f>
        <v>18.374482166999996</v>
      </c>
      <c r="G67" t="s">
        <v>194</v>
      </c>
      <c r="H67" t="s">
        <v>195</v>
      </c>
      <c r="I67">
        <v>9.1954019999999996</v>
      </c>
      <c r="J67">
        <v>11.9540226</v>
      </c>
      <c r="K67">
        <v>2.7586205999999999E-2</v>
      </c>
      <c r="L67">
        <v>2.57471256</v>
      </c>
      <c r="M67">
        <v>0.24827585399999999</v>
      </c>
      <c r="N67" t="s">
        <v>89</v>
      </c>
      <c r="O67" t="s">
        <v>90</v>
      </c>
      <c r="P67">
        <v>3.218391</v>
      </c>
      <c r="Q67">
        <v>1.2873564</v>
      </c>
      <c r="R67">
        <v>3.2183910000000001E-3</v>
      </c>
      <c r="S67">
        <v>0.28965519000000001</v>
      </c>
      <c r="T67">
        <v>3.5402300999999997E-2</v>
      </c>
      <c r="U67" t="s">
        <v>71</v>
      </c>
      <c r="V67" t="s">
        <v>72</v>
      </c>
      <c r="W67">
        <v>0.45977000000000001</v>
      </c>
      <c r="X67">
        <v>0.68505729999999998</v>
      </c>
      <c r="Y67">
        <v>2.2988499999999999E-3</v>
      </c>
      <c r="Z67">
        <v>0.1517241</v>
      </c>
      <c r="AA67">
        <v>2.9425280000000002E-2</v>
      </c>
      <c r="AB67" t="s">
        <v>7</v>
      </c>
      <c r="AC67" t="s">
        <v>8</v>
      </c>
      <c r="AD67">
        <v>0.45977000000000001</v>
      </c>
      <c r="AE67">
        <v>4.0643668000000002</v>
      </c>
      <c r="AF67">
        <v>0.45977000000000001</v>
      </c>
      <c r="AG67">
        <v>0</v>
      </c>
      <c r="AH67">
        <v>0</v>
      </c>
      <c r="AI67" t="s">
        <v>11</v>
      </c>
      <c r="AJ67" t="s">
        <v>12</v>
      </c>
      <c r="AK67">
        <v>0.114943</v>
      </c>
      <c r="AL67">
        <v>0</v>
      </c>
      <c r="AM67">
        <v>0</v>
      </c>
      <c r="AN67">
        <v>0</v>
      </c>
      <c r="AO67">
        <v>0</v>
      </c>
      <c r="AP67" t="s">
        <v>145</v>
      </c>
      <c r="AQ67" t="s">
        <v>146</v>
      </c>
      <c r="AR67">
        <v>68.965514999999996</v>
      </c>
      <c r="AS67">
        <v>164.13792570000001</v>
      </c>
      <c r="AT67">
        <v>9.6551720999999997</v>
      </c>
      <c r="AU67">
        <v>0</v>
      </c>
      <c r="AV67">
        <v>17.931033899999999</v>
      </c>
      <c r="AW67" t="s">
        <v>245</v>
      </c>
      <c r="AX67" t="s">
        <v>246</v>
      </c>
      <c r="AY67">
        <v>4.5977009999999998</v>
      </c>
      <c r="AZ67">
        <v>0.68965514999999999</v>
      </c>
      <c r="BA67">
        <v>1.8390804E-2</v>
      </c>
      <c r="BB67">
        <v>0.124137927</v>
      </c>
      <c r="BC67">
        <v>5.0574711000000001E-2</v>
      </c>
      <c r="BD67" t="s">
        <v>222</v>
      </c>
      <c r="BE67" t="s">
        <v>223</v>
      </c>
      <c r="BF67">
        <v>2.298851</v>
      </c>
      <c r="BG67">
        <v>0.57471274999999999</v>
      </c>
      <c r="BH67">
        <v>1.6091957E-2</v>
      </c>
      <c r="BI67">
        <v>8.5057487000000001E-2</v>
      </c>
      <c r="BJ67">
        <v>5.9770126E-2</v>
      </c>
      <c r="BK67" t="s">
        <v>279</v>
      </c>
      <c r="BL67" t="s">
        <v>280</v>
      </c>
      <c r="BM67">
        <v>0.45977000000000001</v>
      </c>
      <c r="BN67">
        <v>0.60229869999999996</v>
      </c>
      <c r="BO67">
        <v>2.620689E-2</v>
      </c>
      <c r="BP67">
        <v>9.1953999999999994E-2</v>
      </c>
      <c r="BQ67">
        <v>1.3333329999999999E-2</v>
      </c>
      <c r="BR67" t="s">
        <v>83</v>
      </c>
      <c r="BS67" t="s">
        <v>84</v>
      </c>
      <c r="BT67">
        <v>0.22988500000000001</v>
      </c>
      <c r="BU67">
        <v>8.5287335000000006E-2</v>
      </c>
      <c r="BV67">
        <v>1.8390800000000001E-3</v>
      </c>
      <c r="BW67">
        <v>1.4712640000000001E-2</v>
      </c>
      <c r="BX67">
        <v>6.6666649999999996E-3</v>
      </c>
    </row>
    <row r="68" spans="1:139" x14ac:dyDescent="0.35">
      <c r="A68" t="s">
        <v>281</v>
      </c>
      <c r="B68" s="2">
        <f t="shared" si="5"/>
        <v>321.79652687499993</v>
      </c>
      <c r="C68" s="2">
        <f t="shared" si="6"/>
        <v>217.999999</v>
      </c>
      <c r="D68" s="2">
        <f t="shared" si="7"/>
        <v>15.082743872999998</v>
      </c>
      <c r="E68" s="2">
        <f t="shared" si="8"/>
        <v>26.568502214999995</v>
      </c>
      <c r="F68" s="2">
        <f t="shared" si="9"/>
        <v>19.221490041999999</v>
      </c>
      <c r="G68" t="s">
        <v>194</v>
      </c>
      <c r="H68" t="s">
        <v>195</v>
      </c>
      <c r="I68">
        <v>51</v>
      </c>
      <c r="J68">
        <v>66.3</v>
      </c>
      <c r="K68">
        <v>0.153</v>
      </c>
      <c r="L68">
        <v>14.28</v>
      </c>
      <c r="M68">
        <v>1.377</v>
      </c>
      <c r="N68" t="s">
        <v>1</v>
      </c>
      <c r="O68" t="s">
        <v>2</v>
      </c>
      <c r="P68">
        <v>17.480574000000001</v>
      </c>
      <c r="Q68">
        <v>5.9433951599999997</v>
      </c>
      <c r="R68">
        <v>0.122364018</v>
      </c>
      <c r="S68">
        <v>1.188679032</v>
      </c>
      <c r="T68">
        <v>0.122364018</v>
      </c>
      <c r="U68" t="s">
        <v>89</v>
      </c>
      <c r="V68" t="s">
        <v>90</v>
      </c>
      <c r="W68">
        <v>6.356573</v>
      </c>
      <c r="X68">
        <v>2.5426291999999999</v>
      </c>
      <c r="Y68">
        <v>6.3565729999999999E-3</v>
      </c>
      <c r="Z68">
        <v>0.57209156999999999</v>
      </c>
      <c r="AA68">
        <v>6.9922303000000005E-2</v>
      </c>
      <c r="AB68" t="s">
        <v>71</v>
      </c>
      <c r="AC68" t="s">
        <v>72</v>
      </c>
      <c r="AD68">
        <v>1.3237559999999999</v>
      </c>
      <c r="AE68">
        <v>1.97239644</v>
      </c>
      <c r="AF68">
        <v>6.6187800000000003E-3</v>
      </c>
      <c r="AG68">
        <v>0.43683948</v>
      </c>
      <c r="AH68">
        <v>8.4720383999999996E-2</v>
      </c>
      <c r="AI68" t="s">
        <v>160</v>
      </c>
      <c r="AJ68" t="s">
        <v>161</v>
      </c>
      <c r="AK68">
        <v>47.674294000000003</v>
      </c>
      <c r="AL68">
        <v>84.478848967999994</v>
      </c>
      <c r="AM68">
        <v>3.9569664019999999</v>
      </c>
      <c r="AN68">
        <v>0</v>
      </c>
      <c r="AO68">
        <v>11.394156266</v>
      </c>
      <c r="AP68" t="s">
        <v>7</v>
      </c>
      <c r="AQ68" t="s">
        <v>8</v>
      </c>
      <c r="AR68">
        <v>3.708602</v>
      </c>
      <c r="AS68">
        <v>32.784041680000001</v>
      </c>
      <c r="AT68">
        <v>3.708602</v>
      </c>
      <c r="AU68">
        <v>0</v>
      </c>
      <c r="AV68">
        <v>0</v>
      </c>
      <c r="AW68" t="s">
        <v>151</v>
      </c>
      <c r="AX68" t="s">
        <v>152</v>
      </c>
      <c r="AY68">
        <v>3.1782999999999999E-2</v>
      </c>
      <c r="AZ68">
        <v>1.2713199999999999E-2</v>
      </c>
      <c r="BA68">
        <v>1.2713199999999999E-4</v>
      </c>
      <c r="BB68">
        <v>2.8286869999999999E-3</v>
      </c>
      <c r="BC68">
        <v>5.7209399999999999E-4</v>
      </c>
      <c r="BD68" t="s">
        <v>51</v>
      </c>
      <c r="BE68" t="s">
        <v>52</v>
      </c>
      <c r="BF68">
        <v>14.834409000000001</v>
      </c>
      <c r="BG68">
        <v>41.180319384000001</v>
      </c>
      <c r="BH68">
        <v>2.536683939</v>
      </c>
      <c r="BI68">
        <v>0.47470108799999999</v>
      </c>
      <c r="BJ68">
        <v>4.1536345199999998</v>
      </c>
      <c r="BK68" t="s">
        <v>11</v>
      </c>
      <c r="BL68" t="s">
        <v>12</v>
      </c>
      <c r="BM68">
        <v>5.6055000000000001E-2</v>
      </c>
      <c r="BN68">
        <v>0</v>
      </c>
      <c r="BO68">
        <v>0</v>
      </c>
      <c r="BP68">
        <v>0</v>
      </c>
      <c r="BQ68">
        <v>0</v>
      </c>
      <c r="BR68" t="s">
        <v>162</v>
      </c>
      <c r="BS68" t="s">
        <v>163</v>
      </c>
      <c r="BT68">
        <v>25.791792000000001</v>
      </c>
      <c r="BU68">
        <v>0</v>
      </c>
      <c r="BV68">
        <v>0</v>
      </c>
      <c r="BW68">
        <v>0</v>
      </c>
      <c r="BX68">
        <v>0</v>
      </c>
      <c r="BY68" t="s">
        <v>164</v>
      </c>
      <c r="BZ68" t="s">
        <v>165</v>
      </c>
      <c r="CA68">
        <v>9.6778809999999993</v>
      </c>
      <c r="CB68">
        <v>32.546713803000003</v>
      </c>
      <c r="CC68">
        <v>3.5421044460000002</v>
      </c>
      <c r="CD68">
        <v>0.26130278699999998</v>
      </c>
      <c r="CE68">
        <v>0.27098066799999998</v>
      </c>
      <c r="CF68" t="s">
        <v>81</v>
      </c>
      <c r="CG68" t="s">
        <v>82</v>
      </c>
      <c r="CH68">
        <v>9.9321000000000007E-2</v>
      </c>
      <c r="CI68">
        <v>1.6884570000000002E-2</v>
      </c>
      <c r="CJ68">
        <v>0</v>
      </c>
      <c r="CK68">
        <v>5.5619759999999997E-3</v>
      </c>
      <c r="CL68">
        <v>3.9728400000000003E-4</v>
      </c>
      <c r="CM68" t="s">
        <v>57</v>
      </c>
      <c r="CN68" t="s">
        <v>58</v>
      </c>
      <c r="CO68">
        <v>3.708602</v>
      </c>
      <c r="CP68">
        <v>0.89006448000000005</v>
      </c>
      <c r="CQ68">
        <v>0</v>
      </c>
      <c r="CR68">
        <v>7.4172039999999995E-2</v>
      </c>
      <c r="CS68">
        <v>0.14834407999999999</v>
      </c>
      <c r="CT68" t="s">
        <v>166</v>
      </c>
      <c r="CU68" t="s">
        <v>167</v>
      </c>
      <c r="CV68">
        <v>1.0583689999999999</v>
      </c>
      <c r="CW68">
        <v>0.24130813200000001</v>
      </c>
      <c r="CX68">
        <v>5.2918449999999999E-3</v>
      </c>
      <c r="CY68">
        <v>3.9159653000000003E-2</v>
      </c>
      <c r="CZ68">
        <v>2.3284117999999999E-2</v>
      </c>
      <c r="DA68" t="s">
        <v>168</v>
      </c>
      <c r="DB68" t="s">
        <v>169</v>
      </c>
      <c r="DC68">
        <v>0.79457199999999994</v>
      </c>
      <c r="DD68">
        <v>0.63565760000000004</v>
      </c>
      <c r="DE68">
        <v>6.3565760000000001E-3</v>
      </c>
      <c r="DF68">
        <v>0.14302296</v>
      </c>
      <c r="DG68">
        <v>1.4302296000000001E-2</v>
      </c>
      <c r="DH68" t="s">
        <v>95</v>
      </c>
      <c r="DI68" t="s">
        <v>96</v>
      </c>
      <c r="DJ68">
        <v>3.5755720000000002</v>
      </c>
      <c r="DK68">
        <v>2.1095874800000001</v>
      </c>
      <c r="DL68">
        <v>1.4302288E-2</v>
      </c>
      <c r="DM68">
        <v>0.12872059199999999</v>
      </c>
      <c r="DN68">
        <v>0.35755720000000002</v>
      </c>
      <c r="DO68" t="s">
        <v>59</v>
      </c>
      <c r="DQ68">
        <v>19.622579999999999</v>
      </c>
      <c r="DR68">
        <v>46.211175900000001</v>
      </c>
      <c r="DS68">
        <v>0.92226125999999997</v>
      </c>
      <c r="DT68">
        <v>8.1826158600000003</v>
      </c>
      <c r="DU68">
        <v>1.0596193199999999</v>
      </c>
      <c r="DV68" t="s">
        <v>60</v>
      </c>
      <c r="DX68">
        <v>11.125807</v>
      </c>
      <c r="DY68">
        <v>3.2264840299999999</v>
      </c>
      <c r="DZ68">
        <v>2.2251613999999999E-2</v>
      </c>
      <c r="EA68">
        <v>0.77880649000000002</v>
      </c>
      <c r="EB68">
        <v>0.144635491</v>
      </c>
      <c r="EC68" t="s">
        <v>170</v>
      </c>
      <c r="EE68">
        <v>7.9457E-2</v>
      </c>
      <c r="EF68">
        <v>0.70430684799999999</v>
      </c>
      <c r="EG68">
        <v>7.9457E-2</v>
      </c>
      <c r="EH68">
        <v>0</v>
      </c>
      <c r="EI68">
        <v>0</v>
      </c>
    </row>
    <row r="69" spans="1:139" x14ac:dyDescent="0.35">
      <c r="A69" t="s">
        <v>282</v>
      </c>
      <c r="B69" s="2">
        <f t="shared" si="5"/>
        <v>139.08332958</v>
      </c>
      <c r="C69" s="2">
        <f t="shared" si="6"/>
        <v>135.99999800000001</v>
      </c>
      <c r="D69" s="2">
        <f t="shared" si="7"/>
        <v>8.058999708</v>
      </c>
      <c r="E69" s="2">
        <f t="shared" si="8"/>
        <v>9.2126666679999989</v>
      </c>
      <c r="F69" s="2">
        <f t="shared" si="9"/>
        <v>7.7316664099999999</v>
      </c>
      <c r="G69" t="s">
        <v>24</v>
      </c>
      <c r="H69" t="s">
        <v>25</v>
      </c>
      <c r="I69">
        <v>71.666663999999997</v>
      </c>
      <c r="J69">
        <v>106.06666272</v>
      </c>
      <c r="K69">
        <v>7.8833330400000001</v>
      </c>
      <c r="L69">
        <v>1.1466666240000001</v>
      </c>
      <c r="M69">
        <v>7.1666664000000004</v>
      </c>
      <c r="N69" t="s">
        <v>283</v>
      </c>
      <c r="O69" t="s">
        <v>284</v>
      </c>
      <c r="P69">
        <v>47</v>
      </c>
      <c r="Q69">
        <v>26.79</v>
      </c>
      <c r="R69">
        <v>0.14099999999999999</v>
      </c>
      <c r="S69">
        <v>6.58</v>
      </c>
      <c r="T69">
        <v>0.32900000000000001</v>
      </c>
      <c r="U69" t="s">
        <v>181</v>
      </c>
      <c r="V69" t="s">
        <v>182</v>
      </c>
      <c r="W69">
        <v>3</v>
      </c>
      <c r="X69">
        <v>2.0699999999999998</v>
      </c>
      <c r="Y69">
        <v>6.0000000000000001E-3</v>
      </c>
      <c r="Z69">
        <v>0.54</v>
      </c>
      <c r="AA69">
        <v>2.1000000000000001E-2</v>
      </c>
      <c r="AB69" t="s">
        <v>31</v>
      </c>
      <c r="AC69" t="s">
        <v>32</v>
      </c>
      <c r="AD69">
        <v>14.333334000000001</v>
      </c>
      <c r="AE69">
        <v>4.1566668599999996</v>
      </c>
      <c r="AF69">
        <v>2.8666667999999999E-2</v>
      </c>
      <c r="AG69">
        <v>0.94600004400000004</v>
      </c>
      <c r="AH69">
        <v>0.21500000999999999</v>
      </c>
    </row>
    <row r="70" spans="1:139" x14ac:dyDescent="0.35">
      <c r="A70" t="s">
        <v>285</v>
      </c>
      <c r="B70" s="2">
        <f t="shared" si="5"/>
        <v>80.19</v>
      </c>
      <c r="C70" s="2">
        <f t="shared" si="6"/>
        <v>243</v>
      </c>
      <c r="D70" s="2">
        <f t="shared" si="7"/>
        <v>0.72899999999999998</v>
      </c>
      <c r="E70" s="2">
        <f t="shared" si="8"/>
        <v>19.440000000000001</v>
      </c>
      <c r="F70" s="2">
        <f t="shared" si="9"/>
        <v>1.7010000000000001</v>
      </c>
      <c r="G70" t="s">
        <v>46</v>
      </c>
      <c r="H70" t="s">
        <v>47</v>
      </c>
      <c r="I70">
        <v>243</v>
      </c>
      <c r="J70">
        <v>80.19</v>
      </c>
      <c r="K70">
        <v>0.72899999999999998</v>
      </c>
      <c r="L70">
        <v>19.440000000000001</v>
      </c>
      <c r="M70">
        <v>1.7010000000000001</v>
      </c>
    </row>
    <row r="71" spans="1:139" x14ac:dyDescent="0.35">
      <c r="A71" t="s">
        <v>286</v>
      </c>
      <c r="B71" s="2">
        <f t="shared" si="5"/>
        <v>166.32</v>
      </c>
      <c r="C71" s="2">
        <f t="shared" si="6"/>
        <v>108</v>
      </c>
      <c r="D71" s="2">
        <f t="shared" si="7"/>
        <v>12.635999999999999</v>
      </c>
      <c r="E71" s="2">
        <f t="shared" si="8"/>
        <v>0.64800000000000002</v>
      </c>
      <c r="F71" s="2">
        <f t="shared" si="9"/>
        <v>11.231999999999999</v>
      </c>
      <c r="G71" t="s">
        <v>98</v>
      </c>
      <c r="H71" t="s">
        <v>99</v>
      </c>
      <c r="I71">
        <v>108</v>
      </c>
      <c r="J71">
        <v>166.32</v>
      </c>
      <c r="K71">
        <v>12.635999999999999</v>
      </c>
      <c r="L71">
        <v>0.64800000000000002</v>
      </c>
      <c r="M71">
        <v>11.231999999999999</v>
      </c>
    </row>
    <row r="72" spans="1:139" x14ac:dyDescent="0.35">
      <c r="A72" t="s">
        <v>287</v>
      </c>
      <c r="B72" s="2">
        <f t="shared" si="5"/>
        <v>296.065</v>
      </c>
      <c r="C72" s="2">
        <f t="shared" si="6"/>
        <v>231</v>
      </c>
      <c r="D72" s="2">
        <f t="shared" si="7"/>
        <v>21.252000000000002</v>
      </c>
      <c r="E72" s="2">
        <f t="shared" si="8"/>
        <v>5.6210000000000004</v>
      </c>
      <c r="F72" s="2">
        <f t="shared" si="9"/>
        <v>19.827500000000001</v>
      </c>
      <c r="G72" t="s">
        <v>24</v>
      </c>
      <c r="H72" t="s">
        <v>25</v>
      </c>
      <c r="I72">
        <v>192.5</v>
      </c>
      <c r="J72">
        <v>284.89999999999998</v>
      </c>
      <c r="K72">
        <v>21.175000000000001</v>
      </c>
      <c r="L72">
        <v>3.08</v>
      </c>
      <c r="M72">
        <v>19.25</v>
      </c>
      <c r="N72" t="s">
        <v>31</v>
      </c>
      <c r="O72" t="s">
        <v>32</v>
      </c>
      <c r="P72">
        <v>38.5</v>
      </c>
      <c r="Q72">
        <v>11.164999999999999</v>
      </c>
      <c r="R72">
        <v>7.6999999999999999E-2</v>
      </c>
      <c r="S72">
        <v>2.5409999999999999</v>
      </c>
      <c r="T72">
        <v>0.57750000000000001</v>
      </c>
    </row>
    <row r="73" spans="1:139" x14ac:dyDescent="0.35">
      <c r="A73" t="s">
        <v>288</v>
      </c>
      <c r="B73" s="2">
        <f t="shared" si="5"/>
        <v>154.77882190299999</v>
      </c>
      <c r="C73" s="2">
        <f t="shared" si="6"/>
        <v>65.999999000000003</v>
      </c>
      <c r="D73" s="2">
        <f t="shared" si="7"/>
        <v>8.9533343090000006</v>
      </c>
      <c r="E73" s="2">
        <f t="shared" si="8"/>
        <v>11.843009160999999</v>
      </c>
      <c r="F73" s="2">
        <f t="shared" si="9"/>
        <v>6.856819024</v>
      </c>
      <c r="G73" t="s">
        <v>7</v>
      </c>
      <c r="H73" t="s">
        <v>8</v>
      </c>
      <c r="I73">
        <v>4.6182590000000001</v>
      </c>
      <c r="J73">
        <v>40.825409559999997</v>
      </c>
      <c r="K73">
        <v>4.6182590000000001</v>
      </c>
      <c r="L73">
        <v>0</v>
      </c>
      <c r="M73">
        <v>0</v>
      </c>
      <c r="N73" t="s">
        <v>51</v>
      </c>
      <c r="O73" t="s">
        <v>52</v>
      </c>
      <c r="P73">
        <v>18.473037999999999</v>
      </c>
      <c r="Q73">
        <v>51.281153488000001</v>
      </c>
      <c r="R73">
        <v>3.1588894980000002</v>
      </c>
      <c r="S73">
        <v>0.59113721600000002</v>
      </c>
      <c r="T73">
        <v>5.1724506400000001</v>
      </c>
      <c r="U73" t="s">
        <v>57</v>
      </c>
      <c r="V73" t="s">
        <v>58</v>
      </c>
      <c r="W73">
        <v>4.6182590000000001</v>
      </c>
      <c r="X73">
        <v>1.1083821599999999</v>
      </c>
      <c r="Y73">
        <v>0</v>
      </c>
      <c r="Z73">
        <v>9.2365180000000005E-2</v>
      </c>
      <c r="AA73">
        <v>0.18473036000000001</v>
      </c>
      <c r="AB73" t="s">
        <v>59</v>
      </c>
      <c r="AD73">
        <v>24.435665</v>
      </c>
      <c r="AE73">
        <v>57.545991075000003</v>
      </c>
      <c r="AF73">
        <v>1.1484762550000001</v>
      </c>
      <c r="AG73">
        <v>10.189672305</v>
      </c>
      <c r="AH73">
        <v>1.3195259100000001</v>
      </c>
      <c r="AI73" t="s">
        <v>60</v>
      </c>
      <c r="AK73">
        <v>13.854778</v>
      </c>
      <c r="AL73">
        <v>4.0178856200000004</v>
      </c>
      <c r="AM73">
        <v>2.7709556E-2</v>
      </c>
      <c r="AN73">
        <v>0.96983445999999995</v>
      </c>
      <c r="AO73">
        <v>0.18011211399999999</v>
      </c>
    </row>
    <row r="74" spans="1:139" x14ac:dyDescent="0.35">
      <c r="A74" t="s">
        <v>289</v>
      </c>
      <c r="B74" s="2">
        <f t="shared" si="5"/>
        <v>187.55</v>
      </c>
      <c r="C74" s="2">
        <f t="shared" si="6"/>
        <v>164</v>
      </c>
      <c r="D74" s="2">
        <f t="shared" si="7"/>
        <v>9.3190000000000008</v>
      </c>
      <c r="E74" s="2">
        <f t="shared" si="8"/>
        <v>17.849999999999998</v>
      </c>
      <c r="F74" s="2">
        <f t="shared" si="9"/>
        <v>8.4369999999999994</v>
      </c>
      <c r="G74" t="s">
        <v>46</v>
      </c>
      <c r="H74" t="s">
        <v>47</v>
      </c>
      <c r="I74">
        <v>53</v>
      </c>
      <c r="J74">
        <v>17.489999999999998</v>
      </c>
      <c r="K74">
        <v>0.159</v>
      </c>
      <c r="L74">
        <v>4.24</v>
      </c>
      <c r="M74">
        <v>0.371</v>
      </c>
      <c r="N74" t="s">
        <v>27</v>
      </c>
      <c r="O74" t="s">
        <v>28</v>
      </c>
      <c r="P74">
        <v>41</v>
      </c>
      <c r="Q74">
        <v>133.66</v>
      </c>
      <c r="R74">
        <v>9.02</v>
      </c>
      <c r="S74">
        <v>13.12</v>
      </c>
      <c r="T74">
        <v>1.0660000000000001</v>
      </c>
      <c r="U74" t="s">
        <v>29</v>
      </c>
      <c r="V74" t="s">
        <v>30</v>
      </c>
      <c r="W74">
        <v>70</v>
      </c>
      <c r="X74">
        <v>36.4</v>
      </c>
      <c r="Y74">
        <v>0.14000000000000001</v>
      </c>
      <c r="Z74">
        <v>0.49</v>
      </c>
      <c r="AA74">
        <v>7</v>
      </c>
    </row>
    <row r="75" spans="1:139" x14ac:dyDescent="0.35">
      <c r="A75" t="s">
        <v>290</v>
      </c>
      <c r="B75" s="2">
        <f t="shared" si="5"/>
        <v>86.487240884000016</v>
      </c>
      <c r="C75" s="2">
        <f t="shared" si="6"/>
        <v>73.000000000000028</v>
      </c>
      <c r="D75" s="2">
        <f t="shared" si="7"/>
        <v>4.1913613429999987</v>
      </c>
      <c r="E75" s="2">
        <f t="shared" si="8"/>
        <v>2.4641352259999998</v>
      </c>
      <c r="F75" s="2">
        <f t="shared" si="9"/>
        <v>9.8852221339999993</v>
      </c>
      <c r="G75" t="s">
        <v>216</v>
      </c>
      <c r="H75" t="s">
        <v>217</v>
      </c>
      <c r="I75">
        <v>5.8023569999999998</v>
      </c>
      <c r="J75">
        <v>6.4406162699999996</v>
      </c>
      <c r="K75">
        <v>5.2221213000000002E-2</v>
      </c>
      <c r="L75">
        <v>1.3345421099999999</v>
      </c>
      <c r="M75">
        <v>0.15086128200000001</v>
      </c>
      <c r="N75" t="s">
        <v>106</v>
      </c>
      <c r="O75" t="s">
        <v>107</v>
      </c>
      <c r="P75">
        <v>1.4505889999999999</v>
      </c>
      <c r="Q75">
        <v>0.33363546999999999</v>
      </c>
      <c r="R75">
        <v>5.8023559999999998E-3</v>
      </c>
      <c r="S75">
        <v>5.2221204E-2</v>
      </c>
      <c r="T75">
        <v>4.2067080999999999E-2</v>
      </c>
      <c r="U75" t="s">
        <v>117</v>
      </c>
      <c r="V75" t="s">
        <v>118</v>
      </c>
      <c r="W75">
        <v>33</v>
      </c>
      <c r="X75">
        <v>24.09</v>
      </c>
      <c r="Y75">
        <v>1.5840000000000001</v>
      </c>
      <c r="Z75">
        <v>0.627</v>
      </c>
      <c r="AA75">
        <v>2.64</v>
      </c>
      <c r="AB75" t="s">
        <v>89</v>
      </c>
      <c r="AC75" t="s">
        <v>90</v>
      </c>
      <c r="AD75">
        <v>0.58023599999999997</v>
      </c>
      <c r="AE75">
        <v>0.23209440000000001</v>
      </c>
      <c r="AF75">
        <v>5.8023600000000003E-4</v>
      </c>
      <c r="AG75">
        <v>5.2221240000000002E-2</v>
      </c>
      <c r="AH75">
        <v>6.3825959999999999E-3</v>
      </c>
      <c r="AI75" t="s">
        <v>71</v>
      </c>
      <c r="AJ75" t="s">
        <v>72</v>
      </c>
      <c r="AK75">
        <v>0.87035399999999996</v>
      </c>
      <c r="AL75">
        <v>1.29682746</v>
      </c>
      <c r="AM75">
        <v>4.3517699999999996E-3</v>
      </c>
      <c r="AN75">
        <v>0.28721681999999998</v>
      </c>
      <c r="AO75">
        <v>5.5702656000000003E-2</v>
      </c>
      <c r="AP75" t="s">
        <v>73</v>
      </c>
      <c r="AQ75" t="s">
        <v>74</v>
      </c>
      <c r="AR75">
        <v>0.87035399999999996</v>
      </c>
      <c r="AS75">
        <v>0.1740708</v>
      </c>
      <c r="AT75">
        <v>1.7407080000000001E-3</v>
      </c>
      <c r="AU75">
        <v>2.8721681999999998E-2</v>
      </c>
      <c r="AV75">
        <v>1.3055310000000001E-2</v>
      </c>
      <c r="AW75" t="s">
        <v>7</v>
      </c>
      <c r="AX75" t="s">
        <v>8</v>
      </c>
      <c r="AY75">
        <v>0.217588</v>
      </c>
      <c r="AZ75">
        <v>1.9234779200000001</v>
      </c>
      <c r="BA75">
        <v>0.217588</v>
      </c>
      <c r="BB75">
        <v>0</v>
      </c>
      <c r="BC75">
        <v>0</v>
      </c>
      <c r="BD75" t="s">
        <v>151</v>
      </c>
      <c r="BE75" t="s">
        <v>152</v>
      </c>
      <c r="BF75">
        <v>7.2528999999999996E-2</v>
      </c>
      <c r="BG75">
        <v>2.9011599999999999E-2</v>
      </c>
      <c r="BH75">
        <v>2.9011599999999999E-4</v>
      </c>
      <c r="BI75">
        <v>6.4550809999999997E-3</v>
      </c>
      <c r="BJ75">
        <v>1.3055219999999999E-3</v>
      </c>
      <c r="BK75" t="s">
        <v>11</v>
      </c>
      <c r="BL75" t="s">
        <v>12</v>
      </c>
      <c r="BM75">
        <v>7.2528999999999996E-2</v>
      </c>
      <c r="BN75">
        <v>0</v>
      </c>
      <c r="BO75">
        <v>0</v>
      </c>
      <c r="BP75">
        <v>0</v>
      </c>
      <c r="BQ75">
        <v>0</v>
      </c>
      <c r="BR75" t="s">
        <v>266</v>
      </c>
      <c r="BS75" t="s">
        <v>267</v>
      </c>
      <c r="BT75">
        <v>29.011786000000001</v>
      </c>
      <c r="BU75">
        <v>51.640979080000001</v>
      </c>
      <c r="BV75">
        <v>2.32094288</v>
      </c>
      <c r="BW75">
        <v>0</v>
      </c>
      <c r="BX75">
        <v>6.9628286399999997</v>
      </c>
      <c r="BY75" t="s">
        <v>205</v>
      </c>
      <c r="BZ75" t="s">
        <v>206</v>
      </c>
      <c r="CA75">
        <v>3.6264999999999999E-2</v>
      </c>
      <c r="CB75">
        <v>1.08795E-2</v>
      </c>
      <c r="CC75" s="1">
        <v>7.2529999999999998E-5</v>
      </c>
      <c r="CD75">
        <v>3.8078249999999999E-3</v>
      </c>
      <c r="CE75">
        <v>2.5385499999999999E-4</v>
      </c>
      <c r="CF75" t="s">
        <v>36</v>
      </c>
      <c r="CG75" t="s">
        <v>37</v>
      </c>
      <c r="CH75">
        <v>0.29011799999999999</v>
      </c>
      <c r="CI75">
        <v>8.4134219999999996E-2</v>
      </c>
      <c r="CJ75">
        <v>1.1604720000000001E-3</v>
      </c>
      <c r="CK75">
        <v>1.885767E-2</v>
      </c>
      <c r="CL75">
        <v>2.6110619999999999E-3</v>
      </c>
      <c r="CM75" t="s">
        <v>81</v>
      </c>
      <c r="CN75" t="s">
        <v>82</v>
      </c>
      <c r="CO75">
        <v>0.29011799999999999</v>
      </c>
      <c r="CP75">
        <v>4.9320059999999999E-2</v>
      </c>
      <c r="CQ75">
        <v>0</v>
      </c>
      <c r="CR75">
        <v>1.6246607999999999E-2</v>
      </c>
      <c r="CS75">
        <v>1.1604720000000001E-3</v>
      </c>
      <c r="CT75" t="s">
        <v>166</v>
      </c>
      <c r="CU75" t="s">
        <v>167</v>
      </c>
      <c r="CV75">
        <v>0.29011799999999999</v>
      </c>
      <c r="CW75">
        <v>6.6146904000000006E-2</v>
      </c>
      <c r="CX75">
        <v>1.4505900000000001E-3</v>
      </c>
      <c r="CY75">
        <v>1.0734366E-2</v>
      </c>
      <c r="CZ75">
        <v>6.3825959999999999E-3</v>
      </c>
      <c r="DA75" t="s">
        <v>168</v>
      </c>
      <c r="DB75" t="s">
        <v>169</v>
      </c>
      <c r="DC75">
        <v>0.14505899999999999</v>
      </c>
      <c r="DD75">
        <v>0.1160472</v>
      </c>
      <c r="DE75">
        <v>1.1604720000000001E-3</v>
      </c>
      <c r="DF75">
        <v>2.6110620000000001E-2</v>
      </c>
      <c r="DG75">
        <v>2.6110619999999999E-3</v>
      </c>
    </row>
    <row r="76" spans="1:139" x14ac:dyDescent="0.35">
      <c r="A76" t="s">
        <v>291</v>
      </c>
      <c r="B76" s="2">
        <f t="shared" si="5"/>
        <v>478.89883632999994</v>
      </c>
      <c r="C76" s="2">
        <f t="shared" si="6"/>
        <v>306.99999599999995</v>
      </c>
      <c r="D76" s="2">
        <f t="shared" si="7"/>
        <v>20.011500888</v>
      </c>
      <c r="E76" s="2">
        <f t="shared" si="8"/>
        <v>14.100012035999999</v>
      </c>
      <c r="F76" s="2">
        <f t="shared" si="9"/>
        <v>55.607078190999992</v>
      </c>
      <c r="G76" t="s">
        <v>216</v>
      </c>
      <c r="H76" t="s">
        <v>217</v>
      </c>
      <c r="I76">
        <v>44.533092000000003</v>
      </c>
      <c r="J76">
        <v>49.431732119999999</v>
      </c>
      <c r="K76">
        <v>0.40079782800000002</v>
      </c>
      <c r="L76">
        <v>10.242611159999999</v>
      </c>
      <c r="M76">
        <v>1.1578603919999999</v>
      </c>
      <c r="N76" t="s">
        <v>106</v>
      </c>
      <c r="O76" t="s">
        <v>107</v>
      </c>
      <c r="P76">
        <v>11.133273000000001</v>
      </c>
      <c r="Q76">
        <v>2.5606527899999998</v>
      </c>
      <c r="R76">
        <v>4.4533092000000003E-2</v>
      </c>
      <c r="S76">
        <v>0.40079782800000002</v>
      </c>
      <c r="T76">
        <v>0.32286491699999997</v>
      </c>
      <c r="U76" t="s">
        <v>89</v>
      </c>
      <c r="V76" t="s">
        <v>90</v>
      </c>
      <c r="W76">
        <v>4.453309</v>
      </c>
      <c r="X76">
        <v>1.7813235999999999</v>
      </c>
      <c r="Y76">
        <v>4.4533089999999999E-3</v>
      </c>
      <c r="Z76">
        <v>0.40079780999999998</v>
      </c>
      <c r="AA76">
        <v>4.8986399E-2</v>
      </c>
      <c r="AB76" t="s">
        <v>71</v>
      </c>
      <c r="AC76" t="s">
        <v>72</v>
      </c>
      <c r="AD76">
        <v>6.679964</v>
      </c>
      <c r="AE76">
        <v>9.9531463599999999</v>
      </c>
      <c r="AF76">
        <v>3.3399819999999997E-2</v>
      </c>
      <c r="AG76">
        <v>2.20438812</v>
      </c>
      <c r="AH76">
        <v>0.427517696</v>
      </c>
      <c r="AI76" t="s">
        <v>73</v>
      </c>
      <c r="AJ76" t="s">
        <v>74</v>
      </c>
      <c r="AK76">
        <v>6.679964</v>
      </c>
      <c r="AL76">
        <v>1.3359928000000001</v>
      </c>
      <c r="AM76">
        <v>1.3359928E-2</v>
      </c>
      <c r="AN76">
        <v>0.22043881200000001</v>
      </c>
      <c r="AO76">
        <v>0.10019946</v>
      </c>
      <c r="AP76" t="s">
        <v>7</v>
      </c>
      <c r="AQ76" t="s">
        <v>8</v>
      </c>
      <c r="AR76">
        <v>1.669991</v>
      </c>
      <c r="AS76">
        <v>14.762720440000001</v>
      </c>
      <c r="AT76">
        <v>1.669991</v>
      </c>
      <c r="AU76">
        <v>0</v>
      </c>
      <c r="AV76">
        <v>0</v>
      </c>
      <c r="AW76" t="s">
        <v>151</v>
      </c>
      <c r="AX76" t="s">
        <v>152</v>
      </c>
      <c r="AY76">
        <v>0.55666400000000005</v>
      </c>
      <c r="AZ76">
        <v>0.22266559999999999</v>
      </c>
      <c r="BA76">
        <v>2.226656E-3</v>
      </c>
      <c r="BB76">
        <v>4.9543096000000002E-2</v>
      </c>
      <c r="BC76">
        <v>1.0019952E-2</v>
      </c>
      <c r="BD76" t="s">
        <v>11</v>
      </c>
      <c r="BE76" t="s">
        <v>12</v>
      </c>
      <c r="BF76">
        <v>0.55666400000000005</v>
      </c>
      <c r="BG76">
        <v>0</v>
      </c>
      <c r="BH76">
        <v>0</v>
      </c>
      <c r="BI76">
        <v>0</v>
      </c>
      <c r="BJ76">
        <v>0</v>
      </c>
      <c r="BK76" t="s">
        <v>266</v>
      </c>
      <c r="BL76" t="s">
        <v>267</v>
      </c>
      <c r="BM76">
        <v>222.66545099999999</v>
      </c>
      <c r="BN76">
        <v>396.34450278000003</v>
      </c>
      <c r="BO76">
        <v>17.813236079999999</v>
      </c>
      <c r="BP76">
        <v>0</v>
      </c>
      <c r="BQ76">
        <v>53.439708240000002</v>
      </c>
      <c r="BR76" t="s">
        <v>205</v>
      </c>
      <c r="BS76" t="s">
        <v>206</v>
      </c>
      <c r="BT76">
        <v>0.27833200000000002</v>
      </c>
      <c r="BU76">
        <v>8.3499599999999993E-2</v>
      </c>
      <c r="BV76">
        <v>5.5666400000000001E-4</v>
      </c>
      <c r="BW76">
        <v>2.9224859999999998E-2</v>
      </c>
      <c r="BX76">
        <v>1.948324E-3</v>
      </c>
      <c r="BY76" t="s">
        <v>36</v>
      </c>
      <c r="BZ76" t="s">
        <v>37</v>
      </c>
      <c r="CA76">
        <v>2.2266550000000001</v>
      </c>
      <c r="CB76">
        <v>0.64572995</v>
      </c>
      <c r="CC76">
        <v>8.9066200000000005E-3</v>
      </c>
      <c r="CD76">
        <v>0.144732575</v>
      </c>
      <c r="CE76">
        <v>2.0039894999999999E-2</v>
      </c>
      <c r="CF76" t="s">
        <v>81</v>
      </c>
      <c r="CG76" t="s">
        <v>82</v>
      </c>
      <c r="CH76">
        <v>2.2266550000000001</v>
      </c>
      <c r="CI76">
        <v>0.37853134999999999</v>
      </c>
      <c r="CJ76">
        <v>0</v>
      </c>
      <c r="CK76">
        <v>0.12469268</v>
      </c>
      <c r="CL76">
        <v>8.9066200000000005E-3</v>
      </c>
      <c r="CM76" t="s">
        <v>166</v>
      </c>
      <c r="CN76" t="s">
        <v>167</v>
      </c>
      <c r="CO76">
        <v>2.2266550000000001</v>
      </c>
      <c r="CP76">
        <v>0.50767733999999998</v>
      </c>
      <c r="CQ76">
        <v>1.1133275E-2</v>
      </c>
      <c r="CR76">
        <v>8.2386235000000002E-2</v>
      </c>
      <c r="CS76">
        <v>4.8986410000000001E-2</v>
      </c>
      <c r="CT76" t="s">
        <v>168</v>
      </c>
      <c r="CU76" t="s">
        <v>169</v>
      </c>
      <c r="CV76">
        <v>1.113327</v>
      </c>
      <c r="CW76">
        <v>0.89066160000000005</v>
      </c>
      <c r="CX76">
        <v>8.9066159999999991E-3</v>
      </c>
      <c r="CY76">
        <v>0.20039886000000001</v>
      </c>
      <c r="CZ76">
        <v>2.0039886E-2</v>
      </c>
    </row>
    <row r="77" spans="1:139" x14ac:dyDescent="0.35">
      <c r="A77" t="s">
        <v>292</v>
      </c>
      <c r="B77" s="2">
        <f t="shared" si="5"/>
        <v>130.94800000000001</v>
      </c>
      <c r="C77" s="2">
        <f t="shared" si="6"/>
        <v>38</v>
      </c>
      <c r="D77" s="2">
        <f t="shared" si="7"/>
        <v>10.374000000000001</v>
      </c>
      <c r="E77" s="2">
        <f t="shared" si="8"/>
        <v>1.5960000000000001</v>
      </c>
      <c r="F77" s="2">
        <f t="shared" si="9"/>
        <v>7.3339999999999996</v>
      </c>
      <c r="G77" t="s">
        <v>43</v>
      </c>
      <c r="H77" t="s">
        <v>44</v>
      </c>
      <c r="I77">
        <v>38</v>
      </c>
      <c r="J77">
        <v>130.94800000000001</v>
      </c>
      <c r="K77">
        <v>10.374000000000001</v>
      </c>
      <c r="L77">
        <v>1.5960000000000001</v>
      </c>
      <c r="M77">
        <v>7.3339999999999996</v>
      </c>
    </row>
    <row r="78" spans="1:139" x14ac:dyDescent="0.35">
      <c r="A78" t="s">
        <v>293</v>
      </c>
      <c r="B78" s="2">
        <f t="shared" si="5"/>
        <v>105.6</v>
      </c>
      <c r="C78" s="2">
        <f t="shared" si="6"/>
        <v>120</v>
      </c>
      <c r="D78" s="2">
        <f t="shared" si="7"/>
        <v>5.76</v>
      </c>
      <c r="E78" s="2">
        <f t="shared" si="8"/>
        <v>9.6</v>
      </c>
      <c r="F78" s="2">
        <f t="shared" si="9"/>
        <v>5.34</v>
      </c>
      <c r="G78" t="s">
        <v>133</v>
      </c>
      <c r="H78" t="s">
        <v>134</v>
      </c>
      <c r="I78">
        <v>60</v>
      </c>
      <c r="J78">
        <v>6</v>
      </c>
      <c r="K78">
        <v>0</v>
      </c>
      <c r="L78">
        <v>1.2</v>
      </c>
      <c r="M78">
        <v>0.6</v>
      </c>
      <c r="N78" t="s">
        <v>18</v>
      </c>
      <c r="O78" t="s">
        <v>19</v>
      </c>
      <c r="P78">
        <v>60</v>
      </c>
      <c r="Q78">
        <v>99.6</v>
      </c>
      <c r="R78">
        <v>5.76</v>
      </c>
      <c r="S78">
        <v>8.4</v>
      </c>
      <c r="T78">
        <v>4.74</v>
      </c>
    </row>
    <row r="79" spans="1:139" x14ac:dyDescent="0.35">
      <c r="A79" t="s">
        <v>294</v>
      </c>
      <c r="B79" s="2">
        <f t="shared" si="5"/>
        <v>245.7</v>
      </c>
      <c r="C79" s="2">
        <f t="shared" si="6"/>
        <v>130</v>
      </c>
      <c r="D79" s="2">
        <f t="shared" si="7"/>
        <v>9.1</v>
      </c>
      <c r="E79" s="2">
        <f t="shared" si="8"/>
        <v>0.13</v>
      </c>
      <c r="F79" s="2">
        <f t="shared" si="9"/>
        <v>37.700000000000003</v>
      </c>
      <c r="G79" t="s">
        <v>295</v>
      </c>
      <c r="H79" t="s">
        <v>296</v>
      </c>
      <c r="I79">
        <v>130</v>
      </c>
      <c r="J79">
        <v>245.7</v>
      </c>
      <c r="K79">
        <v>9.1</v>
      </c>
      <c r="L79">
        <v>0.13</v>
      </c>
      <c r="M79">
        <v>37.700000000000003</v>
      </c>
    </row>
    <row r="80" spans="1:139" x14ac:dyDescent="0.35">
      <c r="A80" t="s">
        <v>297</v>
      </c>
      <c r="B80" s="2">
        <f t="shared" si="5"/>
        <v>146.07</v>
      </c>
      <c r="C80" s="2">
        <f t="shared" si="6"/>
        <v>27</v>
      </c>
      <c r="D80" s="2">
        <f t="shared" si="7"/>
        <v>11.34</v>
      </c>
      <c r="E80" s="2">
        <f t="shared" si="8"/>
        <v>0.378</v>
      </c>
      <c r="F80" s="2">
        <f t="shared" si="9"/>
        <v>9.99</v>
      </c>
      <c r="G80" t="s">
        <v>63</v>
      </c>
      <c r="H80" t="s">
        <v>64</v>
      </c>
      <c r="I80">
        <v>27</v>
      </c>
      <c r="J80">
        <v>146.07</v>
      </c>
      <c r="K80">
        <v>11.34</v>
      </c>
      <c r="L80">
        <v>0.378</v>
      </c>
      <c r="M80">
        <v>9.99</v>
      </c>
    </row>
    <row r="81" spans="1:132" x14ac:dyDescent="0.35">
      <c r="A81" t="s">
        <v>298</v>
      </c>
      <c r="B81" s="2">
        <f t="shared" si="5"/>
        <v>302.815</v>
      </c>
      <c r="C81" s="2">
        <f t="shared" si="6"/>
        <v>276</v>
      </c>
      <c r="D81" s="2">
        <f t="shared" si="7"/>
        <v>21.432000000000002</v>
      </c>
      <c r="E81" s="2">
        <f t="shared" si="8"/>
        <v>6.8360000000000003</v>
      </c>
      <c r="F81" s="2">
        <f t="shared" si="9"/>
        <v>20.322500000000002</v>
      </c>
      <c r="G81" t="s">
        <v>24</v>
      </c>
      <c r="H81" t="s">
        <v>25</v>
      </c>
      <c r="I81">
        <v>192.5</v>
      </c>
      <c r="J81">
        <v>284.89999999999998</v>
      </c>
      <c r="K81">
        <v>21.175000000000001</v>
      </c>
      <c r="L81">
        <v>3.08</v>
      </c>
      <c r="M81">
        <v>19.25</v>
      </c>
      <c r="N81" t="s">
        <v>31</v>
      </c>
      <c r="O81" t="s">
        <v>32</v>
      </c>
      <c r="P81">
        <v>38.5</v>
      </c>
      <c r="Q81">
        <v>11.164999999999999</v>
      </c>
      <c r="R81">
        <v>7.6999999999999999E-2</v>
      </c>
      <c r="S81">
        <v>2.5409999999999999</v>
      </c>
      <c r="T81">
        <v>0.57750000000000001</v>
      </c>
      <c r="U81" t="s">
        <v>245</v>
      </c>
      <c r="V81" t="s">
        <v>246</v>
      </c>
      <c r="W81">
        <v>45</v>
      </c>
      <c r="X81">
        <v>6.75</v>
      </c>
      <c r="Y81">
        <v>0.18</v>
      </c>
      <c r="Z81">
        <v>1.2150000000000001</v>
      </c>
      <c r="AA81">
        <v>0.495</v>
      </c>
    </row>
    <row r="82" spans="1:132" x14ac:dyDescent="0.35">
      <c r="A82" t="s">
        <v>299</v>
      </c>
      <c r="B82" s="2">
        <f t="shared" si="5"/>
        <v>28.86</v>
      </c>
      <c r="C82" s="2">
        <f t="shared" si="6"/>
        <v>50</v>
      </c>
      <c r="D82" s="2">
        <f t="shared" si="7"/>
        <v>0.14699999999999999</v>
      </c>
      <c r="E82" s="2">
        <f t="shared" si="8"/>
        <v>7.12</v>
      </c>
      <c r="F82" s="2">
        <f t="shared" si="9"/>
        <v>0.35000000000000003</v>
      </c>
      <c r="G82" t="s">
        <v>283</v>
      </c>
      <c r="H82" t="s">
        <v>284</v>
      </c>
      <c r="I82">
        <v>47</v>
      </c>
      <c r="J82">
        <v>26.79</v>
      </c>
      <c r="K82">
        <v>0.14099999999999999</v>
      </c>
      <c r="L82">
        <v>6.58</v>
      </c>
      <c r="M82">
        <v>0.32900000000000001</v>
      </c>
      <c r="N82" t="s">
        <v>181</v>
      </c>
      <c r="O82" t="s">
        <v>182</v>
      </c>
      <c r="P82">
        <v>3</v>
      </c>
      <c r="Q82">
        <v>2.0699999999999998</v>
      </c>
      <c r="R82">
        <v>6.0000000000000001E-3</v>
      </c>
      <c r="S82">
        <v>0.54</v>
      </c>
      <c r="T82">
        <v>2.1000000000000001E-2</v>
      </c>
    </row>
    <row r="83" spans="1:132" x14ac:dyDescent="0.35">
      <c r="A83" t="s">
        <v>300</v>
      </c>
      <c r="B83" s="2">
        <f t="shared" si="5"/>
        <v>93.805346399999991</v>
      </c>
      <c r="C83" s="2">
        <f t="shared" si="6"/>
        <v>39.999999000000003</v>
      </c>
      <c r="D83" s="2">
        <f t="shared" si="7"/>
        <v>5.4262632680000005</v>
      </c>
      <c r="E83" s="2">
        <f t="shared" si="8"/>
        <v>7.1775813079999997</v>
      </c>
      <c r="F83" s="2">
        <f t="shared" si="9"/>
        <v>4.1556477310000002</v>
      </c>
      <c r="G83" t="s">
        <v>7</v>
      </c>
      <c r="H83" t="s">
        <v>8</v>
      </c>
      <c r="I83">
        <v>2.7989449999999998</v>
      </c>
      <c r="J83">
        <v>24.742673799999999</v>
      </c>
      <c r="K83">
        <v>2.7989449999999998</v>
      </c>
      <c r="L83">
        <v>0</v>
      </c>
      <c r="M83">
        <v>0</v>
      </c>
      <c r="N83" t="s">
        <v>51</v>
      </c>
      <c r="O83" t="s">
        <v>52</v>
      </c>
      <c r="P83">
        <v>11.195779999999999</v>
      </c>
      <c r="Q83">
        <v>31.07948528</v>
      </c>
      <c r="R83">
        <v>1.91447838</v>
      </c>
      <c r="S83">
        <v>0.35826496000000002</v>
      </c>
      <c r="T83">
        <v>3.1348183999999999</v>
      </c>
      <c r="U83" t="s">
        <v>57</v>
      </c>
      <c r="V83" t="s">
        <v>58</v>
      </c>
      <c r="W83">
        <v>2.7989449999999998</v>
      </c>
      <c r="X83">
        <v>0.67174679999999998</v>
      </c>
      <c r="Y83">
        <v>0</v>
      </c>
      <c r="Z83">
        <v>5.5978899999999998E-2</v>
      </c>
      <c r="AA83">
        <v>0.1119578</v>
      </c>
      <c r="AB83" t="s">
        <v>59</v>
      </c>
      <c r="AD83">
        <v>14.809494000000001</v>
      </c>
      <c r="AE83">
        <v>34.876358369999998</v>
      </c>
      <c r="AF83">
        <v>0.69604621799999999</v>
      </c>
      <c r="AG83">
        <v>6.1755589979999996</v>
      </c>
      <c r="AH83">
        <v>0.79971267599999996</v>
      </c>
      <c r="AI83" t="s">
        <v>60</v>
      </c>
      <c r="AK83">
        <v>8.3968349999999994</v>
      </c>
      <c r="AL83">
        <v>2.4350821499999999</v>
      </c>
      <c r="AM83">
        <v>1.679367E-2</v>
      </c>
      <c r="AN83">
        <v>0.58777844999999995</v>
      </c>
      <c r="AO83">
        <v>0.109158855</v>
      </c>
    </row>
    <row r="84" spans="1:132" x14ac:dyDescent="0.35">
      <c r="A84" t="s">
        <v>301</v>
      </c>
      <c r="B84" s="2">
        <f t="shared" si="5"/>
        <v>224.84</v>
      </c>
      <c r="C84" s="2">
        <f t="shared" si="6"/>
        <v>146</v>
      </c>
      <c r="D84" s="2">
        <f t="shared" si="7"/>
        <v>17.082000000000001</v>
      </c>
      <c r="E84" s="2">
        <f t="shared" si="8"/>
        <v>0.876</v>
      </c>
      <c r="F84" s="2">
        <f t="shared" si="9"/>
        <v>15.183999999999999</v>
      </c>
      <c r="G84" t="s">
        <v>98</v>
      </c>
      <c r="H84" t="s">
        <v>99</v>
      </c>
      <c r="I84">
        <v>146</v>
      </c>
      <c r="J84">
        <v>224.84</v>
      </c>
      <c r="K84">
        <v>17.082000000000001</v>
      </c>
      <c r="L84">
        <v>0.876</v>
      </c>
      <c r="M84">
        <v>15.183999999999999</v>
      </c>
    </row>
    <row r="85" spans="1:132" x14ac:dyDescent="0.35">
      <c r="A85" t="s">
        <v>302</v>
      </c>
      <c r="B85" s="2">
        <f t="shared" si="5"/>
        <v>322.18507075499997</v>
      </c>
      <c r="C85" s="2">
        <f t="shared" si="6"/>
        <v>271.00000299999994</v>
      </c>
      <c r="D85" s="2">
        <f t="shared" si="7"/>
        <v>13.921640527000001</v>
      </c>
      <c r="E85" s="2">
        <f t="shared" si="8"/>
        <v>24.242787403999998</v>
      </c>
      <c r="F85" s="2">
        <f t="shared" si="9"/>
        <v>23.725524641999996</v>
      </c>
      <c r="G85" t="s">
        <v>194</v>
      </c>
      <c r="H85" t="s">
        <v>195</v>
      </c>
      <c r="I85">
        <v>69</v>
      </c>
      <c r="J85">
        <v>89.7</v>
      </c>
      <c r="K85">
        <v>0.20699999999999999</v>
      </c>
      <c r="L85">
        <v>19.32</v>
      </c>
      <c r="M85">
        <v>1.863</v>
      </c>
      <c r="N85" t="s">
        <v>1</v>
      </c>
      <c r="O85" t="s">
        <v>2</v>
      </c>
      <c r="P85">
        <v>30.974352</v>
      </c>
      <c r="Q85">
        <v>10.531279680000001</v>
      </c>
      <c r="R85">
        <v>0.21682046399999999</v>
      </c>
      <c r="S85">
        <v>2.1062559360000002</v>
      </c>
      <c r="T85">
        <v>0.21682046399999999</v>
      </c>
      <c r="U85" t="s">
        <v>89</v>
      </c>
      <c r="V85" t="s">
        <v>90</v>
      </c>
      <c r="W85">
        <v>11.263400000000001</v>
      </c>
      <c r="X85">
        <v>4.5053599999999996</v>
      </c>
      <c r="Y85">
        <v>1.12634E-2</v>
      </c>
      <c r="Z85">
        <v>1.013706</v>
      </c>
      <c r="AA85">
        <v>0.1238974</v>
      </c>
      <c r="AB85" t="s">
        <v>71</v>
      </c>
      <c r="AC85" t="s">
        <v>72</v>
      </c>
      <c r="AD85">
        <v>2.3456030000000001</v>
      </c>
      <c r="AE85">
        <v>3.4949484700000002</v>
      </c>
      <c r="AF85">
        <v>1.1728015E-2</v>
      </c>
      <c r="AG85">
        <v>0.77404899000000005</v>
      </c>
      <c r="AH85">
        <v>0.150118592</v>
      </c>
      <c r="AI85" t="s">
        <v>160</v>
      </c>
      <c r="AJ85" t="s">
        <v>161</v>
      </c>
      <c r="AK85">
        <v>84.475502000000006</v>
      </c>
      <c r="AL85">
        <v>149.69058954400001</v>
      </c>
      <c r="AM85">
        <v>7.0114666659999996</v>
      </c>
      <c r="AN85">
        <v>0</v>
      </c>
      <c r="AO85">
        <v>20.189644978</v>
      </c>
      <c r="AP85" t="s">
        <v>151</v>
      </c>
      <c r="AQ85" t="s">
        <v>152</v>
      </c>
      <c r="AR85">
        <v>5.6316999999999999E-2</v>
      </c>
      <c r="AS85">
        <v>2.25268E-2</v>
      </c>
      <c r="AT85">
        <v>2.2526800000000001E-4</v>
      </c>
      <c r="AU85">
        <v>5.0122129999999997E-3</v>
      </c>
      <c r="AV85">
        <v>1.0137060000000001E-3</v>
      </c>
      <c r="AW85" t="s">
        <v>11</v>
      </c>
      <c r="AX85" t="s">
        <v>12</v>
      </c>
      <c r="AY85">
        <v>9.9325999999999998E-2</v>
      </c>
      <c r="AZ85">
        <v>0</v>
      </c>
      <c r="BA85">
        <v>0</v>
      </c>
      <c r="BB85">
        <v>0</v>
      </c>
      <c r="BC85">
        <v>0</v>
      </c>
      <c r="BD85" t="s">
        <v>162</v>
      </c>
      <c r="BE85" t="s">
        <v>163</v>
      </c>
      <c r="BF85">
        <v>45.701248</v>
      </c>
      <c r="BG85">
        <v>0</v>
      </c>
      <c r="BH85">
        <v>0</v>
      </c>
      <c r="BI85">
        <v>0</v>
      </c>
      <c r="BJ85">
        <v>0</v>
      </c>
      <c r="BK85" t="s">
        <v>164</v>
      </c>
      <c r="BL85" t="s">
        <v>165</v>
      </c>
      <c r="BM85">
        <v>17.148527000000001</v>
      </c>
      <c r="BN85">
        <v>57.670496301</v>
      </c>
      <c r="BO85">
        <v>6.2763608819999996</v>
      </c>
      <c r="BP85">
        <v>0.463010229</v>
      </c>
      <c r="BQ85">
        <v>0.48015875600000002</v>
      </c>
      <c r="BR85" t="s">
        <v>81</v>
      </c>
      <c r="BS85" t="s">
        <v>82</v>
      </c>
      <c r="BT85">
        <v>0.17599100000000001</v>
      </c>
      <c r="BU85">
        <v>2.9918469999999999E-2</v>
      </c>
      <c r="BV85">
        <v>0</v>
      </c>
      <c r="BW85">
        <v>9.855496E-3</v>
      </c>
      <c r="BX85">
        <v>7.0396399999999996E-4</v>
      </c>
      <c r="BY85" t="s">
        <v>166</v>
      </c>
      <c r="BZ85" t="s">
        <v>167</v>
      </c>
      <c r="CA85">
        <v>1.875356</v>
      </c>
      <c r="CB85">
        <v>0.42758116800000001</v>
      </c>
      <c r="CC85">
        <v>9.3767799999999995E-3</v>
      </c>
      <c r="CD85">
        <v>6.9388171999999998E-2</v>
      </c>
      <c r="CE85">
        <v>4.1257832000000001E-2</v>
      </c>
      <c r="CF85" t="s">
        <v>168</v>
      </c>
      <c r="CG85" t="s">
        <v>169</v>
      </c>
      <c r="CH85">
        <v>1.4079250000000001</v>
      </c>
      <c r="CI85">
        <v>1.1263399999999999</v>
      </c>
      <c r="CJ85">
        <v>1.12634E-2</v>
      </c>
      <c r="CK85">
        <v>0.2534265</v>
      </c>
      <c r="CL85">
        <v>2.5342650000000001E-2</v>
      </c>
      <c r="CM85" t="s">
        <v>95</v>
      </c>
      <c r="CN85" t="s">
        <v>96</v>
      </c>
      <c r="CO85">
        <v>6.3356630000000003</v>
      </c>
      <c r="CP85">
        <v>3.7380411699999998</v>
      </c>
      <c r="CQ85">
        <v>2.5342652E-2</v>
      </c>
      <c r="CR85">
        <v>0.228083868</v>
      </c>
      <c r="CS85">
        <v>0.63356630000000003</v>
      </c>
      <c r="CT85" t="s">
        <v>170</v>
      </c>
      <c r="CV85">
        <v>0.140793</v>
      </c>
      <c r="CW85">
        <v>1.2479891519999999</v>
      </c>
      <c r="CX85">
        <v>0.140793</v>
      </c>
      <c r="CY85">
        <v>0</v>
      </c>
      <c r="CZ85">
        <v>0</v>
      </c>
    </row>
    <row r="86" spans="1:132" x14ac:dyDescent="0.35">
      <c r="A86" t="s">
        <v>303</v>
      </c>
      <c r="B86" s="2">
        <f t="shared" si="5"/>
        <v>156.4</v>
      </c>
      <c r="C86" s="2">
        <f t="shared" si="6"/>
        <v>68</v>
      </c>
      <c r="D86" s="2">
        <f t="shared" si="7"/>
        <v>3.6720000000000002</v>
      </c>
      <c r="E86" s="2">
        <f t="shared" si="8"/>
        <v>26.52</v>
      </c>
      <c r="F86" s="2">
        <f t="shared" si="9"/>
        <v>4.2160000000000002</v>
      </c>
      <c r="G86" t="s">
        <v>129</v>
      </c>
      <c r="H86" t="s">
        <v>130</v>
      </c>
      <c r="I86">
        <v>68</v>
      </c>
      <c r="J86">
        <v>156.4</v>
      </c>
      <c r="K86">
        <v>3.6720000000000002</v>
      </c>
      <c r="L86">
        <v>26.52</v>
      </c>
      <c r="M86">
        <v>4.2160000000000002</v>
      </c>
    </row>
    <row r="87" spans="1:132" x14ac:dyDescent="0.35">
      <c r="A87" t="s">
        <v>304</v>
      </c>
      <c r="B87" s="2">
        <f t="shared" si="5"/>
        <v>378.37942873299994</v>
      </c>
      <c r="C87" s="2">
        <f t="shared" si="6"/>
        <v>419.999999</v>
      </c>
      <c r="D87" s="2">
        <f t="shared" si="7"/>
        <v>26.294375326000001</v>
      </c>
      <c r="E87" s="2">
        <f t="shared" si="8"/>
        <v>29.438567196999998</v>
      </c>
      <c r="F87" s="2">
        <f t="shared" si="9"/>
        <v>23.483741058</v>
      </c>
      <c r="G87" t="s">
        <v>198</v>
      </c>
      <c r="H87" t="s">
        <v>199</v>
      </c>
      <c r="I87">
        <v>60.3125</v>
      </c>
      <c r="J87">
        <v>12.364062499999999</v>
      </c>
      <c r="K87">
        <v>0.1809375</v>
      </c>
      <c r="L87">
        <v>2.0506250000000001</v>
      </c>
      <c r="M87">
        <v>0.54281250000000003</v>
      </c>
      <c r="N87" t="s">
        <v>69</v>
      </c>
      <c r="O87" t="s">
        <v>70</v>
      </c>
      <c r="P87">
        <v>60.3125</v>
      </c>
      <c r="Q87">
        <v>54.28125</v>
      </c>
      <c r="R87">
        <v>7.8406250000000002</v>
      </c>
      <c r="S87">
        <v>0</v>
      </c>
      <c r="T87">
        <v>11.0975</v>
      </c>
      <c r="U87" t="s">
        <v>7</v>
      </c>
      <c r="V87" t="s">
        <v>8</v>
      </c>
      <c r="W87">
        <v>2.005811</v>
      </c>
      <c r="X87">
        <v>17.731369239999999</v>
      </c>
      <c r="Y87">
        <v>2.005811</v>
      </c>
      <c r="Z87">
        <v>0</v>
      </c>
      <c r="AA87">
        <v>0</v>
      </c>
      <c r="AB87" t="s">
        <v>305</v>
      </c>
      <c r="AC87" t="s">
        <v>306</v>
      </c>
      <c r="AD87">
        <v>116</v>
      </c>
      <c r="AE87">
        <v>36.308</v>
      </c>
      <c r="AF87">
        <v>0.69599999999999995</v>
      </c>
      <c r="AG87">
        <v>6.1479999999999997</v>
      </c>
      <c r="AH87">
        <v>3.48</v>
      </c>
      <c r="AI87" t="s">
        <v>11</v>
      </c>
      <c r="AJ87" t="s">
        <v>12</v>
      </c>
      <c r="AK87">
        <v>1.1792E-2</v>
      </c>
      <c r="AL87">
        <v>0</v>
      </c>
      <c r="AM87">
        <v>0</v>
      </c>
      <c r="AN87">
        <v>0</v>
      </c>
      <c r="AO87">
        <v>0</v>
      </c>
      <c r="AP87" t="s">
        <v>164</v>
      </c>
      <c r="AQ87" t="s">
        <v>165</v>
      </c>
      <c r="AR87">
        <v>2.005811</v>
      </c>
      <c r="AS87">
        <v>6.745542393</v>
      </c>
      <c r="AT87">
        <v>0.73412682600000001</v>
      </c>
      <c r="AU87">
        <v>5.4156897000000002E-2</v>
      </c>
      <c r="AV87">
        <v>5.6162707999999999E-2</v>
      </c>
      <c r="AW87" t="s">
        <v>307</v>
      </c>
      <c r="AX87" t="s">
        <v>308</v>
      </c>
      <c r="AY87">
        <v>60.3125</v>
      </c>
      <c r="AZ87">
        <v>62.725000000000001</v>
      </c>
      <c r="BA87">
        <v>2.774375</v>
      </c>
      <c r="BB87">
        <v>1.93</v>
      </c>
      <c r="BC87">
        <v>7.2374999999999998</v>
      </c>
      <c r="BD87" t="s">
        <v>262</v>
      </c>
      <c r="BE87" t="s">
        <v>263</v>
      </c>
      <c r="BF87">
        <v>106.976585</v>
      </c>
      <c r="BG87">
        <v>81.302204599999996</v>
      </c>
      <c r="BH87">
        <v>0</v>
      </c>
      <c r="BI87">
        <v>19.255785299999999</v>
      </c>
      <c r="BJ87">
        <v>1.06976585</v>
      </c>
      <c r="BK87" t="s">
        <v>170</v>
      </c>
      <c r="BM87">
        <v>12.0625</v>
      </c>
      <c r="BN87">
        <v>106.922</v>
      </c>
      <c r="BO87">
        <v>12.0625</v>
      </c>
      <c r="BP87">
        <v>0</v>
      </c>
      <c r="BQ87">
        <v>0</v>
      </c>
    </row>
    <row r="88" spans="1:132" x14ac:dyDescent="0.35">
      <c r="A88" t="s">
        <v>309</v>
      </c>
      <c r="B88" s="2">
        <f t="shared" si="5"/>
        <v>431.71000000000004</v>
      </c>
      <c r="C88" s="2">
        <f t="shared" si="6"/>
        <v>239</v>
      </c>
      <c r="D88" s="2">
        <f t="shared" si="7"/>
        <v>9.8279999999999994</v>
      </c>
      <c r="E88" s="2">
        <f t="shared" si="8"/>
        <v>73.260000000000005</v>
      </c>
      <c r="F88" s="2">
        <f t="shared" si="9"/>
        <v>12.994</v>
      </c>
      <c r="G88" t="s">
        <v>129</v>
      </c>
      <c r="H88" t="s">
        <v>130</v>
      </c>
      <c r="I88">
        <v>182</v>
      </c>
      <c r="J88">
        <v>418.6</v>
      </c>
      <c r="K88">
        <v>9.8279999999999994</v>
      </c>
      <c r="L88">
        <v>70.98</v>
      </c>
      <c r="M88">
        <v>11.284000000000001</v>
      </c>
      <c r="N88" t="s">
        <v>220</v>
      </c>
      <c r="O88" t="s">
        <v>221</v>
      </c>
      <c r="P88">
        <v>57</v>
      </c>
      <c r="Q88">
        <v>13.11</v>
      </c>
      <c r="R88">
        <v>0</v>
      </c>
      <c r="S88">
        <v>2.2799999999999998</v>
      </c>
      <c r="T88">
        <v>1.71</v>
      </c>
    </row>
    <row r="89" spans="1:132" x14ac:dyDescent="0.35">
      <c r="A89" t="s">
        <v>310</v>
      </c>
      <c r="B89" s="2">
        <f t="shared" si="5"/>
        <v>295.68447588600003</v>
      </c>
      <c r="C89" s="2">
        <f t="shared" si="6"/>
        <v>145.00000199999999</v>
      </c>
      <c r="D89" s="2">
        <f t="shared" si="7"/>
        <v>16.749388556</v>
      </c>
      <c r="E89" s="2">
        <f t="shared" si="8"/>
        <v>3.803051167</v>
      </c>
      <c r="F89" s="2">
        <f t="shared" si="9"/>
        <v>30.388082191999999</v>
      </c>
      <c r="G89" t="s">
        <v>120</v>
      </c>
      <c r="H89" t="s">
        <v>121</v>
      </c>
      <c r="I89">
        <v>2.2442669999999998</v>
      </c>
      <c r="J89">
        <v>0.35908272000000002</v>
      </c>
      <c r="K89">
        <v>4.4885339999999998E-3</v>
      </c>
      <c r="L89">
        <v>7.6305077999999998E-2</v>
      </c>
      <c r="M89">
        <v>1.5709869000000001E-2</v>
      </c>
      <c r="N89" t="s">
        <v>135</v>
      </c>
      <c r="O89" t="s">
        <v>136</v>
      </c>
      <c r="P89">
        <v>2.2442669999999998</v>
      </c>
      <c r="Q89">
        <v>0.92014947000000002</v>
      </c>
      <c r="R89">
        <v>4.4885339999999998E-3</v>
      </c>
      <c r="S89">
        <v>0.22442670000000001</v>
      </c>
      <c r="T89">
        <v>2.0198403E-2</v>
      </c>
      <c r="U89" t="s">
        <v>89</v>
      </c>
      <c r="V89" t="s">
        <v>90</v>
      </c>
      <c r="W89">
        <v>2.2442669999999998</v>
      </c>
      <c r="X89">
        <v>0.89770680000000003</v>
      </c>
      <c r="Y89">
        <v>2.2442669999999999E-3</v>
      </c>
      <c r="Z89">
        <v>0.20198403000000001</v>
      </c>
      <c r="AA89">
        <v>2.4686936999999999E-2</v>
      </c>
      <c r="AB89" t="s">
        <v>139</v>
      </c>
      <c r="AC89" t="s">
        <v>140</v>
      </c>
      <c r="AD89">
        <v>17.954138</v>
      </c>
      <c r="AE89">
        <v>8.2948117559999996</v>
      </c>
      <c r="AF89">
        <v>1.7954138000000001E-2</v>
      </c>
      <c r="AG89">
        <v>2.0288175939999999</v>
      </c>
      <c r="AH89">
        <v>1.7954138000000001E-2</v>
      </c>
      <c r="AI89" t="s">
        <v>141</v>
      </c>
      <c r="AJ89" t="s">
        <v>142</v>
      </c>
      <c r="AK89">
        <v>1.1375630000000001</v>
      </c>
      <c r="AL89">
        <v>0</v>
      </c>
      <c r="AM89">
        <v>0</v>
      </c>
      <c r="AN89">
        <v>0</v>
      </c>
      <c r="AO89">
        <v>0</v>
      </c>
      <c r="AP89" t="s">
        <v>143</v>
      </c>
      <c r="AQ89" t="s">
        <v>144</v>
      </c>
      <c r="AR89">
        <v>6.8730690000000001</v>
      </c>
      <c r="AS89">
        <v>18.144902160000001</v>
      </c>
      <c r="AT89">
        <v>1.010341143</v>
      </c>
      <c r="AU89">
        <v>1.271517765</v>
      </c>
      <c r="AV89">
        <v>1.1340563850000001</v>
      </c>
      <c r="AW89" t="s">
        <v>11</v>
      </c>
      <c r="AX89" t="s">
        <v>12</v>
      </c>
      <c r="AY89">
        <v>8.906E-2</v>
      </c>
      <c r="AZ89">
        <v>0</v>
      </c>
      <c r="BA89">
        <v>0</v>
      </c>
      <c r="BB89">
        <v>0</v>
      </c>
      <c r="BC89">
        <v>0</v>
      </c>
      <c r="BD89" t="s">
        <v>145</v>
      </c>
      <c r="BE89" t="s">
        <v>146</v>
      </c>
      <c r="BF89">
        <v>112.213371</v>
      </c>
      <c r="BG89">
        <v>267.06782298000002</v>
      </c>
      <c r="BH89">
        <v>15.709871939999999</v>
      </c>
      <c r="BI89">
        <v>0</v>
      </c>
      <c r="BJ89">
        <v>29.175476459999999</v>
      </c>
    </row>
    <row r="90" spans="1:132" x14ac:dyDescent="0.35">
      <c r="A90" t="s">
        <v>311</v>
      </c>
      <c r="B90" s="2">
        <f t="shared" si="5"/>
        <v>62.350282627999995</v>
      </c>
      <c r="C90" s="2">
        <f t="shared" si="6"/>
        <v>114.00000500000002</v>
      </c>
      <c r="D90" s="2">
        <f t="shared" si="7"/>
        <v>3.1653754939999996</v>
      </c>
      <c r="E90" s="2">
        <f t="shared" si="8"/>
        <v>5.6025972299999998</v>
      </c>
      <c r="F90" s="2">
        <f t="shared" si="9"/>
        <v>5.1134347949999999</v>
      </c>
      <c r="G90" t="s">
        <v>135</v>
      </c>
      <c r="H90" t="s">
        <v>136</v>
      </c>
      <c r="I90">
        <v>3.5723289999999999</v>
      </c>
      <c r="J90">
        <v>1.46465489</v>
      </c>
      <c r="K90">
        <v>7.1446579999999999E-3</v>
      </c>
      <c r="L90">
        <v>0.35723290000000002</v>
      </c>
      <c r="M90">
        <v>3.2150960999999999E-2</v>
      </c>
      <c r="N90" t="s">
        <v>69</v>
      </c>
      <c r="O90" t="s">
        <v>70</v>
      </c>
      <c r="P90">
        <v>8.5735899999999994</v>
      </c>
      <c r="Q90">
        <v>7.7162309999999996</v>
      </c>
      <c r="R90">
        <v>1.1145666999999999</v>
      </c>
      <c r="S90">
        <v>0</v>
      </c>
      <c r="T90">
        <v>1.5775405600000001</v>
      </c>
      <c r="U90" t="s">
        <v>89</v>
      </c>
      <c r="V90" t="s">
        <v>90</v>
      </c>
      <c r="W90">
        <v>0.28578599999999998</v>
      </c>
      <c r="X90">
        <v>0.1143144</v>
      </c>
      <c r="Y90">
        <v>2.85786E-4</v>
      </c>
      <c r="Z90">
        <v>2.5720739999999999E-2</v>
      </c>
      <c r="AA90">
        <v>3.1436459999999999E-3</v>
      </c>
      <c r="AB90" t="s">
        <v>256</v>
      </c>
      <c r="AC90" t="s">
        <v>257</v>
      </c>
      <c r="AD90">
        <v>1.4289320000000001</v>
      </c>
      <c r="AE90">
        <v>0.87164852000000004</v>
      </c>
      <c r="AF90">
        <v>4.2867959999999998E-3</v>
      </c>
      <c r="AG90">
        <v>0.20005048</v>
      </c>
      <c r="AH90">
        <v>2.1433979999999998E-2</v>
      </c>
      <c r="AI90" t="s">
        <v>71</v>
      </c>
      <c r="AJ90" t="s">
        <v>72</v>
      </c>
      <c r="AK90">
        <v>0.16381299999999999</v>
      </c>
      <c r="AL90">
        <v>0.24408136999999999</v>
      </c>
      <c r="AM90">
        <v>8.1906500000000001E-4</v>
      </c>
      <c r="AN90">
        <v>5.4058290000000002E-2</v>
      </c>
      <c r="AO90">
        <v>1.0484032000000001E-2</v>
      </c>
      <c r="AP90" t="s">
        <v>312</v>
      </c>
      <c r="AQ90" t="s">
        <v>313</v>
      </c>
      <c r="AR90">
        <v>0.42868000000000001</v>
      </c>
      <c r="AS90">
        <v>9.00228E-2</v>
      </c>
      <c r="AT90">
        <v>2.1434000000000002E-3</v>
      </c>
      <c r="AU90">
        <v>1.3717760000000001E-2</v>
      </c>
      <c r="AV90">
        <v>5.5728399999999999E-3</v>
      </c>
      <c r="AW90" t="s">
        <v>11</v>
      </c>
      <c r="AX90" t="s">
        <v>12</v>
      </c>
      <c r="AY90">
        <v>0.242918</v>
      </c>
      <c r="AZ90">
        <v>0</v>
      </c>
      <c r="BA90">
        <v>0</v>
      </c>
      <c r="BB90">
        <v>0</v>
      </c>
      <c r="BC90">
        <v>0</v>
      </c>
      <c r="BD90" t="s">
        <v>55</v>
      </c>
      <c r="BE90" t="s">
        <v>56</v>
      </c>
      <c r="BF90">
        <v>2.6792E-2</v>
      </c>
      <c r="BG90">
        <v>0.19209863999999999</v>
      </c>
      <c r="BH90">
        <v>2.1701519999999998E-2</v>
      </c>
      <c r="BI90" s="1">
        <v>2.6792E-5</v>
      </c>
      <c r="BJ90">
        <v>2.14336E-4</v>
      </c>
      <c r="BK90" t="s">
        <v>247</v>
      </c>
      <c r="BL90" t="s">
        <v>248</v>
      </c>
      <c r="BM90">
        <v>98.792061000000004</v>
      </c>
      <c r="BN90">
        <v>50.383951109999998</v>
      </c>
      <c r="BO90">
        <v>1.877049159</v>
      </c>
      <c r="BP90">
        <v>4.9396030499999997</v>
      </c>
      <c r="BQ90">
        <v>3.457722135</v>
      </c>
      <c r="BR90" t="s">
        <v>81</v>
      </c>
      <c r="BS90" t="s">
        <v>82</v>
      </c>
      <c r="BT90">
        <v>4.8040000000000001E-3</v>
      </c>
      <c r="BU90">
        <v>8.1667999999999997E-4</v>
      </c>
      <c r="BV90">
        <v>0</v>
      </c>
      <c r="BW90">
        <v>2.6902399999999998E-4</v>
      </c>
      <c r="BX90" s="1">
        <v>1.9216E-5</v>
      </c>
      <c r="BY90" t="s">
        <v>166</v>
      </c>
      <c r="BZ90" t="s">
        <v>167</v>
      </c>
      <c r="CA90">
        <v>7.5911999999999993E-2</v>
      </c>
      <c r="CB90">
        <v>1.7307935999999999E-2</v>
      </c>
      <c r="CC90">
        <v>3.7955999999999998E-4</v>
      </c>
      <c r="CD90">
        <v>2.8087440000000002E-3</v>
      </c>
      <c r="CE90">
        <v>1.670064E-3</v>
      </c>
      <c r="CF90" t="s">
        <v>314</v>
      </c>
      <c r="CG90" t="s">
        <v>315</v>
      </c>
      <c r="CH90">
        <v>0.26792500000000002</v>
      </c>
      <c r="CI90">
        <v>4.5547249999999997E-2</v>
      </c>
      <c r="CJ90">
        <v>5.3585000000000004E-4</v>
      </c>
      <c r="CK90">
        <v>9.1094499999999998E-3</v>
      </c>
      <c r="CL90">
        <v>3.4830249999999998E-3</v>
      </c>
      <c r="CM90" t="s">
        <v>170</v>
      </c>
      <c r="CO90">
        <v>0.136463</v>
      </c>
      <c r="CP90">
        <v>1.209608032</v>
      </c>
      <c r="CQ90">
        <v>0.136463</v>
      </c>
      <c r="CR90">
        <v>0</v>
      </c>
      <c r="CS90">
        <v>0</v>
      </c>
    </row>
    <row r="91" spans="1:132" x14ac:dyDescent="0.35">
      <c r="A91" t="s">
        <v>316</v>
      </c>
      <c r="B91" s="2">
        <f t="shared" si="5"/>
        <v>196.97866949400003</v>
      </c>
      <c r="C91" s="2">
        <f t="shared" si="6"/>
        <v>104.99999900000002</v>
      </c>
      <c r="D91" s="2">
        <f t="shared" si="7"/>
        <v>13.232124529999998</v>
      </c>
      <c r="E91" s="2">
        <f t="shared" si="8"/>
        <v>17.824648188999998</v>
      </c>
      <c r="F91" s="2">
        <f t="shared" si="9"/>
        <v>4.0842436710000003</v>
      </c>
      <c r="G91" t="s">
        <v>198</v>
      </c>
      <c r="H91" t="s">
        <v>199</v>
      </c>
      <c r="I91">
        <v>1.806217</v>
      </c>
      <c r="J91">
        <v>0.37027448499999999</v>
      </c>
      <c r="K91">
        <v>5.418651E-3</v>
      </c>
      <c r="L91">
        <v>6.1411378000000003E-2</v>
      </c>
      <c r="M91">
        <v>1.6255953E-2</v>
      </c>
      <c r="N91" t="s">
        <v>3</v>
      </c>
      <c r="O91" t="s">
        <v>4</v>
      </c>
      <c r="P91">
        <v>31.150383000000001</v>
      </c>
      <c r="Q91">
        <v>49.840612800000002</v>
      </c>
      <c r="R91">
        <v>4.6725574500000002</v>
      </c>
      <c r="S91">
        <v>2.8035344699999998</v>
      </c>
      <c r="T91">
        <v>0.62300765999999996</v>
      </c>
      <c r="U91" t="s">
        <v>172</v>
      </c>
      <c r="V91" t="s">
        <v>173</v>
      </c>
      <c r="W91">
        <v>0.44105299999999997</v>
      </c>
      <c r="X91">
        <v>1.7730330599999999</v>
      </c>
      <c r="Y91">
        <v>0.14554749</v>
      </c>
      <c r="Z91">
        <v>5.7336890000000001E-3</v>
      </c>
      <c r="AA91">
        <v>0.11026324999999999</v>
      </c>
      <c r="AB91" t="s">
        <v>317</v>
      </c>
      <c r="AC91" t="s">
        <v>318</v>
      </c>
      <c r="AD91">
        <v>1.680202</v>
      </c>
      <c r="AE91">
        <v>0.87370504000000004</v>
      </c>
      <c r="AF91">
        <v>3.360404E-3</v>
      </c>
      <c r="AG91">
        <v>0.23522828000000001</v>
      </c>
      <c r="AH91">
        <v>5.0406060000000004E-3</v>
      </c>
      <c r="AI91" t="s">
        <v>218</v>
      </c>
      <c r="AJ91" t="s">
        <v>219</v>
      </c>
      <c r="AK91">
        <v>5.1917299999999997</v>
      </c>
      <c r="AL91">
        <v>0.83067679999999999</v>
      </c>
      <c r="AM91">
        <v>5.1917300000000003E-3</v>
      </c>
      <c r="AN91">
        <v>0.17651881999999999</v>
      </c>
      <c r="AO91">
        <v>3.6342109999999997E-2</v>
      </c>
      <c r="AP91" t="s">
        <v>237</v>
      </c>
      <c r="AQ91" t="s">
        <v>238</v>
      </c>
      <c r="AR91">
        <v>3.3604050000000001</v>
      </c>
      <c r="AS91">
        <v>5.1178968149999999</v>
      </c>
      <c r="AT91">
        <v>0.32595928499999999</v>
      </c>
      <c r="AU91">
        <v>0.49733993999999998</v>
      </c>
      <c r="AV91">
        <v>3.3604050000000003E-2</v>
      </c>
      <c r="AW91" t="s">
        <v>89</v>
      </c>
      <c r="AX91" t="s">
        <v>90</v>
      </c>
      <c r="AY91">
        <v>0.693083</v>
      </c>
      <c r="AZ91">
        <v>0.27723320000000001</v>
      </c>
      <c r="BA91">
        <v>6.9308300000000005E-4</v>
      </c>
      <c r="BB91">
        <v>6.2377469999999997E-2</v>
      </c>
      <c r="BC91">
        <v>7.6239130000000004E-3</v>
      </c>
      <c r="BD91" t="s">
        <v>5</v>
      </c>
      <c r="BE91" t="s">
        <v>6</v>
      </c>
      <c r="BF91">
        <v>0.79357699999999998</v>
      </c>
      <c r="BG91">
        <v>2.2672494890000001</v>
      </c>
      <c r="BH91">
        <v>7.3009084000000002E-2</v>
      </c>
      <c r="BI91">
        <v>0.38885272999999998</v>
      </c>
      <c r="BJ91">
        <v>3.2536656999999997E-2</v>
      </c>
      <c r="BK91" t="s">
        <v>7</v>
      </c>
      <c r="BL91" t="s">
        <v>8</v>
      </c>
      <c r="BM91">
        <v>5.1917299999999997</v>
      </c>
      <c r="BN91">
        <v>45.894893199999999</v>
      </c>
      <c r="BO91">
        <v>5.1917299999999997</v>
      </c>
      <c r="BP91">
        <v>0</v>
      </c>
      <c r="BQ91">
        <v>0</v>
      </c>
      <c r="BR91" t="s">
        <v>156</v>
      </c>
      <c r="BS91" t="s">
        <v>157</v>
      </c>
      <c r="BT91">
        <v>0.66675899999999999</v>
      </c>
      <c r="BU91">
        <v>2.63369805</v>
      </c>
      <c r="BV91">
        <v>3.4004709000000001E-2</v>
      </c>
      <c r="BW91">
        <v>0.47539916700000001</v>
      </c>
      <c r="BX91">
        <v>8.8012188000000005E-2</v>
      </c>
      <c r="BY91" t="s">
        <v>148</v>
      </c>
      <c r="BZ91" t="s">
        <v>149</v>
      </c>
      <c r="CA91">
        <v>0.39590700000000001</v>
      </c>
      <c r="CB91">
        <v>0.61563538500000003</v>
      </c>
      <c r="CC91">
        <v>4.1570234999999997E-2</v>
      </c>
      <c r="CD91">
        <v>4.7508840000000004E-3</v>
      </c>
      <c r="CE91">
        <v>4.9488375000000001E-2</v>
      </c>
      <c r="CF91" t="s">
        <v>11</v>
      </c>
      <c r="CG91" t="s">
        <v>12</v>
      </c>
      <c r="CH91">
        <v>6.1044000000000001E-2</v>
      </c>
      <c r="CI91">
        <v>0</v>
      </c>
      <c r="CJ91">
        <v>0</v>
      </c>
      <c r="CK91">
        <v>0</v>
      </c>
      <c r="CL91">
        <v>0</v>
      </c>
      <c r="CM91" t="s">
        <v>162</v>
      </c>
      <c r="CN91" t="s">
        <v>163</v>
      </c>
      <c r="CO91">
        <v>1.176142</v>
      </c>
      <c r="CP91">
        <v>0</v>
      </c>
      <c r="CQ91">
        <v>0</v>
      </c>
      <c r="CR91">
        <v>0</v>
      </c>
      <c r="CS91">
        <v>0</v>
      </c>
      <c r="CT91" t="s">
        <v>36</v>
      </c>
      <c r="CU91" t="s">
        <v>37</v>
      </c>
      <c r="CV91">
        <v>20.766922000000001</v>
      </c>
      <c r="CW91">
        <v>6.0224073799999998</v>
      </c>
      <c r="CX91">
        <v>8.3067688000000001E-2</v>
      </c>
      <c r="CY91">
        <v>1.34984993</v>
      </c>
      <c r="CZ91">
        <v>0.18690229799999999</v>
      </c>
      <c r="DA91" t="s">
        <v>229</v>
      </c>
      <c r="DB91" t="s">
        <v>230</v>
      </c>
      <c r="DC91">
        <v>5.1917299999999997</v>
      </c>
      <c r="DD91">
        <v>29.5409437</v>
      </c>
      <c r="DE91">
        <v>2.3881958000000001</v>
      </c>
      <c r="DF91">
        <v>1.4536844</v>
      </c>
      <c r="DG91">
        <v>1.0902632999999999</v>
      </c>
      <c r="DH91" t="s">
        <v>243</v>
      </c>
      <c r="DI91" t="s">
        <v>244</v>
      </c>
      <c r="DJ91">
        <v>17.780231000000001</v>
      </c>
      <c r="DK91">
        <v>48.895635249999998</v>
      </c>
      <c r="DL91">
        <v>0.21336277200000001</v>
      </c>
      <c r="DM91">
        <v>9.9569293600000002</v>
      </c>
      <c r="DN91">
        <v>1.618001021</v>
      </c>
      <c r="DO91" t="s">
        <v>222</v>
      </c>
      <c r="DP91" t="s">
        <v>223</v>
      </c>
      <c r="DQ91">
        <v>6.922307</v>
      </c>
      <c r="DR91">
        <v>1.73057675</v>
      </c>
      <c r="DS91">
        <v>4.8456148999999997E-2</v>
      </c>
      <c r="DT91">
        <v>0.256125359</v>
      </c>
      <c r="DU91">
        <v>0.17997998200000001</v>
      </c>
      <c r="DV91" t="s">
        <v>81</v>
      </c>
      <c r="DW91" t="s">
        <v>82</v>
      </c>
      <c r="DX91">
        <v>1.730577</v>
      </c>
      <c r="DY91">
        <v>0.29419809000000002</v>
      </c>
      <c r="DZ91">
        <v>0</v>
      </c>
      <c r="EA91">
        <v>9.6912312E-2</v>
      </c>
      <c r="EB91">
        <v>6.9223080000000003E-3</v>
      </c>
    </row>
    <row r="92" spans="1:132" x14ac:dyDescent="0.35">
      <c r="A92" t="s">
        <v>319</v>
      </c>
      <c r="B92" s="2">
        <f t="shared" si="5"/>
        <v>114.62087891699998</v>
      </c>
      <c r="C92" s="2">
        <f t="shared" si="6"/>
        <v>91.000001000000026</v>
      </c>
      <c r="D92" s="2">
        <f t="shared" si="7"/>
        <v>6.1204575400000003</v>
      </c>
      <c r="E92" s="2">
        <f t="shared" si="8"/>
        <v>10.703303671</v>
      </c>
      <c r="F92" s="2">
        <f t="shared" si="9"/>
        <v>5.1047074090000004</v>
      </c>
      <c r="G92" t="s">
        <v>41</v>
      </c>
      <c r="H92" t="s">
        <v>42</v>
      </c>
      <c r="I92">
        <v>52.624572999999998</v>
      </c>
      <c r="J92">
        <v>18.418600550000001</v>
      </c>
      <c r="K92">
        <v>0.210498292</v>
      </c>
      <c r="L92">
        <v>3.6837201099999999</v>
      </c>
      <c r="M92">
        <v>1.262989752</v>
      </c>
      <c r="N92" t="s">
        <v>7</v>
      </c>
      <c r="O92" t="s">
        <v>8</v>
      </c>
      <c r="P92">
        <v>3.5057610000000001</v>
      </c>
      <c r="Q92">
        <v>30.990927240000001</v>
      </c>
      <c r="R92">
        <v>3.5057610000000001</v>
      </c>
      <c r="S92">
        <v>0</v>
      </c>
      <c r="T92">
        <v>0</v>
      </c>
      <c r="U92" t="s">
        <v>156</v>
      </c>
      <c r="V92" t="s">
        <v>157</v>
      </c>
      <c r="W92">
        <v>0.725109</v>
      </c>
      <c r="X92">
        <v>2.8641805499999999</v>
      </c>
      <c r="Y92">
        <v>3.6980559000000003E-2</v>
      </c>
      <c r="Z92">
        <v>0.517002717</v>
      </c>
      <c r="AA92">
        <v>9.5714387999999997E-2</v>
      </c>
      <c r="AB92" t="s">
        <v>51</v>
      </c>
      <c r="AC92" t="s">
        <v>52</v>
      </c>
      <c r="AD92">
        <v>10.076202</v>
      </c>
      <c r="AE92">
        <v>27.971536751999999</v>
      </c>
      <c r="AF92">
        <v>1.7230305420000001</v>
      </c>
      <c r="AG92">
        <v>0.32243846399999998</v>
      </c>
      <c r="AH92">
        <v>2.8213365600000002</v>
      </c>
      <c r="AI92" t="s">
        <v>11</v>
      </c>
      <c r="AJ92" t="s">
        <v>12</v>
      </c>
      <c r="AK92">
        <v>5.8009999999999997E-3</v>
      </c>
      <c r="AL92">
        <v>0</v>
      </c>
      <c r="AM92">
        <v>0</v>
      </c>
      <c r="AN92">
        <v>0</v>
      </c>
      <c r="AO92">
        <v>0</v>
      </c>
      <c r="AP92" t="s">
        <v>36</v>
      </c>
      <c r="AQ92" t="s">
        <v>37</v>
      </c>
      <c r="AR92">
        <v>0.65780700000000003</v>
      </c>
      <c r="AS92">
        <v>0.19076403</v>
      </c>
      <c r="AT92">
        <v>2.6312280000000002E-3</v>
      </c>
      <c r="AU92">
        <v>4.2757455E-2</v>
      </c>
      <c r="AV92">
        <v>5.9202630000000003E-3</v>
      </c>
      <c r="AW92" t="s">
        <v>57</v>
      </c>
      <c r="AX92" t="s">
        <v>58</v>
      </c>
      <c r="AY92">
        <v>2.5190510000000002</v>
      </c>
      <c r="AZ92">
        <v>0.60457223999999998</v>
      </c>
      <c r="BA92">
        <v>0</v>
      </c>
      <c r="BB92">
        <v>5.0381019999999999E-2</v>
      </c>
      <c r="BC92">
        <v>0.10076204</v>
      </c>
      <c r="BD92" t="s">
        <v>59</v>
      </c>
      <c r="BF92">
        <v>13.328545</v>
      </c>
      <c r="BG92">
        <v>31.388723474999999</v>
      </c>
      <c r="BH92">
        <v>0.62644161499999995</v>
      </c>
      <c r="BI92">
        <v>5.558003265</v>
      </c>
      <c r="BJ92">
        <v>0.71974143000000002</v>
      </c>
      <c r="BK92" t="s">
        <v>60</v>
      </c>
      <c r="BM92">
        <v>7.5571520000000003</v>
      </c>
      <c r="BN92">
        <v>2.1915740800000001</v>
      </c>
      <c r="BO92">
        <v>1.5114304E-2</v>
      </c>
      <c r="BP92">
        <v>0.52900064000000002</v>
      </c>
      <c r="BQ92">
        <v>9.8242975999999996E-2</v>
      </c>
    </row>
    <row r="93" spans="1:132" x14ac:dyDescent="0.35">
      <c r="A93" t="s">
        <v>320</v>
      </c>
      <c r="B93" s="2">
        <f t="shared" si="5"/>
        <v>113.61</v>
      </c>
      <c r="C93" s="2">
        <f t="shared" si="6"/>
        <v>21</v>
      </c>
      <c r="D93" s="2">
        <f t="shared" si="7"/>
        <v>8.82</v>
      </c>
      <c r="E93" s="2">
        <f t="shared" si="8"/>
        <v>0.29399999999999998</v>
      </c>
      <c r="F93" s="2">
        <f t="shared" si="9"/>
        <v>7.77</v>
      </c>
      <c r="G93" t="s">
        <v>63</v>
      </c>
      <c r="H93" t="s">
        <v>64</v>
      </c>
      <c r="I93">
        <v>21</v>
      </c>
      <c r="J93">
        <v>113.61</v>
      </c>
      <c r="K93">
        <v>8.82</v>
      </c>
      <c r="L93">
        <v>0.29399999999999998</v>
      </c>
      <c r="M93">
        <v>7.77</v>
      </c>
    </row>
    <row r="94" spans="1:132" x14ac:dyDescent="0.35">
      <c r="A94" t="s">
        <v>321</v>
      </c>
      <c r="B94" s="2">
        <f t="shared" si="5"/>
        <v>299.76287721400001</v>
      </c>
      <c r="C94" s="2">
        <f t="shared" si="6"/>
        <v>147.00000199999999</v>
      </c>
      <c r="D94" s="2">
        <f t="shared" si="7"/>
        <v>16.980414246999999</v>
      </c>
      <c r="E94" s="2">
        <f t="shared" si="8"/>
        <v>3.8555072680000002</v>
      </c>
      <c r="F94" s="2">
        <f t="shared" si="9"/>
        <v>30.807227492999999</v>
      </c>
      <c r="G94" t="s">
        <v>120</v>
      </c>
      <c r="H94" t="s">
        <v>121</v>
      </c>
      <c r="I94">
        <v>2.275223</v>
      </c>
      <c r="J94">
        <v>0.36403567999999997</v>
      </c>
      <c r="K94">
        <v>4.5504459999999997E-3</v>
      </c>
      <c r="L94">
        <v>7.7357581999999994E-2</v>
      </c>
      <c r="M94">
        <v>1.5926560999999999E-2</v>
      </c>
      <c r="N94" t="s">
        <v>135</v>
      </c>
      <c r="O94" t="s">
        <v>136</v>
      </c>
      <c r="P94">
        <v>2.275223</v>
      </c>
      <c r="Q94">
        <v>0.93284142999999997</v>
      </c>
      <c r="R94">
        <v>4.5504459999999997E-3</v>
      </c>
      <c r="S94">
        <v>0.22752230000000001</v>
      </c>
      <c r="T94">
        <v>2.0477006999999998E-2</v>
      </c>
      <c r="U94" t="s">
        <v>89</v>
      </c>
      <c r="V94" t="s">
        <v>90</v>
      </c>
      <c r="W94">
        <v>2.275223</v>
      </c>
      <c r="X94">
        <v>0.91008920000000004</v>
      </c>
      <c r="Y94">
        <v>2.2752229999999998E-3</v>
      </c>
      <c r="Z94">
        <v>0.20477007</v>
      </c>
      <c r="AA94">
        <v>2.5027453000000002E-2</v>
      </c>
      <c r="AB94" t="s">
        <v>139</v>
      </c>
      <c r="AC94" t="s">
        <v>140</v>
      </c>
      <c r="AD94">
        <v>18.201782000000001</v>
      </c>
      <c r="AE94">
        <v>8.4092232839999994</v>
      </c>
      <c r="AF94">
        <v>1.8201782E-2</v>
      </c>
      <c r="AG94">
        <v>2.0568013660000002</v>
      </c>
      <c r="AH94">
        <v>1.8201782E-2</v>
      </c>
      <c r="AI94" t="s">
        <v>141</v>
      </c>
      <c r="AJ94" t="s">
        <v>142</v>
      </c>
      <c r="AK94">
        <v>1.153254</v>
      </c>
      <c r="AL94">
        <v>0</v>
      </c>
      <c r="AM94">
        <v>0</v>
      </c>
      <c r="AN94">
        <v>0</v>
      </c>
      <c r="AO94">
        <v>0</v>
      </c>
      <c r="AP94" t="s">
        <v>143</v>
      </c>
      <c r="AQ94" t="s">
        <v>144</v>
      </c>
      <c r="AR94">
        <v>6.9678699999999996</v>
      </c>
      <c r="AS94">
        <v>18.395176800000002</v>
      </c>
      <c r="AT94">
        <v>1.0242768900000001</v>
      </c>
      <c r="AU94">
        <v>1.2890559500000001</v>
      </c>
      <c r="AV94">
        <v>1.1496985500000001</v>
      </c>
      <c r="AW94" t="s">
        <v>11</v>
      </c>
      <c r="AX94" t="s">
        <v>12</v>
      </c>
      <c r="AY94">
        <v>9.0287999999999993E-2</v>
      </c>
      <c r="AZ94">
        <v>0</v>
      </c>
      <c r="BA94">
        <v>0</v>
      </c>
      <c r="BB94">
        <v>0</v>
      </c>
      <c r="BC94">
        <v>0</v>
      </c>
      <c r="BD94" t="s">
        <v>145</v>
      </c>
      <c r="BE94" t="s">
        <v>146</v>
      </c>
      <c r="BF94">
        <v>113.761139</v>
      </c>
      <c r="BG94">
        <v>270.75151082000002</v>
      </c>
      <c r="BH94">
        <v>15.92655946</v>
      </c>
      <c r="BI94">
        <v>0</v>
      </c>
      <c r="BJ94">
        <v>29.57789614</v>
      </c>
    </row>
    <row r="95" spans="1:132" x14ac:dyDescent="0.35">
      <c r="A95" t="s">
        <v>322</v>
      </c>
      <c r="B95" s="2">
        <f t="shared" si="5"/>
        <v>814.76277105499992</v>
      </c>
      <c r="C95" s="2">
        <f t="shared" si="6"/>
        <v>372.99999700000001</v>
      </c>
      <c r="D95" s="2">
        <f t="shared" si="7"/>
        <v>36.191095840000003</v>
      </c>
      <c r="E95" s="2">
        <f t="shared" si="8"/>
        <v>96.338841073000012</v>
      </c>
      <c r="F95" s="2">
        <f t="shared" si="9"/>
        <v>26.402330385000003</v>
      </c>
      <c r="G95" t="s">
        <v>63</v>
      </c>
      <c r="H95" t="s">
        <v>64</v>
      </c>
      <c r="I95">
        <v>16.344532000000001</v>
      </c>
      <c r="J95">
        <v>88.423918119999996</v>
      </c>
      <c r="K95">
        <v>6.8647034400000004</v>
      </c>
      <c r="L95">
        <v>0.22882344800000001</v>
      </c>
      <c r="M95">
        <v>6.0474768399999999</v>
      </c>
      <c r="N95" t="s">
        <v>89</v>
      </c>
      <c r="O95" t="s">
        <v>90</v>
      </c>
      <c r="P95">
        <v>20.430665999999999</v>
      </c>
      <c r="Q95">
        <v>8.1722663999999998</v>
      </c>
      <c r="R95">
        <v>2.0430666E-2</v>
      </c>
      <c r="S95">
        <v>1.8387599400000001</v>
      </c>
      <c r="T95">
        <v>0.22473732599999999</v>
      </c>
      <c r="U95" t="s">
        <v>7</v>
      </c>
      <c r="V95" t="s">
        <v>8</v>
      </c>
      <c r="W95">
        <v>12.258399000000001</v>
      </c>
      <c r="X95">
        <v>108.36424716000001</v>
      </c>
      <c r="Y95">
        <v>12.258399000000001</v>
      </c>
      <c r="Z95">
        <v>0</v>
      </c>
      <c r="AA95">
        <v>0</v>
      </c>
      <c r="AB95" t="s">
        <v>129</v>
      </c>
      <c r="AC95" t="s">
        <v>130</v>
      </c>
      <c r="AD95">
        <v>182</v>
      </c>
      <c r="AE95">
        <v>418.6</v>
      </c>
      <c r="AF95">
        <v>9.8279999999999994</v>
      </c>
      <c r="AG95">
        <v>70.98</v>
      </c>
      <c r="AH95">
        <v>11.284000000000001</v>
      </c>
      <c r="AI95" t="s">
        <v>323</v>
      </c>
      <c r="AJ95" t="s">
        <v>324</v>
      </c>
      <c r="AK95">
        <v>24.516798000000001</v>
      </c>
      <c r="AL95">
        <v>64.72434672</v>
      </c>
      <c r="AM95">
        <v>5.1485275799999997</v>
      </c>
      <c r="AN95">
        <v>0</v>
      </c>
      <c r="AO95">
        <v>4.6581916200000002</v>
      </c>
      <c r="AP95" t="s">
        <v>181</v>
      </c>
      <c r="AQ95" t="s">
        <v>182</v>
      </c>
      <c r="AR95">
        <v>16.344532000000001</v>
      </c>
      <c r="AS95">
        <v>11.27772708</v>
      </c>
      <c r="AT95">
        <v>3.2689063999999997E-2</v>
      </c>
      <c r="AU95">
        <v>2.9420157599999999</v>
      </c>
      <c r="AV95">
        <v>0.11441172400000001</v>
      </c>
      <c r="AW95" t="s">
        <v>220</v>
      </c>
      <c r="AX95" t="s">
        <v>221</v>
      </c>
      <c r="AY95">
        <v>57</v>
      </c>
      <c r="AZ95">
        <v>13.11</v>
      </c>
      <c r="BA95">
        <v>0</v>
      </c>
      <c r="BB95">
        <v>2.2799999999999998</v>
      </c>
      <c r="BC95">
        <v>1.71</v>
      </c>
      <c r="BD95" t="s">
        <v>38</v>
      </c>
      <c r="BE95" t="s">
        <v>39</v>
      </c>
      <c r="BF95">
        <v>0.86480500000000005</v>
      </c>
      <c r="BG95">
        <v>0.25944149999999999</v>
      </c>
      <c r="BH95">
        <v>6.0536349999999999E-3</v>
      </c>
      <c r="BI95">
        <v>3.8051420000000002E-2</v>
      </c>
      <c r="BJ95">
        <v>2.8538564999999998E-2</v>
      </c>
      <c r="BK95" t="s">
        <v>59</v>
      </c>
      <c r="BM95">
        <v>43.240265000000001</v>
      </c>
      <c r="BN95">
        <v>101.830824075</v>
      </c>
      <c r="BO95">
        <v>2.0322924549999999</v>
      </c>
      <c r="BP95">
        <v>18.031190505000001</v>
      </c>
      <c r="BQ95">
        <v>2.3349743100000002</v>
      </c>
    </row>
    <row r="96" spans="1:132" x14ac:dyDescent="0.35">
      <c r="A96" t="s">
        <v>325</v>
      </c>
      <c r="B96" s="2">
        <f t="shared" si="5"/>
        <v>458.82072694199996</v>
      </c>
      <c r="C96" s="2">
        <f t="shared" si="6"/>
        <v>225.000001</v>
      </c>
      <c r="D96" s="2">
        <f t="shared" si="7"/>
        <v>25.990429759999998</v>
      </c>
      <c r="E96" s="2">
        <f t="shared" si="8"/>
        <v>5.9012866339999999</v>
      </c>
      <c r="F96" s="2">
        <f t="shared" si="9"/>
        <v>47.153919254000002</v>
      </c>
      <c r="G96" t="s">
        <v>120</v>
      </c>
      <c r="H96" t="s">
        <v>121</v>
      </c>
      <c r="I96">
        <v>3.4824839999999999</v>
      </c>
      <c r="J96">
        <v>0.55719744000000004</v>
      </c>
      <c r="K96">
        <v>6.9649680000000002E-3</v>
      </c>
      <c r="L96">
        <v>0.11840445600000001</v>
      </c>
      <c r="M96">
        <v>2.4377388E-2</v>
      </c>
      <c r="N96" t="s">
        <v>135</v>
      </c>
      <c r="O96" t="s">
        <v>136</v>
      </c>
      <c r="P96">
        <v>3.4824839999999999</v>
      </c>
      <c r="Q96">
        <v>1.42781844</v>
      </c>
      <c r="R96">
        <v>6.9649680000000002E-3</v>
      </c>
      <c r="S96">
        <v>0.34824840000000001</v>
      </c>
      <c r="T96">
        <v>3.1342356000000002E-2</v>
      </c>
      <c r="U96" t="s">
        <v>89</v>
      </c>
      <c r="V96" t="s">
        <v>90</v>
      </c>
      <c r="W96">
        <v>3.4824839999999999</v>
      </c>
      <c r="X96">
        <v>1.3929936000000001</v>
      </c>
      <c r="Y96">
        <v>3.4824840000000001E-3</v>
      </c>
      <c r="Z96">
        <v>0.31342355999999999</v>
      </c>
      <c r="AA96">
        <v>3.8307323999999997E-2</v>
      </c>
      <c r="AB96" t="s">
        <v>139</v>
      </c>
      <c r="AC96" t="s">
        <v>140</v>
      </c>
      <c r="AD96">
        <v>27.859870999999998</v>
      </c>
      <c r="AE96">
        <v>12.871260402000001</v>
      </c>
      <c r="AF96">
        <v>2.7859871000000001E-2</v>
      </c>
      <c r="AG96">
        <v>3.148165423</v>
      </c>
      <c r="AH96">
        <v>2.7859871000000001E-2</v>
      </c>
      <c r="AI96" t="s">
        <v>141</v>
      </c>
      <c r="AJ96" t="s">
        <v>142</v>
      </c>
      <c r="AK96">
        <v>1.7651840000000001</v>
      </c>
      <c r="AL96">
        <v>0</v>
      </c>
      <c r="AM96">
        <v>0</v>
      </c>
      <c r="AN96">
        <v>0</v>
      </c>
      <c r="AO96">
        <v>0</v>
      </c>
      <c r="AP96" t="s">
        <v>143</v>
      </c>
      <c r="AQ96" t="s">
        <v>144</v>
      </c>
      <c r="AR96">
        <v>10.665107000000001</v>
      </c>
      <c r="AS96">
        <v>28.155882479999999</v>
      </c>
      <c r="AT96">
        <v>1.567770729</v>
      </c>
      <c r="AU96">
        <v>1.9730447950000001</v>
      </c>
      <c r="AV96">
        <v>1.7597426549999999</v>
      </c>
      <c r="AW96" t="s">
        <v>11</v>
      </c>
      <c r="AX96" t="s">
        <v>12</v>
      </c>
      <c r="AY96">
        <v>0.13819600000000001</v>
      </c>
      <c r="AZ96">
        <v>0</v>
      </c>
      <c r="BA96">
        <v>0</v>
      </c>
      <c r="BB96">
        <v>0</v>
      </c>
      <c r="BC96">
        <v>0</v>
      </c>
      <c r="BD96" t="s">
        <v>145</v>
      </c>
      <c r="BE96" t="s">
        <v>146</v>
      </c>
      <c r="BF96">
        <v>174.124191</v>
      </c>
      <c r="BG96">
        <v>414.41557458</v>
      </c>
      <c r="BH96">
        <v>24.377386739999999</v>
      </c>
      <c r="BI96">
        <v>0</v>
      </c>
      <c r="BJ96">
        <v>45.272289659999998</v>
      </c>
    </row>
    <row r="97" spans="1:97" x14ac:dyDescent="0.35">
      <c r="A97" t="s">
        <v>326</v>
      </c>
      <c r="B97" s="2">
        <f t="shared" si="5"/>
        <v>226.75973744300001</v>
      </c>
      <c r="C97" s="2">
        <f t="shared" si="6"/>
        <v>270.999999</v>
      </c>
      <c r="D97" s="2">
        <f t="shared" si="7"/>
        <v>12.652830708999998</v>
      </c>
      <c r="E97" s="2">
        <f t="shared" si="8"/>
        <v>26.291917658000006</v>
      </c>
      <c r="F97" s="2">
        <f t="shared" si="9"/>
        <v>4.9350144829999998</v>
      </c>
      <c r="G97" t="s">
        <v>41</v>
      </c>
      <c r="H97" t="s">
        <v>42</v>
      </c>
      <c r="I97">
        <v>57.408627000000003</v>
      </c>
      <c r="J97">
        <v>20.09301945</v>
      </c>
      <c r="K97">
        <v>0.22963450799999999</v>
      </c>
      <c r="L97">
        <v>4.0186038899999996</v>
      </c>
      <c r="M97">
        <v>1.377807048</v>
      </c>
      <c r="N97" t="s">
        <v>7</v>
      </c>
      <c r="O97" t="s">
        <v>8</v>
      </c>
      <c r="P97">
        <v>1.0764119999999999</v>
      </c>
      <c r="Q97">
        <v>9.51548208</v>
      </c>
      <c r="R97">
        <v>1.0764119999999999</v>
      </c>
      <c r="S97">
        <v>0</v>
      </c>
      <c r="T97">
        <v>0</v>
      </c>
      <c r="U97" t="s">
        <v>156</v>
      </c>
      <c r="V97" t="s">
        <v>157</v>
      </c>
      <c r="W97">
        <v>0.79102799999999995</v>
      </c>
      <c r="X97">
        <v>3.1245606000000001</v>
      </c>
      <c r="Y97">
        <v>4.0342428E-2</v>
      </c>
      <c r="Z97">
        <v>0.56400296400000005</v>
      </c>
      <c r="AA97">
        <v>0.104415696</v>
      </c>
      <c r="AB97" t="s">
        <v>53</v>
      </c>
      <c r="AC97" t="s">
        <v>54</v>
      </c>
      <c r="AD97">
        <v>100.47618900000001</v>
      </c>
      <c r="AE97">
        <v>91.131903422999997</v>
      </c>
      <c r="AF97">
        <v>2.9138094809999999</v>
      </c>
      <c r="AG97">
        <v>15.171904539</v>
      </c>
      <c r="AH97">
        <v>1.708095213</v>
      </c>
      <c r="AI97" t="s">
        <v>11</v>
      </c>
      <c r="AJ97" t="s">
        <v>12</v>
      </c>
      <c r="AK97">
        <v>6.3280000000000003E-3</v>
      </c>
      <c r="AL97">
        <v>0</v>
      </c>
      <c r="AM97">
        <v>0</v>
      </c>
      <c r="AN97">
        <v>0</v>
      </c>
      <c r="AO97">
        <v>0</v>
      </c>
      <c r="AP97" t="s">
        <v>55</v>
      </c>
      <c r="AQ97" t="s">
        <v>56</v>
      </c>
      <c r="AR97">
        <v>10.047618999999999</v>
      </c>
      <c r="AS97">
        <v>72.041428229999994</v>
      </c>
      <c r="AT97">
        <v>8.1385713899999992</v>
      </c>
      <c r="AU97">
        <v>1.0047619000000001E-2</v>
      </c>
      <c r="AV97">
        <v>8.0380952000000006E-2</v>
      </c>
      <c r="AW97" t="s">
        <v>36</v>
      </c>
      <c r="AX97" t="s">
        <v>37</v>
      </c>
      <c r="AY97">
        <v>0.71760800000000002</v>
      </c>
      <c r="AZ97">
        <v>0.20810632000000001</v>
      </c>
      <c r="BA97">
        <v>2.870432E-3</v>
      </c>
      <c r="BB97">
        <v>4.6644520000000002E-2</v>
      </c>
      <c r="BC97">
        <v>6.4584719999999998E-3</v>
      </c>
      <c r="BD97" t="s">
        <v>79</v>
      </c>
      <c r="BE97" t="s">
        <v>80</v>
      </c>
      <c r="BF97">
        <v>50.238093999999997</v>
      </c>
      <c r="BG97">
        <v>9.5452378600000003</v>
      </c>
      <c r="BH97">
        <v>0.10047618799999999</v>
      </c>
      <c r="BI97">
        <v>1.858809478</v>
      </c>
      <c r="BJ97">
        <v>0.90428569199999997</v>
      </c>
      <c r="BK97" t="s">
        <v>186</v>
      </c>
      <c r="BL97" t="s">
        <v>187</v>
      </c>
      <c r="BM97">
        <v>50.238093999999997</v>
      </c>
      <c r="BN97">
        <v>21.099999480000001</v>
      </c>
      <c r="BO97">
        <v>0.150714282</v>
      </c>
      <c r="BP97">
        <v>4.6219046480000001</v>
      </c>
      <c r="BQ97">
        <v>0.75357141000000005</v>
      </c>
    </row>
    <row r="98" spans="1:97" x14ac:dyDescent="0.35">
      <c r="A98" t="s">
        <v>327</v>
      </c>
      <c r="B98" s="2">
        <f t="shared" si="5"/>
        <v>216.28542889200003</v>
      </c>
      <c r="C98" s="2">
        <f t="shared" si="6"/>
        <v>121.99999600000001</v>
      </c>
      <c r="D98" s="2">
        <f t="shared" si="7"/>
        <v>2.7508532639999999</v>
      </c>
      <c r="E98" s="2">
        <f t="shared" si="8"/>
        <v>41.031467020000001</v>
      </c>
      <c r="F98" s="2">
        <f t="shared" si="9"/>
        <v>6.6652933299999999</v>
      </c>
      <c r="G98" t="s">
        <v>34</v>
      </c>
      <c r="H98" t="s">
        <v>35</v>
      </c>
      <c r="I98">
        <v>35.600002000000003</v>
      </c>
      <c r="J98">
        <v>8.9000005000000009</v>
      </c>
      <c r="K98">
        <v>0.106800006</v>
      </c>
      <c r="L98">
        <v>1.7800001000000001</v>
      </c>
      <c r="M98">
        <v>0.64080003600000002</v>
      </c>
      <c r="N98" t="s">
        <v>328</v>
      </c>
      <c r="O98" t="s">
        <v>329</v>
      </c>
      <c r="P98">
        <v>6.0854699999999999</v>
      </c>
      <c r="Q98">
        <v>0.66940169999999999</v>
      </c>
      <c r="R98">
        <v>1.217094E-2</v>
      </c>
      <c r="S98">
        <v>0.13996581</v>
      </c>
      <c r="T98">
        <v>1.8256410000000001E-2</v>
      </c>
      <c r="U98" t="s">
        <v>237</v>
      </c>
      <c r="V98" t="s">
        <v>238</v>
      </c>
      <c r="W98">
        <v>12.17094</v>
      </c>
      <c r="X98">
        <v>18.536341620000002</v>
      </c>
      <c r="Y98">
        <v>1.1805811799999999</v>
      </c>
      <c r="Z98">
        <v>1.8012991199999999</v>
      </c>
      <c r="AA98">
        <v>0.1217094</v>
      </c>
      <c r="AB98" t="s">
        <v>330</v>
      </c>
      <c r="AC98" t="s">
        <v>331</v>
      </c>
      <c r="AD98">
        <v>3.042735</v>
      </c>
      <c r="AE98">
        <v>5.2335041999999996</v>
      </c>
      <c r="AF98">
        <v>1.8256410000000001E-2</v>
      </c>
      <c r="AG98">
        <v>1.24752135</v>
      </c>
      <c r="AH98">
        <v>2.434188E-2</v>
      </c>
      <c r="AI98" t="s">
        <v>11</v>
      </c>
      <c r="AJ98" t="s">
        <v>12</v>
      </c>
      <c r="AK98">
        <v>4.2931999999999998E-2</v>
      </c>
      <c r="AL98">
        <v>0</v>
      </c>
      <c r="AM98">
        <v>0</v>
      </c>
      <c r="AN98">
        <v>0</v>
      </c>
      <c r="AO98">
        <v>0</v>
      </c>
      <c r="AP98" t="s">
        <v>243</v>
      </c>
      <c r="AQ98" t="s">
        <v>244</v>
      </c>
      <c r="AR98">
        <v>64.397644</v>
      </c>
      <c r="AS98">
        <v>177.09352100000001</v>
      </c>
      <c r="AT98">
        <v>0.77277172800000005</v>
      </c>
      <c r="AU98">
        <v>36.062680640000004</v>
      </c>
      <c r="AV98">
        <v>5.8601856039999998</v>
      </c>
      <c r="AW98" t="s">
        <v>170</v>
      </c>
      <c r="AY98">
        <v>0.660273</v>
      </c>
      <c r="AZ98">
        <v>5.8526598720000003</v>
      </c>
      <c r="BA98">
        <v>0.660273</v>
      </c>
      <c r="BB98">
        <v>0</v>
      </c>
      <c r="BC98">
        <v>0</v>
      </c>
    </row>
    <row r="99" spans="1:97" x14ac:dyDescent="0.35">
      <c r="A99" t="s">
        <v>332</v>
      </c>
      <c r="B99" s="2">
        <f t="shared" si="5"/>
        <v>408.81672418000005</v>
      </c>
      <c r="C99" s="2">
        <f t="shared" si="6"/>
        <v>339.00000299999999</v>
      </c>
      <c r="D99" s="2">
        <f t="shared" si="7"/>
        <v>24.065348744000001</v>
      </c>
      <c r="E99" s="2">
        <f t="shared" si="8"/>
        <v>27.189847605000001</v>
      </c>
      <c r="F99" s="2">
        <f t="shared" si="9"/>
        <v>22.224742241999998</v>
      </c>
      <c r="G99" t="s">
        <v>24</v>
      </c>
      <c r="H99" t="s">
        <v>25</v>
      </c>
      <c r="I99">
        <v>100</v>
      </c>
      <c r="J99">
        <v>148</v>
      </c>
      <c r="K99">
        <v>11</v>
      </c>
      <c r="L99">
        <v>1.6</v>
      </c>
      <c r="M99">
        <v>10</v>
      </c>
      <c r="N99" t="s">
        <v>333</v>
      </c>
      <c r="O99" t="s">
        <v>334</v>
      </c>
      <c r="P99">
        <v>76.312408000000005</v>
      </c>
      <c r="Q99">
        <v>32.814335440000001</v>
      </c>
      <c r="R99">
        <v>0.22893722399999999</v>
      </c>
      <c r="S99">
        <v>6.8681167199999997</v>
      </c>
      <c r="T99">
        <v>2.5946218719999998</v>
      </c>
      <c r="U99" t="s">
        <v>335</v>
      </c>
      <c r="V99" t="s">
        <v>336</v>
      </c>
      <c r="W99">
        <v>0.29442000000000002</v>
      </c>
      <c r="X99">
        <v>1.7020420199999999</v>
      </c>
      <c r="Y99">
        <v>0.1457379</v>
      </c>
      <c r="Z99">
        <v>6.6833340000000005E-2</v>
      </c>
      <c r="AA99">
        <v>6.5950079999999994E-2</v>
      </c>
      <c r="AB99" t="s">
        <v>7</v>
      </c>
      <c r="AC99" t="s">
        <v>8</v>
      </c>
      <c r="AD99">
        <v>1.430858</v>
      </c>
      <c r="AE99">
        <v>12.64878472</v>
      </c>
      <c r="AF99">
        <v>1.430858</v>
      </c>
      <c r="AG99">
        <v>0</v>
      </c>
      <c r="AH99">
        <v>0</v>
      </c>
      <c r="AI99" t="s">
        <v>151</v>
      </c>
      <c r="AJ99" t="s">
        <v>152</v>
      </c>
      <c r="AK99">
        <v>0.953905</v>
      </c>
      <c r="AL99">
        <v>0.38156200000000001</v>
      </c>
      <c r="AM99">
        <v>3.81562E-3</v>
      </c>
      <c r="AN99">
        <v>8.4897545000000005E-2</v>
      </c>
      <c r="AO99">
        <v>1.7170290000000001E-2</v>
      </c>
      <c r="AP99" t="s">
        <v>11</v>
      </c>
      <c r="AQ99" t="s">
        <v>12</v>
      </c>
      <c r="AR99">
        <v>8.4119999999999993E-3</v>
      </c>
      <c r="AS99">
        <v>0</v>
      </c>
      <c r="AT99">
        <v>0</v>
      </c>
      <c r="AU99">
        <v>0</v>
      </c>
      <c r="AV99">
        <v>0</v>
      </c>
      <c r="AW99" t="s">
        <v>21</v>
      </c>
      <c r="AX99" t="s">
        <v>22</v>
      </c>
      <c r="AY99">
        <v>87</v>
      </c>
      <c r="AZ99">
        <v>122.67</v>
      </c>
      <c r="BA99">
        <v>5.9160000000000004</v>
      </c>
      <c r="BB99">
        <v>15.66</v>
      </c>
      <c r="BC99">
        <v>1.827</v>
      </c>
      <c r="BD99" t="s">
        <v>31</v>
      </c>
      <c r="BE99" t="s">
        <v>32</v>
      </c>
      <c r="BF99">
        <v>20</v>
      </c>
      <c r="BG99">
        <v>5.8</v>
      </c>
      <c r="BH99">
        <v>0.04</v>
      </c>
      <c r="BI99">
        <v>1.32</v>
      </c>
      <c r="BJ99">
        <v>0.3</v>
      </c>
      <c r="BK99" t="s">
        <v>213</v>
      </c>
      <c r="BL99" t="s">
        <v>214</v>
      </c>
      <c r="BM99">
        <v>53</v>
      </c>
      <c r="BN99">
        <v>84.8</v>
      </c>
      <c r="BO99">
        <v>5.3</v>
      </c>
      <c r="BP99">
        <v>1.59</v>
      </c>
      <c r="BQ99">
        <v>7.42</v>
      </c>
    </row>
    <row r="100" spans="1:97" x14ac:dyDescent="0.35">
      <c r="A100" t="s">
        <v>337</v>
      </c>
      <c r="B100" s="2">
        <f t="shared" si="5"/>
        <v>238.71340763399999</v>
      </c>
      <c r="C100" s="2">
        <f t="shared" si="6"/>
        <v>274.999999</v>
      </c>
      <c r="D100" s="2">
        <f t="shared" si="7"/>
        <v>9.8371661160000006</v>
      </c>
      <c r="E100" s="2">
        <f t="shared" si="8"/>
        <v>25.496572066000002</v>
      </c>
      <c r="F100" s="2">
        <f t="shared" si="9"/>
        <v>14.005625229999998</v>
      </c>
      <c r="G100" t="s">
        <v>252</v>
      </c>
      <c r="H100" t="s">
        <v>253</v>
      </c>
      <c r="I100">
        <v>78.600723000000002</v>
      </c>
      <c r="J100">
        <v>60.522556710000003</v>
      </c>
      <c r="K100">
        <v>7.8600722999999997E-2</v>
      </c>
      <c r="L100">
        <v>13.36212291</v>
      </c>
      <c r="M100">
        <v>1.5720144599999999</v>
      </c>
      <c r="N100" t="s">
        <v>34</v>
      </c>
      <c r="O100" t="s">
        <v>35</v>
      </c>
      <c r="P100">
        <v>72</v>
      </c>
      <c r="Q100">
        <v>18</v>
      </c>
      <c r="R100">
        <v>0.216</v>
      </c>
      <c r="S100">
        <v>3.6</v>
      </c>
      <c r="T100">
        <v>1.296</v>
      </c>
      <c r="U100" t="s">
        <v>269</v>
      </c>
      <c r="V100" t="s">
        <v>270</v>
      </c>
      <c r="W100">
        <v>40.171551000000001</v>
      </c>
      <c r="X100">
        <v>108.86490320999999</v>
      </c>
      <c r="Y100">
        <v>7.6325946900000003</v>
      </c>
      <c r="Z100">
        <v>0</v>
      </c>
      <c r="AA100">
        <v>10.04288775</v>
      </c>
      <c r="AB100" t="s">
        <v>135</v>
      </c>
      <c r="AC100" t="s">
        <v>136</v>
      </c>
      <c r="AD100">
        <v>58.079352999999998</v>
      </c>
      <c r="AE100">
        <v>23.812534729999999</v>
      </c>
      <c r="AF100">
        <v>0.116158706</v>
      </c>
      <c r="AG100">
        <v>5.8079352999999996</v>
      </c>
      <c r="AH100">
        <v>0.522714177</v>
      </c>
      <c r="AI100" t="s">
        <v>71</v>
      </c>
      <c r="AJ100" t="s">
        <v>72</v>
      </c>
      <c r="AK100">
        <v>4.3321269999999998</v>
      </c>
      <c r="AL100">
        <v>6.4548692299999999</v>
      </c>
      <c r="AM100">
        <v>2.1660635000000001E-2</v>
      </c>
      <c r="AN100">
        <v>1.4296019099999999</v>
      </c>
      <c r="AO100">
        <v>0.27725612799999999</v>
      </c>
      <c r="AP100" t="s">
        <v>11</v>
      </c>
      <c r="AQ100" t="s">
        <v>12</v>
      </c>
      <c r="AR100">
        <v>0.43321300000000001</v>
      </c>
      <c r="AS100">
        <v>0</v>
      </c>
      <c r="AT100">
        <v>0</v>
      </c>
      <c r="AU100">
        <v>0</v>
      </c>
      <c r="AV100">
        <v>0</v>
      </c>
      <c r="AW100" t="s">
        <v>31</v>
      </c>
      <c r="AX100" t="s">
        <v>32</v>
      </c>
      <c r="AY100">
        <v>19.650181</v>
      </c>
      <c r="AZ100">
        <v>5.69855249</v>
      </c>
      <c r="BA100">
        <v>3.9300361999999998E-2</v>
      </c>
      <c r="BB100">
        <v>1.296911946</v>
      </c>
      <c r="BC100">
        <v>0.294752715</v>
      </c>
      <c r="BD100" t="s">
        <v>170</v>
      </c>
      <c r="BF100">
        <v>1.7328509999999999</v>
      </c>
      <c r="BG100">
        <v>15.359991264</v>
      </c>
      <c r="BH100">
        <v>1.7328509999999999</v>
      </c>
      <c r="BI100">
        <v>0</v>
      </c>
      <c r="BJ100">
        <v>0</v>
      </c>
    </row>
    <row r="101" spans="1:97" x14ac:dyDescent="0.35">
      <c r="A101" t="s">
        <v>338</v>
      </c>
      <c r="B101" s="2">
        <f t="shared" si="5"/>
        <v>292.75232855999997</v>
      </c>
      <c r="C101" s="2">
        <f t="shared" si="6"/>
        <v>336.99999200000002</v>
      </c>
      <c r="D101" s="2">
        <f t="shared" si="7"/>
        <v>12.597999984000001</v>
      </c>
      <c r="E101" s="2">
        <f t="shared" si="8"/>
        <v>6.7801667680000008</v>
      </c>
      <c r="F101" s="2">
        <f t="shared" si="9"/>
        <v>33.641165640000004</v>
      </c>
      <c r="G101" t="s">
        <v>43</v>
      </c>
      <c r="H101" t="s">
        <v>44</v>
      </c>
      <c r="I101">
        <v>44</v>
      </c>
      <c r="J101">
        <v>151.624</v>
      </c>
      <c r="K101">
        <v>12.012</v>
      </c>
      <c r="L101">
        <v>1.8480000000000001</v>
      </c>
      <c r="M101">
        <v>8.4920000000000009</v>
      </c>
      <c r="N101" t="s">
        <v>29</v>
      </c>
      <c r="O101" t="s">
        <v>30</v>
      </c>
      <c r="P101">
        <v>244.16665599999999</v>
      </c>
      <c r="Q101">
        <v>126.96666112</v>
      </c>
      <c r="R101">
        <v>0.48833331200000002</v>
      </c>
      <c r="S101">
        <v>1.7091665920000001</v>
      </c>
      <c r="T101">
        <v>24.416665600000002</v>
      </c>
      <c r="U101" t="s">
        <v>31</v>
      </c>
      <c r="V101" t="s">
        <v>32</v>
      </c>
      <c r="W101">
        <v>48.833336000000003</v>
      </c>
      <c r="X101">
        <v>14.16166744</v>
      </c>
      <c r="Y101">
        <v>9.7666671999999996E-2</v>
      </c>
      <c r="Z101">
        <v>3.2230001760000002</v>
      </c>
      <c r="AA101">
        <v>0.73250004000000002</v>
      </c>
    </row>
    <row r="102" spans="1:97" x14ac:dyDescent="0.35">
      <c r="A102" t="s">
        <v>339</v>
      </c>
      <c r="B102" s="2">
        <f t="shared" si="5"/>
        <v>271.54506211</v>
      </c>
      <c r="C102" s="2">
        <f t="shared" si="6"/>
        <v>245.00000400000002</v>
      </c>
      <c r="D102" s="2">
        <f t="shared" si="7"/>
        <v>11.696334835</v>
      </c>
      <c r="E102" s="2">
        <f t="shared" si="8"/>
        <v>16.404816046000001</v>
      </c>
      <c r="F102" s="2">
        <f t="shared" si="9"/>
        <v>25.867653339</v>
      </c>
      <c r="G102" t="s">
        <v>102</v>
      </c>
      <c r="H102" t="s">
        <v>103</v>
      </c>
      <c r="I102">
        <v>61.549422999999997</v>
      </c>
      <c r="J102">
        <v>101.55654795</v>
      </c>
      <c r="K102">
        <v>2.2157792280000002</v>
      </c>
      <c r="L102">
        <v>0</v>
      </c>
      <c r="M102">
        <v>19.080321130000002</v>
      </c>
      <c r="N102" t="s">
        <v>133</v>
      </c>
      <c r="O102" t="s">
        <v>134</v>
      </c>
      <c r="P102">
        <v>73</v>
      </c>
      <c r="Q102">
        <v>7.3</v>
      </c>
      <c r="R102">
        <v>0</v>
      </c>
      <c r="S102">
        <v>1.46</v>
      </c>
      <c r="T102">
        <v>0.73</v>
      </c>
      <c r="U102" t="s">
        <v>1</v>
      </c>
      <c r="V102" t="s">
        <v>2</v>
      </c>
      <c r="W102">
        <v>7.6936780000000002</v>
      </c>
      <c r="X102">
        <v>2.61585052</v>
      </c>
      <c r="Y102">
        <v>5.3855746000000003E-2</v>
      </c>
      <c r="Z102">
        <v>0.52317010399999997</v>
      </c>
      <c r="AA102">
        <v>5.3855746000000003E-2</v>
      </c>
      <c r="AB102" t="s">
        <v>104</v>
      </c>
      <c r="AC102" t="s">
        <v>105</v>
      </c>
      <c r="AD102">
        <v>7.6936780000000002</v>
      </c>
      <c r="AE102">
        <v>3.0774712000000002</v>
      </c>
      <c r="AF102">
        <v>1.5387356E-2</v>
      </c>
      <c r="AG102">
        <v>0.69243102000000001</v>
      </c>
      <c r="AH102">
        <v>0.15387355999999999</v>
      </c>
      <c r="AI102" t="s">
        <v>106</v>
      </c>
      <c r="AJ102" t="s">
        <v>107</v>
      </c>
      <c r="AK102">
        <v>3.0774710000000001</v>
      </c>
      <c r="AL102">
        <v>0.70781833000000005</v>
      </c>
      <c r="AM102">
        <v>1.2309884E-2</v>
      </c>
      <c r="AN102">
        <v>0.11078895599999999</v>
      </c>
      <c r="AO102">
        <v>8.9246659000000006E-2</v>
      </c>
      <c r="AP102" t="s">
        <v>89</v>
      </c>
      <c r="AQ102" t="s">
        <v>90</v>
      </c>
      <c r="AR102">
        <v>3.0774710000000001</v>
      </c>
      <c r="AS102">
        <v>1.2309884</v>
      </c>
      <c r="AT102">
        <v>3.077471E-3</v>
      </c>
      <c r="AU102">
        <v>0.27697239000000001</v>
      </c>
      <c r="AV102">
        <v>3.3852181000000002E-2</v>
      </c>
      <c r="AW102" t="s">
        <v>71</v>
      </c>
      <c r="AX102" t="s">
        <v>72</v>
      </c>
      <c r="AY102">
        <v>1.5387360000000001</v>
      </c>
      <c r="AZ102">
        <v>2.2927166400000001</v>
      </c>
      <c r="BA102">
        <v>7.6936799999999996E-3</v>
      </c>
      <c r="BB102">
        <v>0.50778288000000005</v>
      </c>
      <c r="BC102">
        <v>9.8479103999999998E-2</v>
      </c>
      <c r="BD102" t="s">
        <v>7</v>
      </c>
      <c r="BE102" t="s">
        <v>8</v>
      </c>
      <c r="BF102">
        <v>3.0774710000000001</v>
      </c>
      <c r="BG102">
        <v>27.20484364</v>
      </c>
      <c r="BH102">
        <v>3.0774710000000001</v>
      </c>
      <c r="BI102">
        <v>0</v>
      </c>
      <c r="BJ102">
        <v>0</v>
      </c>
      <c r="BK102" t="s">
        <v>11</v>
      </c>
      <c r="BL102" t="s">
        <v>12</v>
      </c>
      <c r="BM102">
        <v>1.5387360000000001</v>
      </c>
      <c r="BN102">
        <v>0</v>
      </c>
      <c r="BO102">
        <v>0</v>
      </c>
      <c r="BP102">
        <v>0</v>
      </c>
      <c r="BQ102">
        <v>0</v>
      </c>
      <c r="BR102" t="s">
        <v>108</v>
      </c>
      <c r="BS102" t="s">
        <v>109</v>
      </c>
      <c r="BT102">
        <v>0.28851300000000002</v>
      </c>
      <c r="BU102">
        <v>0.1154052</v>
      </c>
      <c r="BV102">
        <v>5.7702600000000001E-4</v>
      </c>
      <c r="BW102">
        <v>2.6831708999999999E-2</v>
      </c>
      <c r="BX102">
        <v>5.7702600000000001E-3</v>
      </c>
      <c r="BY102" t="s">
        <v>18</v>
      </c>
      <c r="BZ102" t="s">
        <v>19</v>
      </c>
      <c r="CA102">
        <v>64</v>
      </c>
      <c r="CB102">
        <v>106.24</v>
      </c>
      <c r="CC102">
        <v>6.1440000000000001</v>
      </c>
      <c r="CD102">
        <v>8.9600000000000009</v>
      </c>
      <c r="CE102">
        <v>5.056</v>
      </c>
      <c r="CF102" t="s">
        <v>36</v>
      </c>
      <c r="CG102" t="s">
        <v>37</v>
      </c>
      <c r="CH102">
        <v>3.0774710000000001</v>
      </c>
      <c r="CI102">
        <v>0.89246658999999995</v>
      </c>
      <c r="CJ102">
        <v>1.2309884E-2</v>
      </c>
      <c r="CK102">
        <v>0.200035615</v>
      </c>
      <c r="CL102">
        <v>2.7697238999999998E-2</v>
      </c>
      <c r="CM102" t="s">
        <v>110</v>
      </c>
      <c r="CN102" t="s">
        <v>111</v>
      </c>
      <c r="CO102">
        <v>15.387356</v>
      </c>
      <c r="CP102">
        <v>18.310953640000001</v>
      </c>
      <c r="CQ102">
        <v>0.15387355999999999</v>
      </c>
      <c r="CR102">
        <v>3.6468033719999999</v>
      </c>
      <c r="CS102">
        <v>0.53855746000000004</v>
      </c>
    </row>
    <row r="103" spans="1:97" x14ac:dyDescent="0.35">
      <c r="A103" t="s">
        <v>340</v>
      </c>
      <c r="B103" s="2">
        <f t="shared" si="5"/>
        <v>485.530756333</v>
      </c>
      <c r="C103" s="2">
        <f t="shared" si="6"/>
        <v>344.000001</v>
      </c>
      <c r="D103" s="2">
        <f t="shared" si="7"/>
        <v>18.661333372999998</v>
      </c>
      <c r="E103" s="2">
        <f t="shared" si="8"/>
        <v>30.395485841999999</v>
      </c>
      <c r="F103" s="2">
        <f t="shared" si="9"/>
        <v>47.028679088000011</v>
      </c>
      <c r="G103" t="s">
        <v>295</v>
      </c>
      <c r="H103" t="s">
        <v>296</v>
      </c>
      <c r="I103">
        <v>130</v>
      </c>
      <c r="J103">
        <v>245.7</v>
      </c>
      <c r="K103">
        <v>9.1</v>
      </c>
      <c r="L103">
        <v>0.13</v>
      </c>
      <c r="M103">
        <v>37.700000000000003</v>
      </c>
      <c r="N103" t="s">
        <v>198</v>
      </c>
      <c r="O103" t="s">
        <v>199</v>
      </c>
      <c r="P103">
        <v>97.390754999999999</v>
      </c>
      <c r="Q103">
        <v>19.965104775</v>
      </c>
      <c r="R103">
        <v>0.29217226499999999</v>
      </c>
      <c r="S103">
        <v>3.3112856700000002</v>
      </c>
      <c r="T103">
        <v>0.87651679500000002</v>
      </c>
      <c r="U103" t="s">
        <v>133</v>
      </c>
      <c r="V103" t="s">
        <v>134</v>
      </c>
      <c r="W103">
        <v>20</v>
      </c>
      <c r="X103">
        <v>2</v>
      </c>
      <c r="Y103">
        <v>0</v>
      </c>
      <c r="Z103">
        <v>0.4</v>
      </c>
      <c r="AA103">
        <v>0.2</v>
      </c>
      <c r="AB103" t="s">
        <v>7</v>
      </c>
      <c r="AC103" t="s">
        <v>8</v>
      </c>
      <c r="AD103">
        <v>1.826077</v>
      </c>
      <c r="AE103">
        <v>16.142520680000001</v>
      </c>
      <c r="AF103">
        <v>1.826077</v>
      </c>
      <c r="AG103">
        <v>0</v>
      </c>
      <c r="AH103">
        <v>0</v>
      </c>
      <c r="AI103" t="s">
        <v>200</v>
      </c>
      <c r="AJ103" t="s">
        <v>201</v>
      </c>
      <c r="AK103">
        <v>2.5550489999999999</v>
      </c>
      <c r="AL103">
        <v>14.262283518</v>
      </c>
      <c r="AM103">
        <v>1.2570841079999999</v>
      </c>
      <c r="AN103">
        <v>0.27594529200000001</v>
      </c>
      <c r="AO103">
        <v>0.78951014100000005</v>
      </c>
      <c r="AP103" t="s">
        <v>341</v>
      </c>
      <c r="AQ103" t="s">
        <v>342</v>
      </c>
      <c r="AR103">
        <v>30</v>
      </c>
      <c r="AS103">
        <v>82.5</v>
      </c>
      <c r="AT103">
        <v>0.33</v>
      </c>
      <c r="AU103">
        <v>16.739999999999998</v>
      </c>
      <c r="AV103">
        <v>2.64</v>
      </c>
      <c r="AW103" t="s">
        <v>11</v>
      </c>
      <c r="AX103" t="s">
        <v>12</v>
      </c>
      <c r="AY103">
        <v>1.0736000000000001E-2</v>
      </c>
      <c r="AZ103">
        <v>0</v>
      </c>
      <c r="BA103">
        <v>0</v>
      </c>
      <c r="BB103">
        <v>0</v>
      </c>
      <c r="BC103">
        <v>0</v>
      </c>
      <c r="BD103" t="s">
        <v>202</v>
      </c>
      <c r="BE103" t="s">
        <v>203</v>
      </c>
      <c r="BF103">
        <v>1.217384</v>
      </c>
      <c r="BG103">
        <v>3.70084736</v>
      </c>
      <c r="BH103">
        <v>0</v>
      </c>
      <c r="BI103">
        <v>0.99825487999999996</v>
      </c>
      <c r="BJ103">
        <v>3.6521520000000001E-3</v>
      </c>
      <c r="BK103" t="s">
        <v>18</v>
      </c>
      <c r="BL103" t="s">
        <v>19</v>
      </c>
      <c r="BM103">
        <v>61</v>
      </c>
      <c r="BN103">
        <v>101.26</v>
      </c>
      <c r="BO103">
        <v>5.8559999999999999</v>
      </c>
      <c r="BP103">
        <v>8.5399999999999991</v>
      </c>
      <c r="BQ103">
        <v>4.819</v>
      </c>
    </row>
    <row r="104" spans="1:97" x14ac:dyDescent="0.35">
      <c r="A104" t="s">
        <v>343</v>
      </c>
      <c r="B104" s="2">
        <f t="shared" si="5"/>
        <v>161.32766047800001</v>
      </c>
      <c r="C104" s="2">
        <f t="shared" si="6"/>
        <v>90.999997999999991</v>
      </c>
      <c r="D104" s="2">
        <f t="shared" si="7"/>
        <v>2.0518662459999999</v>
      </c>
      <c r="E104" s="2">
        <f t="shared" si="8"/>
        <v>30.605438927999998</v>
      </c>
      <c r="F104" s="2">
        <f t="shared" si="9"/>
        <v>4.9716532930000001</v>
      </c>
      <c r="G104" t="s">
        <v>34</v>
      </c>
      <c r="H104" t="s">
        <v>35</v>
      </c>
      <c r="I104">
        <v>26.554099999999998</v>
      </c>
      <c r="J104">
        <v>6.6385249999999996</v>
      </c>
      <c r="K104">
        <v>7.9662300000000005E-2</v>
      </c>
      <c r="L104">
        <v>1.3277049999999999</v>
      </c>
      <c r="M104">
        <v>0.4779738</v>
      </c>
      <c r="N104" t="s">
        <v>328</v>
      </c>
      <c r="O104" t="s">
        <v>329</v>
      </c>
      <c r="P104">
        <v>4.5391620000000001</v>
      </c>
      <c r="Q104">
        <v>0.49930782000000001</v>
      </c>
      <c r="R104">
        <v>9.0783240000000005E-3</v>
      </c>
      <c r="S104">
        <v>0.104400726</v>
      </c>
      <c r="T104">
        <v>1.3617486E-2</v>
      </c>
      <c r="U104" t="s">
        <v>237</v>
      </c>
      <c r="V104" t="s">
        <v>238</v>
      </c>
      <c r="W104">
        <v>9.0783240000000003</v>
      </c>
      <c r="X104">
        <v>13.826287452000001</v>
      </c>
      <c r="Y104">
        <v>0.88059742799999996</v>
      </c>
      <c r="Z104">
        <v>1.3435919519999999</v>
      </c>
      <c r="AA104">
        <v>9.0783240000000001E-2</v>
      </c>
      <c r="AB104" t="s">
        <v>330</v>
      </c>
      <c r="AC104" t="s">
        <v>331</v>
      </c>
      <c r="AD104">
        <v>2.2695810000000001</v>
      </c>
      <c r="AE104">
        <v>3.9036793200000002</v>
      </c>
      <c r="AF104">
        <v>1.3617486E-2</v>
      </c>
      <c r="AG104">
        <v>0.93052820999999997</v>
      </c>
      <c r="AH104">
        <v>1.8156648000000001E-2</v>
      </c>
      <c r="AI104" t="s">
        <v>11</v>
      </c>
      <c r="AJ104" t="s">
        <v>12</v>
      </c>
      <c r="AK104">
        <v>3.2023000000000003E-2</v>
      </c>
      <c r="AL104">
        <v>0</v>
      </c>
      <c r="AM104">
        <v>0</v>
      </c>
      <c r="AN104">
        <v>0</v>
      </c>
      <c r="AO104">
        <v>0</v>
      </c>
      <c r="AP104" t="s">
        <v>243</v>
      </c>
      <c r="AQ104" t="s">
        <v>244</v>
      </c>
      <c r="AR104">
        <v>48.034309</v>
      </c>
      <c r="AS104">
        <v>132.09434974999999</v>
      </c>
      <c r="AT104">
        <v>0.57641170799999997</v>
      </c>
      <c r="AU104">
        <v>26.899213039999999</v>
      </c>
      <c r="AV104">
        <v>4.3711221189999998</v>
      </c>
      <c r="AW104" t="s">
        <v>170</v>
      </c>
      <c r="AY104">
        <v>0.49249900000000002</v>
      </c>
      <c r="AZ104">
        <v>4.3655111360000003</v>
      </c>
      <c r="BA104">
        <v>0.49249900000000002</v>
      </c>
      <c r="BB104">
        <v>0</v>
      </c>
      <c r="BC104">
        <v>0</v>
      </c>
    </row>
    <row r="105" spans="1:97" x14ac:dyDescent="0.35">
      <c r="A105" t="s">
        <v>344</v>
      </c>
      <c r="B105" s="2">
        <f t="shared" si="5"/>
        <v>381.69665916000002</v>
      </c>
      <c r="C105" s="2">
        <f t="shared" si="6"/>
        <v>287.99999600000001</v>
      </c>
      <c r="D105" s="2">
        <f t="shared" si="7"/>
        <v>24.143999416</v>
      </c>
      <c r="E105" s="2">
        <f t="shared" si="8"/>
        <v>22.263333335999999</v>
      </c>
      <c r="F105" s="2">
        <f t="shared" si="9"/>
        <v>18.36633282</v>
      </c>
      <c r="G105" t="s">
        <v>24</v>
      </c>
      <c r="H105" t="s">
        <v>25</v>
      </c>
      <c r="I105">
        <v>158.33332799999999</v>
      </c>
      <c r="J105">
        <v>234.33332544000001</v>
      </c>
      <c r="K105">
        <v>17.416666079999999</v>
      </c>
      <c r="L105">
        <v>2.5333332479999999</v>
      </c>
      <c r="M105">
        <v>15.833332800000001</v>
      </c>
      <c r="N105" t="s">
        <v>21</v>
      </c>
      <c r="O105" t="s">
        <v>22</v>
      </c>
      <c r="P105">
        <v>98</v>
      </c>
      <c r="Q105">
        <v>138.18</v>
      </c>
      <c r="R105">
        <v>6.6639999999999997</v>
      </c>
      <c r="S105">
        <v>17.64</v>
      </c>
      <c r="T105">
        <v>2.0579999999999998</v>
      </c>
      <c r="U105" t="s">
        <v>31</v>
      </c>
      <c r="V105" t="s">
        <v>32</v>
      </c>
      <c r="W105">
        <v>31.666668000000001</v>
      </c>
      <c r="X105">
        <v>9.1833337200000003</v>
      </c>
      <c r="Y105">
        <v>6.3333336000000004E-2</v>
      </c>
      <c r="Z105">
        <v>2.090000088</v>
      </c>
      <c r="AA105">
        <v>0.47500002000000002</v>
      </c>
    </row>
    <row r="106" spans="1:97" x14ac:dyDescent="0.35">
      <c r="A106" t="s">
        <v>345</v>
      </c>
      <c r="B106" s="2">
        <f t="shared" si="5"/>
        <v>108.01073502</v>
      </c>
      <c r="C106" s="2">
        <f t="shared" si="6"/>
        <v>107.00000099999998</v>
      </c>
      <c r="D106" s="2">
        <f t="shared" si="7"/>
        <v>10.210233945999999</v>
      </c>
      <c r="E106" s="2">
        <f t="shared" si="8"/>
        <v>3.9558804239999996</v>
      </c>
      <c r="F106" s="2">
        <f t="shared" si="9"/>
        <v>1.4574460529999997</v>
      </c>
      <c r="G106" t="s">
        <v>346</v>
      </c>
      <c r="H106" t="s">
        <v>347</v>
      </c>
      <c r="I106">
        <v>37.434401999999999</v>
      </c>
      <c r="J106">
        <v>10.48163256</v>
      </c>
      <c r="K106">
        <v>0.14973760799999999</v>
      </c>
      <c r="L106">
        <v>1.9840233060000001</v>
      </c>
      <c r="M106">
        <v>0.82355684399999995</v>
      </c>
      <c r="N106" t="s">
        <v>348</v>
      </c>
      <c r="O106" t="s">
        <v>349</v>
      </c>
      <c r="P106">
        <v>24.956268000000001</v>
      </c>
      <c r="Q106">
        <v>3.7434402000000002</v>
      </c>
      <c r="R106">
        <v>4.9912536E-2</v>
      </c>
      <c r="S106">
        <v>0.72373177200000005</v>
      </c>
      <c r="T106">
        <v>0.349387752</v>
      </c>
      <c r="U106" t="s">
        <v>133</v>
      </c>
      <c r="V106" t="s">
        <v>134</v>
      </c>
      <c r="W106">
        <v>12.478134000000001</v>
      </c>
      <c r="X106">
        <v>1.2478134000000001</v>
      </c>
      <c r="Y106">
        <v>0</v>
      </c>
      <c r="Z106">
        <v>0.24956268000000001</v>
      </c>
      <c r="AA106">
        <v>0.12478134</v>
      </c>
      <c r="AB106" t="s">
        <v>89</v>
      </c>
      <c r="AC106" t="s">
        <v>90</v>
      </c>
      <c r="AD106">
        <v>4.9912539999999996</v>
      </c>
      <c r="AE106">
        <v>1.9965016</v>
      </c>
      <c r="AF106">
        <v>4.9912539999999997E-3</v>
      </c>
      <c r="AG106">
        <v>0.44921285999999999</v>
      </c>
      <c r="AH106">
        <v>5.4903793999999999E-2</v>
      </c>
      <c r="AI106" t="s">
        <v>7</v>
      </c>
      <c r="AJ106" t="s">
        <v>8</v>
      </c>
      <c r="AK106">
        <v>9.9825079999999993</v>
      </c>
      <c r="AL106">
        <v>88.245370719999997</v>
      </c>
      <c r="AM106">
        <v>9.9825079999999993</v>
      </c>
      <c r="AN106">
        <v>0</v>
      </c>
      <c r="AO106">
        <v>0</v>
      </c>
      <c r="AP106" t="s">
        <v>141</v>
      </c>
      <c r="AQ106" t="s">
        <v>142</v>
      </c>
      <c r="AR106">
        <v>4.9912539999999996</v>
      </c>
      <c r="AS106">
        <v>0</v>
      </c>
      <c r="AT106">
        <v>0</v>
      </c>
      <c r="AU106">
        <v>0</v>
      </c>
      <c r="AV106">
        <v>0</v>
      </c>
      <c r="AW106" t="s">
        <v>11</v>
      </c>
      <c r="AX106" t="s">
        <v>12</v>
      </c>
      <c r="AY106">
        <v>0.62390699999999999</v>
      </c>
      <c r="AZ106">
        <v>0</v>
      </c>
      <c r="BA106">
        <v>0</v>
      </c>
      <c r="BB106">
        <v>0</v>
      </c>
      <c r="BC106">
        <v>0</v>
      </c>
      <c r="BD106" t="s">
        <v>108</v>
      </c>
      <c r="BE106" t="s">
        <v>109</v>
      </c>
      <c r="BF106">
        <v>0.31195299999999998</v>
      </c>
      <c r="BG106">
        <v>0.12478119999999999</v>
      </c>
      <c r="BH106">
        <v>6.2390600000000003E-4</v>
      </c>
      <c r="BI106">
        <v>2.9011629000000001E-2</v>
      </c>
      <c r="BJ106">
        <v>6.2390600000000003E-3</v>
      </c>
      <c r="BK106" t="s">
        <v>205</v>
      </c>
      <c r="BL106" t="s">
        <v>206</v>
      </c>
      <c r="BM106">
        <v>1.2478130000000001</v>
      </c>
      <c r="BN106">
        <v>0.37434390000000001</v>
      </c>
      <c r="BO106">
        <v>2.4956259999999999E-3</v>
      </c>
      <c r="BP106">
        <v>0.131020365</v>
      </c>
      <c r="BQ106">
        <v>8.7346909999999993E-3</v>
      </c>
      <c r="BR106" t="s">
        <v>75</v>
      </c>
      <c r="BS106" t="s">
        <v>76</v>
      </c>
      <c r="BT106">
        <v>9.9825079999999993</v>
      </c>
      <c r="BU106">
        <v>1.79685144</v>
      </c>
      <c r="BV106">
        <v>1.9965015999999999E-2</v>
      </c>
      <c r="BW106">
        <v>0.38931781199999999</v>
      </c>
      <c r="BX106">
        <v>8.9842571999999996E-2</v>
      </c>
    </row>
    <row r="107" spans="1:97" x14ac:dyDescent="0.35">
      <c r="A107" t="s">
        <v>350</v>
      </c>
      <c r="B107" s="2">
        <f t="shared" si="5"/>
        <v>142.08711623299999</v>
      </c>
      <c r="C107" s="2">
        <f t="shared" si="6"/>
        <v>226.999999</v>
      </c>
      <c r="D107" s="2">
        <f t="shared" si="7"/>
        <v>3.435937826</v>
      </c>
      <c r="E107" s="2">
        <f t="shared" si="8"/>
        <v>25.457942197000001</v>
      </c>
      <c r="F107" s="2">
        <f t="shared" si="9"/>
        <v>4.6059285580000005</v>
      </c>
      <c r="G107" t="s">
        <v>7</v>
      </c>
      <c r="H107" t="s">
        <v>8</v>
      </c>
      <c r="I107">
        <v>2.005811</v>
      </c>
      <c r="J107">
        <v>17.731369239999999</v>
      </c>
      <c r="K107">
        <v>2.005811</v>
      </c>
      <c r="L107">
        <v>0</v>
      </c>
      <c r="M107">
        <v>0</v>
      </c>
      <c r="N107" t="s">
        <v>305</v>
      </c>
      <c r="O107" t="s">
        <v>306</v>
      </c>
      <c r="P107">
        <v>116</v>
      </c>
      <c r="Q107">
        <v>36.308</v>
      </c>
      <c r="R107">
        <v>0.69599999999999995</v>
      </c>
      <c r="S107">
        <v>6.1479999999999997</v>
      </c>
      <c r="T107">
        <v>3.48</v>
      </c>
      <c r="U107" t="s">
        <v>11</v>
      </c>
      <c r="V107" t="s">
        <v>12</v>
      </c>
      <c r="W107">
        <v>1.1792E-2</v>
      </c>
      <c r="X107">
        <v>0</v>
      </c>
      <c r="Y107">
        <v>0</v>
      </c>
      <c r="Z107">
        <v>0</v>
      </c>
      <c r="AA107">
        <v>0</v>
      </c>
      <c r="AB107" t="s">
        <v>164</v>
      </c>
      <c r="AC107" t="s">
        <v>165</v>
      </c>
      <c r="AD107">
        <v>2.005811</v>
      </c>
      <c r="AE107">
        <v>6.745542393</v>
      </c>
      <c r="AF107">
        <v>0.73412682600000001</v>
      </c>
      <c r="AG107">
        <v>5.4156897000000002E-2</v>
      </c>
      <c r="AH107">
        <v>5.6162707999999999E-2</v>
      </c>
      <c r="AI107" t="s">
        <v>262</v>
      </c>
      <c r="AJ107" t="s">
        <v>263</v>
      </c>
      <c r="AK107">
        <v>106.976585</v>
      </c>
      <c r="AL107">
        <v>81.302204599999996</v>
      </c>
      <c r="AM107">
        <v>0</v>
      </c>
      <c r="AN107">
        <v>19.255785299999999</v>
      </c>
      <c r="AO107">
        <v>1.06976585</v>
      </c>
    </row>
    <row r="108" spans="1:97" x14ac:dyDescent="0.35">
      <c r="A108" t="s">
        <v>351</v>
      </c>
      <c r="B108" s="2">
        <f t="shared" si="5"/>
        <v>132.67102500999999</v>
      </c>
      <c r="C108" s="2">
        <f t="shared" si="6"/>
        <v>108.99999899999999</v>
      </c>
      <c r="D108" s="2">
        <f t="shared" si="7"/>
        <v>7.4815199260000007</v>
      </c>
      <c r="E108" s="2">
        <f t="shared" si="8"/>
        <v>13.964015576</v>
      </c>
      <c r="F108" s="2">
        <f t="shared" si="9"/>
        <v>3.5085984360000002</v>
      </c>
      <c r="G108" t="s">
        <v>34</v>
      </c>
      <c r="H108" t="s">
        <v>35</v>
      </c>
      <c r="I108">
        <v>6.0078740000000002</v>
      </c>
      <c r="J108">
        <v>1.5019685</v>
      </c>
      <c r="K108">
        <v>1.8023622E-2</v>
      </c>
      <c r="L108">
        <v>0.30039369999999999</v>
      </c>
      <c r="M108">
        <v>0.108141732</v>
      </c>
      <c r="N108" t="s">
        <v>41</v>
      </c>
      <c r="O108" t="s">
        <v>42</v>
      </c>
      <c r="P108">
        <v>10.299212000000001</v>
      </c>
      <c r="Q108">
        <v>3.6047242000000002</v>
      </c>
      <c r="R108">
        <v>4.1196848000000001E-2</v>
      </c>
      <c r="S108">
        <v>0.72094484000000003</v>
      </c>
      <c r="T108">
        <v>0.24718108799999999</v>
      </c>
      <c r="U108" t="s">
        <v>3</v>
      </c>
      <c r="V108" t="s">
        <v>4</v>
      </c>
      <c r="W108">
        <v>13.732284</v>
      </c>
      <c r="X108">
        <v>21.971654399999998</v>
      </c>
      <c r="Y108">
        <v>2.0598426000000001</v>
      </c>
      <c r="Z108">
        <v>1.23590556</v>
      </c>
      <c r="AA108">
        <v>0.27464568</v>
      </c>
      <c r="AB108" t="s">
        <v>352</v>
      </c>
      <c r="AC108" t="s">
        <v>353</v>
      </c>
      <c r="AD108">
        <v>6.866142</v>
      </c>
      <c r="AE108">
        <v>3.3644095799999998</v>
      </c>
      <c r="AF108">
        <v>4.8062993999999998E-2</v>
      </c>
      <c r="AG108">
        <v>0.61795277999999998</v>
      </c>
      <c r="AH108">
        <v>0.22658268600000001</v>
      </c>
      <c r="AI108" t="s">
        <v>354</v>
      </c>
      <c r="AJ108" t="s">
        <v>355</v>
      </c>
      <c r="AK108">
        <v>12.015748</v>
      </c>
      <c r="AL108">
        <v>17.122440900000001</v>
      </c>
      <c r="AM108">
        <v>1.105448816</v>
      </c>
      <c r="AN108">
        <v>9.6125983999999998E-2</v>
      </c>
      <c r="AO108">
        <v>1.5019685</v>
      </c>
      <c r="AP108" t="s">
        <v>356</v>
      </c>
      <c r="AQ108" t="s">
        <v>357</v>
      </c>
      <c r="AR108">
        <v>6.866142</v>
      </c>
      <c r="AS108">
        <v>31.961891009999999</v>
      </c>
      <c r="AT108">
        <v>3.5566615559999999</v>
      </c>
      <c r="AU108">
        <v>0.17851969200000001</v>
      </c>
      <c r="AV108">
        <v>0</v>
      </c>
      <c r="AW108" t="s">
        <v>262</v>
      </c>
      <c r="AX108" t="s">
        <v>263</v>
      </c>
      <c r="AY108">
        <v>49.779525999999997</v>
      </c>
      <c r="AZ108">
        <v>37.83243976</v>
      </c>
      <c r="BA108">
        <v>0</v>
      </c>
      <c r="BB108">
        <v>8.9603146799999998</v>
      </c>
      <c r="BC108">
        <v>0.49779526000000002</v>
      </c>
      <c r="BD108" t="s">
        <v>15</v>
      </c>
      <c r="BE108" t="s">
        <v>16</v>
      </c>
      <c r="BF108">
        <v>3.433071</v>
      </c>
      <c r="BG108">
        <v>15.31149666</v>
      </c>
      <c r="BH108">
        <v>0.65228348999999997</v>
      </c>
      <c r="BI108">
        <v>1.8538583399999999</v>
      </c>
      <c r="BJ108">
        <v>0.65228348999999997</v>
      </c>
    </row>
    <row r="109" spans="1:97" x14ac:dyDescent="0.35">
      <c r="A109" t="s">
        <v>358</v>
      </c>
      <c r="B109" s="2">
        <f t="shared" si="5"/>
        <v>366.22228010600003</v>
      </c>
      <c r="C109" s="2">
        <f t="shared" si="6"/>
        <v>189.00000300000002</v>
      </c>
      <c r="D109" s="2">
        <f t="shared" si="7"/>
        <v>20.577157181</v>
      </c>
      <c r="E109" s="2">
        <f t="shared" si="8"/>
        <v>15.886876790000001</v>
      </c>
      <c r="F109" s="2">
        <f t="shared" si="9"/>
        <v>28.296858631999999</v>
      </c>
      <c r="G109" t="s">
        <v>120</v>
      </c>
      <c r="H109" t="s">
        <v>121</v>
      </c>
      <c r="I109">
        <v>1.594204</v>
      </c>
      <c r="J109">
        <v>0.25507264000000002</v>
      </c>
      <c r="K109">
        <v>3.1884080000000002E-3</v>
      </c>
      <c r="L109">
        <v>5.4202936E-2</v>
      </c>
      <c r="M109">
        <v>1.1159428000000001E-2</v>
      </c>
      <c r="N109" t="s">
        <v>135</v>
      </c>
      <c r="O109" t="s">
        <v>136</v>
      </c>
      <c r="P109">
        <v>1.594204</v>
      </c>
      <c r="Q109">
        <v>0.65362363999999995</v>
      </c>
      <c r="R109">
        <v>3.1884080000000002E-3</v>
      </c>
      <c r="S109">
        <v>0.15942039999999999</v>
      </c>
      <c r="T109">
        <v>1.4347835999999999E-2</v>
      </c>
      <c r="U109" t="s">
        <v>89</v>
      </c>
      <c r="V109" t="s">
        <v>90</v>
      </c>
      <c r="W109">
        <v>10.502089</v>
      </c>
      <c r="X109">
        <v>4.2008355999999996</v>
      </c>
      <c r="Y109">
        <v>1.0502088999999999E-2</v>
      </c>
      <c r="Z109">
        <v>0.94518800999999997</v>
      </c>
      <c r="AA109">
        <v>0.115522979</v>
      </c>
      <c r="AB109" t="s">
        <v>139</v>
      </c>
      <c r="AC109" t="s">
        <v>140</v>
      </c>
      <c r="AD109">
        <v>12.753629999999999</v>
      </c>
      <c r="AE109">
        <v>5.8921770599999999</v>
      </c>
      <c r="AF109">
        <v>1.275363E-2</v>
      </c>
      <c r="AG109">
        <v>1.44116019</v>
      </c>
      <c r="AH109">
        <v>1.275363E-2</v>
      </c>
      <c r="AI109" t="s">
        <v>7</v>
      </c>
      <c r="AJ109" t="s">
        <v>8</v>
      </c>
      <c r="AK109">
        <v>4.4539419999999996</v>
      </c>
      <c r="AL109">
        <v>39.372847280000002</v>
      </c>
      <c r="AM109">
        <v>4.4539419999999996</v>
      </c>
      <c r="AN109">
        <v>0</v>
      </c>
      <c r="AO109">
        <v>0</v>
      </c>
      <c r="AP109" t="s">
        <v>141</v>
      </c>
      <c r="AQ109" t="s">
        <v>142</v>
      </c>
      <c r="AR109">
        <v>0.80806199999999995</v>
      </c>
      <c r="AS109">
        <v>0</v>
      </c>
      <c r="AT109">
        <v>0</v>
      </c>
      <c r="AU109">
        <v>0</v>
      </c>
      <c r="AV109">
        <v>0</v>
      </c>
      <c r="AW109" t="s">
        <v>51</v>
      </c>
      <c r="AX109" t="s">
        <v>52</v>
      </c>
      <c r="AY109">
        <v>17.815769</v>
      </c>
      <c r="AZ109">
        <v>49.456574744000001</v>
      </c>
      <c r="BA109">
        <v>3.0464964989999999</v>
      </c>
      <c r="BB109">
        <v>0.57010460799999996</v>
      </c>
      <c r="BC109">
        <v>4.9884153199999997</v>
      </c>
      <c r="BD109" t="s">
        <v>143</v>
      </c>
      <c r="BE109" t="s">
        <v>144</v>
      </c>
      <c r="BF109">
        <v>4.8822489999999998</v>
      </c>
      <c r="BG109">
        <v>12.889137359999999</v>
      </c>
      <c r="BH109">
        <v>0.71769060299999998</v>
      </c>
      <c r="BI109">
        <v>0.90321606499999996</v>
      </c>
      <c r="BJ109">
        <v>0.80557108499999996</v>
      </c>
      <c r="BK109" t="s">
        <v>11</v>
      </c>
      <c r="BL109" t="s">
        <v>12</v>
      </c>
      <c r="BM109">
        <v>0.141817</v>
      </c>
      <c r="BN109">
        <v>0</v>
      </c>
      <c r="BO109">
        <v>0</v>
      </c>
      <c r="BP109">
        <v>0</v>
      </c>
      <c r="BQ109">
        <v>0</v>
      </c>
      <c r="BR109" t="s">
        <v>91</v>
      </c>
      <c r="BS109" t="s">
        <v>92</v>
      </c>
      <c r="BT109">
        <v>17.815769</v>
      </c>
      <c r="BU109">
        <v>4.4183107120000003</v>
      </c>
      <c r="BV109">
        <v>3.5631537999999997E-2</v>
      </c>
      <c r="BW109">
        <v>1.051130371</v>
      </c>
      <c r="BX109">
        <v>0.17815769000000001</v>
      </c>
      <c r="BY109" t="s">
        <v>145</v>
      </c>
      <c r="BZ109" t="s">
        <v>146</v>
      </c>
      <c r="CA109">
        <v>79.710189999999997</v>
      </c>
      <c r="CB109">
        <v>189.71025220000001</v>
      </c>
      <c r="CC109">
        <v>11.1594266</v>
      </c>
      <c r="CD109">
        <v>0</v>
      </c>
      <c r="CE109">
        <v>20.724649400000001</v>
      </c>
      <c r="CF109" t="s">
        <v>59</v>
      </c>
      <c r="CH109">
        <v>23.56625</v>
      </c>
      <c r="CI109">
        <v>55.498518750000002</v>
      </c>
      <c r="CJ109">
        <v>1.1076137500000001</v>
      </c>
      <c r="CK109">
        <v>9.8271262499999992</v>
      </c>
      <c r="CL109">
        <v>1.2725774999999999</v>
      </c>
      <c r="CM109" t="s">
        <v>60</v>
      </c>
      <c r="CO109">
        <v>13.361827999999999</v>
      </c>
      <c r="CP109">
        <v>3.8749301200000001</v>
      </c>
      <c r="CQ109">
        <v>2.6723655999999998E-2</v>
      </c>
      <c r="CR109">
        <v>0.93532795999999996</v>
      </c>
      <c r="CS109">
        <v>0.17370376400000001</v>
      </c>
    </row>
    <row r="110" spans="1:97" x14ac:dyDescent="0.35">
      <c r="A110" t="s">
        <v>359</v>
      </c>
      <c r="B110" s="2">
        <f t="shared" si="5"/>
        <v>126.06652084</v>
      </c>
      <c r="C110" s="2">
        <f t="shared" si="6"/>
        <v>85.000004000000004</v>
      </c>
      <c r="D110" s="2">
        <f t="shared" si="7"/>
        <v>5.8799894379999991</v>
      </c>
      <c r="E110" s="2">
        <f t="shared" si="8"/>
        <v>10.652785483999999</v>
      </c>
      <c r="F110" s="2">
        <f t="shared" si="9"/>
        <v>8.1179572279999999</v>
      </c>
      <c r="G110" t="s">
        <v>216</v>
      </c>
      <c r="H110" t="s">
        <v>217</v>
      </c>
      <c r="I110">
        <v>17.548387999999999</v>
      </c>
      <c r="J110">
        <v>19.478710679999999</v>
      </c>
      <c r="K110">
        <v>0.15793549200000001</v>
      </c>
      <c r="L110">
        <v>4.0361292400000002</v>
      </c>
      <c r="M110">
        <v>0.45625808800000001</v>
      </c>
      <c r="N110" t="s">
        <v>1</v>
      </c>
      <c r="O110" t="s">
        <v>2</v>
      </c>
      <c r="P110">
        <v>8.7741939999999996</v>
      </c>
      <c r="Q110">
        <v>2.98322596</v>
      </c>
      <c r="R110">
        <v>6.1419358E-2</v>
      </c>
      <c r="S110">
        <v>0.59664519199999999</v>
      </c>
      <c r="T110">
        <v>6.1419358E-2</v>
      </c>
      <c r="U110" t="s">
        <v>3</v>
      </c>
      <c r="V110" t="s">
        <v>4</v>
      </c>
      <c r="W110">
        <v>8.7741939999999996</v>
      </c>
      <c r="X110">
        <v>14.038710399999999</v>
      </c>
      <c r="Y110">
        <v>1.3161290999999999</v>
      </c>
      <c r="Z110">
        <v>0.78967746000000005</v>
      </c>
      <c r="AA110">
        <v>0.17548388000000001</v>
      </c>
      <c r="AB110" t="s">
        <v>89</v>
      </c>
      <c r="AC110" t="s">
        <v>90</v>
      </c>
      <c r="AD110">
        <v>8.7741939999999996</v>
      </c>
      <c r="AE110">
        <v>3.5096775999999998</v>
      </c>
      <c r="AF110">
        <v>8.7741940000000008E-3</v>
      </c>
      <c r="AG110">
        <v>0.78967746000000005</v>
      </c>
      <c r="AH110">
        <v>9.6516134000000003E-2</v>
      </c>
      <c r="AI110" t="s">
        <v>51</v>
      </c>
      <c r="AJ110" t="s">
        <v>52</v>
      </c>
      <c r="AK110">
        <v>23.397849999999998</v>
      </c>
      <c r="AL110">
        <v>64.952431599999997</v>
      </c>
      <c r="AM110">
        <v>4.00103235</v>
      </c>
      <c r="AN110">
        <v>0.74873120000000004</v>
      </c>
      <c r="AO110">
        <v>6.5513979999999998</v>
      </c>
      <c r="AP110" t="s">
        <v>360</v>
      </c>
      <c r="AQ110" t="s">
        <v>361</v>
      </c>
      <c r="AR110">
        <v>17.548387999999999</v>
      </c>
      <c r="AS110">
        <v>21.058065599999999</v>
      </c>
      <c r="AT110">
        <v>0.33341937199999999</v>
      </c>
      <c r="AU110">
        <v>3.6851614800000001</v>
      </c>
      <c r="AV110">
        <v>0.77212907200000003</v>
      </c>
      <c r="AW110" t="s">
        <v>222</v>
      </c>
      <c r="AX110" t="s">
        <v>223</v>
      </c>
      <c r="AY110">
        <v>0.18279599999999999</v>
      </c>
      <c r="AZ110">
        <v>4.5698999999999997E-2</v>
      </c>
      <c r="BA110">
        <v>1.2795720000000001E-3</v>
      </c>
      <c r="BB110">
        <v>6.7634519999999997E-3</v>
      </c>
      <c r="BC110">
        <v>4.7526959999999998E-3</v>
      </c>
    </row>
    <row r="111" spans="1:97" x14ac:dyDescent="0.35">
      <c r="A111" t="s">
        <v>362</v>
      </c>
      <c r="B111" s="2">
        <f t="shared" si="5"/>
        <v>682.55165915999999</v>
      </c>
      <c r="C111" s="2">
        <f t="shared" si="6"/>
        <v>266.99999600000001</v>
      </c>
      <c r="D111" s="2">
        <f t="shared" si="7"/>
        <v>48.715999416000002</v>
      </c>
      <c r="E111" s="2">
        <f t="shared" si="8"/>
        <v>35.406333336000003</v>
      </c>
      <c r="F111" s="2">
        <f t="shared" si="9"/>
        <v>26.939832820000003</v>
      </c>
      <c r="G111" t="s">
        <v>63</v>
      </c>
      <c r="H111" t="s">
        <v>64</v>
      </c>
      <c r="I111">
        <v>35</v>
      </c>
      <c r="J111">
        <v>189.35</v>
      </c>
      <c r="K111">
        <v>14.7</v>
      </c>
      <c r="L111">
        <v>0.49</v>
      </c>
      <c r="M111">
        <v>12.95</v>
      </c>
      <c r="N111" t="s">
        <v>24</v>
      </c>
      <c r="O111" t="s">
        <v>25</v>
      </c>
      <c r="P111">
        <v>110.83332799999999</v>
      </c>
      <c r="Q111">
        <v>164.03332544</v>
      </c>
      <c r="R111">
        <v>12.191666079999999</v>
      </c>
      <c r="S111">
        <v>1.7733332479999999</v>
      </c>
      <c r="T111">
        <v>11.083332800000001</v>
      </c>
      <c r="U111" t="s">
        <v>27</v>
      </c>
      <c r="V111" t="s">
        <v>28</v>
      </c>
      <c r="W111">
        <v>99</v>
      </c>
      <c r="X111">
        <v>322.74</v>
      </c>
      <c r="Y111">
        <v>21.78</v>
      </c>
      <c r="Z111">
        <v>31.68</v>
      </c>
      <c r="AA111">
        <v>2.5739999999999998</v>
      </c>
      <c r="AB111" t="s">
        <v>31</v>
      </c>
      <c r="AC111" t="s">
        <v>32</v>
      </c>
      <c r="AD111">
        <v>22.166668000000001</v>
      </c>
      <c r="AE111">
        <v>6.4283337200000004</v>
      </c>
      <c r="AF111">
        <v>4.4333336000000001E-2</v>
      </c>
      <c r="AG111">
        <v>1.463000088</v>
      </c>
      <c r="AH111">
        <v>0.33250002000000001</v>
      </c>
    </row>
    <row r="112" spans="1:97" x14ac:dyDescent="0.35">
      <c r="A112" t="s">
        <v>363</v>
      </c>
      <c r="B112" s="2">
        <f t="shared" si="5"/>
        <v>588.25</v>
      </c>
      <c r="C112" s="2">
        <f t="shared" si="6"/>
        <v>160</v>
      </c>
      <c r="D112" s="2">
        <f t="shared" si="7"/>
        <v>41.4</v>
      </c>
      <c r="E112" s="2">
        <f t="shared" si="8"/>
        <v>41.713999999999999</v>
      </c>
      <c r="F112" s="2">
        <f t="shared" si="9"/>
        <v>14.824000000000002</v>
      </c>
      <c r="G112" t="s">
        <v>63</v>
      </c>
      <c r="H112" t="s">
        <v>64</v>
      </c>
      <c r="I112">
        <v>31</v>
      </c>
      <c r="J112">
        <v>167.71</v>
      </c>
      <c r="K112">
        <v>13.02</v>
      </c>
      <c r="L112">
        <v>0.434</v>
      </c>
      <c r="M112">
        <v>11.47</v>
      </c>
      <c r="N112" t="s">
        <v>27</v>
      </c>
      <c r="O112" t="s">
        <v>28</v>
      </c>
      <c r="P112">
        <v>129</v>
      </c>
      <c r="Q112">
        <v>420.54</v>
      </c>
      <c r="R112">
        <v>28.38</v>
      </c>
      <c r="S112">
        <v>41.28</v>
      </c>
      <c r="T112">
        <v>3.3540000000000001</v>
      </c>
    </row>
    <row r="113" spans="1:146" x14ac:dyDescent="0.35">
      <c r="A113" t="s">
        <v>364</v>
      </c>
      <c r="B113" s="2">
        <f t="shared" si="5"/>
        <v>53.89</v>
      </c>
      <c r="C113" s="2">
        <f t="shared" si="6"/>
        <v>123</v>
      </c>
      <c r="D113" s="2">
        <f t="shared" si="7"/>
        <v>0.29900000000000004</v>
      </c>
      <c r="E113" s="2">
        <f t="shared" si="8"/>
        <v>4.7300000000000004</v>
      </c>
      <c r="F113" s="2">
        <f t="shared" si="9"/>
        <v>7.3710000000000004</v>
      </c>
      <c r="G113" t="s">
        <v>46</v>
      </c>
      <c r="H113" t="s">
        <v>47</v>
      </c>
      <c r="I113">
        <v>53</v>
      </c>
      <c r="J113">
        <v>17.489999999999998</v>
      </c>
      <c r="K113">
        <v>0.159</v>
      </c>
      <c r="L113">
        <v>4.24</v>
      </c>
      <c r="M113">
        <v>0.371</v>
      </c>
      <c r="N113" t="s">
        <v>29</v>
      </c>
      <c r="O113" t="s">
        <v>30</v>
      </c>
      <c r="P113">
        <v>70</v>
      </c>
      <c r="Q113">
        <v>36.4</v>
      </c>
      <c r="R113">
        <v>0.14000000000000001</v>
      </c>
      <c r="S113">
        <v>0.49</v>
      </c>
      <c r="T113">
        <v>7</v>
      </c>
    </row>
    <row r="114" spans="1:146" x14ac:dyDescent="0.35">
      <c r="A114" t="s">
        <v>365</v>
      </c>
      <c r="B114" s="2">
        <f t="shared" si="5"/>
        <v>436</v>
      </c>
      <c r="C114" s="2">
        <f t="shared" si="6"/>
        <v>110</v>
      </c>
      <c r="D114" s="2">
        <f t="shared" si="7"/>
        <v>31.4</v>
      </c>
      <c r="E114" s="2">
        <f t="shared" si="8"/>
        <v>24.184000000000001</v>
      </c>
      <c r="F114" s="2">
        <f t="shared" si="9"/>
        <v>15.244</v>
      </c>
      <c r="G114" t="s">
        <v>63</v>
      </c>
      <c r="H114" t="s">
        <v>64</v>
      </c>
      <c r="I114">
        <v>36</v>
      </c>
      <c r="J114">
        <v>194.76</v>
      </c>
      <c r="K114">
        <v>15.12</v>
      </c>
      <c r="L114">
        <v>0.504</v>
      </c>
      <c r="M114">
        <v>13.32</v>
      </c>
      <c r="N114" t="s">
        <v>27</v>
      </c>
      <c r="O114" t="s">
        <v>28</v>
      </c>
      <c r="P114">
        <v>74</v>
      </c>
      <c r="Q114">
        <v>241.24</v>
      </c>
      <c r="R114">
        <v>16.28</v>
      </c>
      <c r="S114">
        <v>23.68</v>
      </c>
      <c r="T114">
        <v>1.9239999999999999</v>
      </c>
    </row>
    <row r="115" spans="1:146" x14ac:dyDescent="0.35">
      <c r="A115" t="s">
        <v>366</v>
      </c>
      <c r="B115" s="2">
        <f t="shared" si="5"/>
        <v>286.14672418000004</v>
      </c>
      <c r="C115" s="2">
        <f t="shared" si="6"/>
        <v>252.00000299999999</v>
      </c>
      <c r="D115" s="2">
        <f t="shared" si="7"/>
        <v>18.149348743999997</v>
      </c>
      <c r="E115" s="2">
        <f t="shared" si="8"/>
        <v>11.529847605</v>
      </c>
      <c r="F115" s="2">
        <f t="shared" si="9"/>
        <v>20.397742242</v>
      </c>
      <c r="G115" t="s">
        <v>24</v>
      </c>
      <c r="H115" t="s">
        <v>25</v>
      </c>
      <c r="I115">
        <v>100</v>
      </c>
      <c r="J115">
        <v>148</v>
      </c>
      <c r="K115">
        <v>11</v>
      </c>
      <c r="L115">
        <v>1.6</v>
      </c>
      <c r="M115">
        <v>10</v>
      </c>
      <c r="N115" t="s">
        <v>333</v>
      </c>
      <c r="O115" t="s">
        <v>334</v>
      </c>
      <c r="P115">
        <v>76.312408000000005</v>
      </c>
      <c r="Q115">
        <v>32.814335440000001</v>
      </c>
      <c r="R115">
        <v>0.22893722399999999</v>
      </c>
      <c r="S115">
        <v>6.8681167199999997</v>
      </c>
      <c r="T115">
        <v>2.5946218719999998</v>
      </c>
      <c r="U115" t="s">
        <v>335</v>
      </c>
      <c r="V115" t="s">
        <v>336</v>
      </c>
      <c r="W115">
        <v>0.29442000000000002</v>
      </c>
      <c r="X115">
        <v>1.7020420199999999</v>
      </c>
      <c r="Y115">
        <v>0.1457379</v>
      </c>
      <c r="Z115">
        <v>6.6833340000000005E-2</v>
      </c>
      <c r="AA115">
        <v>6.5950079999999994E-2</v>
      </c>
      <c r="AB115" t="s">
        <v>7</v>
      </c>
      <c r="AC115" t="s">
        <v>8</v>
      </c>
      <c r="AD115">
        <v>1.430858</v>
      </c>
      <c r="AE115">
        <v>12.64878472</v>
      </c>
      <c r="AF115">
        <v>1.430858</v>
      </c>
      <c r="AG115">
        <v>0</v>
      </c>
      <c r="AH115">
        <v>0</v>
      </c>
      <c r="AI115" t="s">
        <v>151</v>
      </c>
      <c r="AJ115" t="s">
        <v>152</v>
      </c>
      <c r="AK115">
        <v>0.953905</v>
      </c>
      <c r="AL115">
        <v>0.38156200000000001</v>
      </c>
      <c r="AM115">
        <v>3.81562E-3</v>
      </c>
      <c r="AN115">
        <v>8.4897545000000005E-2</v>
      </c>
      <c r="AO115">
        <v>1.7170290000000001E-2</v>
      </c>
      <c r="AP115" t="s">
        <v>11</v>
      </c>
      <c r="AQ115" t="s">
        <v>12</v>
      </c>
      <c r="AR115">
        <v>8.4119999999999993E-3</v>
      </c>
      <c r="AS115">
        <v>0</v>
      </c>
      <c r="AT115">
        <v>0</v>
      </c>
      <c r="AU115">
        <v>0</v>
      </c>
      <c r="AV115">
        <v>0</v>
      </c>
      <c r="AW115" t="s">
        <v>31</v>
      </c>
      <c r="AX115" t="s">
        <v>32</v>
      </c>
      <c r="AY115">
        <v>20</v>
      </c>
      <c r="AZ115">
        <v>5.8</v>
      </c>
      <c r="BA115">
        <v>0.04</v>
      </c>
      <c r="BB115">
        <v>1.32</v>
      </c>
      <c r="BC115">
        <v>0.3</v>
      </c>
      <c r="BD115" t="s">
        <v>213</v>
      </c>
      <c r="BE115" t="s">
        <v>214</v>
      </c>
      <c r="BF115">
        <v>53</v>
      </c>
      <c r="BG115">
        <v>84.8</v>
      </c>
      <c r="BH115">
        <v>5.3</v>
      </c>
      <c r="BI115">
        <v>1.59</v>
      </c>
      <c r="BJ115">
        <v>7.42</v>
      </c>
    </row>
    <row r="116" spans="1:146" x14ac:dyDescent="0.35">
      <c r="A116" t="s">
        <v>367</v>
      </c>
      <c r="B116" s="2">
        <f t="shared" si="5"/>
        <v>153.6</v>
      </c>
      <c r="C116" s="2">
        <f t="shared" si="6"/>
        <v>96</v>
      </c>
      <c r="D116" s="2">
        <f t="shared" si="7"/>
        <v>9.6</v>
      </c>
      <c r="E116" s="2">
        <f t="shared" si="8"/>
        <v>2.88</v>
      </c>
      <c r="F116" s="2">
        <f t="shared" si="9"/>
        <v>13.44</v>
      </c>
      <c r="G116" t="s">
        <v>213</v>
      </c>
      <c r="H116" t="s">
        <v>214</v>
      </c>
      <c r="I116">
        <v>96</v>
      </c>
      <c r="J116">
        <v>153.6</v>
      </c>
      <c r="K116">
        <v>9.6</v>
      </c>
      <c r="L116">
        <v>2.88</v>
      </c>
      <c r="M116">
        <v>13.44</v>
      </c>
    </row>
    <row r="117" spans="1:146" x14ac:dyDescent="0.35">
      <c r="A117" t="s">
        <v>368</v>
      </c>
      <c r="B117" s="2">
        <f t="shared" si="5"/>
        <v>170.51</v>
      </c>
      <c r="C117" s="2">
        <f t="shared" si="6"/>
        <v>289</v>
      </c>
      <c r="D117" s="2">
        <f t="shared" si="7"/>
        <v>1.1559999999999999</v>
      </c>
      <c r="E117" s="2">
        <f t="shared" si="8"/>
        <v>10.404</v>
      </c>
      <c r="F117" s="2">
        <f t="shared" si="9"/>
        <v>28.9</v>
      </c>
      <c r="G117" t="s">
        <v>95</v>
      </c>
      <c r="H117" t="s">
        <v>96</v>
      </c>
      <c r="I117">
        <v>289</v>
      </c>
      <c r="J117">
        <v>170.51</v>
      </c>
      <c r="K117">
        <v>1.1559999999999999</v>
      </c>
      <c r="L117">
        <v>10.404</v>
      </c>
      <c r="M117">
        <v>28.9</v>
      </c>
    </row>
    <row r="118" spans="1:146" x14ac:dyDescent="0.35">
      <c r="A118" t="s">
        <v>369</v>
      </c>
      <c r="B118" s="2">
        <f t="shared" si="5"/>
        <v>227.22</v>
      </c>
      <c r="C118" s="2">
        <f t="shared" si="6"/>
        <v>42</v>
      </c>
      <c r="D118" s="2">
        <f t="shared" si="7"/>
        <v>17.64</v>
      </c>
      <c r="E118" s="2">
        <f t="shared" si="8"/>
        <v>0.58799999999999997</v>
      </c>
      <c r="F118" s="2">
        <f t="shared" si="9"/>
        <v>15.54</v>
      </c>
      <c r="G118" t="s">
        <v>63</v>
      </c>
      <c r="H118" t="s">
        <v>64</v>
      </c>
      <c r="I118">
        <v>42</v>
      </c>
      <c r="J118">
        <v>227.22</v>
      </c>
      <c r="K118">
        <v>17.64</v>
      </c>
      <c r="L118">
        <v>0.58799999999999997</v>
      </c>
      <c r="M118">
        <v>15.54</v>
      </c>
    </row>
    <row r="119" spans="1:146" x14ac:dyDescent="0.35">
      <c r="A119" t="s">
        <v>370</v>
      </c>
      <c r="B119" s="2">
        <f t="shared" si="5"/>
        <v>393.43449205900004</v>
      </c>
      <c r="C119" s="2">
        <f t="shared" si="6"/>
        <v>396.00000499999999</v>
      </c>
      <c r="D119" s="2">
        <f t="shared" si="7"/>
        <v>14.236686645000001</v>
      </c>
      <c r="E119" s="2">
        <f t="shared" si="8"/>
        <v>50.695489834000007</v>
      </c>
      <c r="F119" s="2">
        <f t="shared" si="9"/>
        <v>19.871410262000005</v>
      </c>
      <c r="G119" t="s">
        <v>135</v>
      </c>
      <c r="H119" t="s">
        <v>136</v>
      </c>
      <c r="I119">
        <v>6.2672439999999998</v>
      </c>
      <c r="J119">
        <v>2.5695700399999999</v>
      </c>
      <c r="K119">
        <v>1.2534488E-2</v>
      </c>
      <c r="L119">
        <v>0.62672439999999996</v>
      </c>
      <c r="M119">
        <v>5.6405195999999998E-2</v>
      </c>
      <c r="N119" t="s">
        <v>69</v>
      </c>
      <c r="O119" t="s">
        <v>70</v>
      </c>
      <c r="P119">
        <v>15.041388</v>
      </c>
      <c r="Q119">
        <v>13.5372492</v>
      </c>
      <c r="R119">
        <v>1.9553804400000001</v>
      </c>
      <c r="S119">
        <v>0</v>
      </c>
      <c r="T119">
        <v>2.7676153920000002</v>
      </c>
      <c r="U119" t="s">
        <v>89</v>
      </c>
      <c r="V119" t="s">
        <v>90</v>
      </c>
      <c r="W119">
        <v>0.50138000000000005</v>
      </c>
      <c r="X119">
        <v>0.20055200000000001</v>
      </c>
      <c r="Y119">
        <v>5.0137999999999995E-4</v>
      </c>
      <c r="Z119">
        <v>4.5124200000000003E-2</v>
      </c>
      <c r="AA119">
        <v>5.5151799999999997E-3</v>
      </c>
      <c r="AB119" t="s">
        <v>256</v>
      </c>
      <c r="AC119" t="s">
        <v>257</v>
      </c>
      <c r="AD119">
        <v>2.5068980000000001</v>
      </c>
      <c r="AE119">
        <v>1.5292077799999999</v>
      </c>
      <c r="AF119">
        <v>7.5206939999999996E-3</v>
      </c>
      <c r="AG119">
        <v>0.35096571999999998</v>
      </c>
      <c r="AH119">
        <v>3.760347E-2</v>
      </c>
      <c r="AI119" t="s">
        <v>137</v>
      </c>
      <c r="AJ119" t="s">
        <v>138</v>
      </c>
      <c r="AK119">
        <v>57</v>
      </c>
      <c r="AL119">
        <v>46.17</v>
      </c>
      <c r="AM119">
        <v>0.22800000000000001</v>
      </c>
      <c r="AN119">
        <v>7.98</v>
      </c>
      <c r="AO119">
        <v>2.85</v>
      </c>
      <c r="AP119" t="s">
        <v>71</v>
      </c>
      <c r="AQ119" t="s">
        <v>72</v>
      </c>
      <c r="AR119">
        <v>0.28739199999999998</v>
      </c>
      <c r="AS119">
        <v>0.42821408</v>
      </c>
      <c r="AT119">
        <v>1.4369599999999999E-3</v>
      </c>
      <c r="AU119">
        <v>9.4839359999999998E-2</v>
      </c>
      <c r="AV119">
        <v>1.8393087999999998E-2</v>
      </c>
      <c r="AW119" t="s">
        <v>312</v>
      </c>
      <c r="AX119" t="s">
        <v>313</v>
      </c>
      <c r="AY119">
        <v>0.75206899999999999</v>
      </c>
      <c r="AZ119">
        <v>0.15793449000000001</v>
      </c>
      <c r="BA119">
        <v>3.760345E-3</v>
      </c>
      <c r="BB119">
        <v>2.4066207999999999E-2</v>
      </c>
      <c r="BC119">
        <v>9.7768969999999997E-3</v>
      </c>
      <c r="BD119" t="s">
        <v>7</v>
      </c>
      <c r="BE119" t="s">
        <v>8</v>
      </c>
      <c r="BF119">
        <v>4.1984180000000002</v>
      </c>
      <c r="BG119">
        <v>37.114015119999998</v>
      </c>
      <c r="BH119">
        <v>4.1984180000000002</v>
      </c>
      <c r="BI119">
        <v>0</v>
      </c>
      <c r="BJ119">
        <v>0</v>
      </c>
      <c r="BK119" t="s">
        <v>51</v>
      </c>
      <c r="BL119" t="s">
        <v>52</v>
      </c>
      <c r="BM119">
        <v>16.793671</v>
      </c>
      <c r="BN119">
        <v>46.619230696000002</v>
      </c>
      <c r="BO119">
        <v>2.8717177409999999</v>
      </c>
      <c r="BP119">
        <v>0.53739747199999999</v>
      </c>
      <c r="BQ119">
        <v>4.7022278799999997</v>
      </c>
      <c r="BR119" t="s">
        <v>11</v>
      </c>
      <c r="BS119" t="s">
        <v>12</v>
      </c>
      <c r="BT119">
        <v>0.42617300000000002</v>
      </c>
      <c r="BU119">
        <v>0</v>
      </c>
      <c r="BV119">
        <v>0</v>
      </c>
      <c r="BW119">
        <v>0</v>
      </c>
      <c r="BX119">
        <v>0</v>
      </c>
      <c r="BY119" t="s">
        <v>55</v>
      </c>
      <c r="BZ119" t="s">
        <v>56</v>
      </c>
      <c r="CA119">
        <v>4.7003999999999997E-2</v>
      </c>
      <c r="CB119">
        <v>0.33701868000000001</v>
      </c>
      <c r="CC119">
        <v>3.8073240000000001E-2</v>
      </c>
      <c r="CD119" s="1">
        <v>4.7003999999999999E-5</v>
      </c>
      <c r="CE119">
        <v>3.7603199999999999E-4</v>
      </c>
      <c r="CF119" t="s">
        <v>113</v>
      </c>
      <c r="CG119" t="s">
        <v>114</v>
      </c>
      <c r="CH119">
        <v>79</v>
      </c>
      <c r="CI119">
        <v>97.17</v>
      </c>
      <c r="CJ119">
        <v>0.316</v>
      </c>
      <c r="CK119">
        <v>22.12</v>
      </c>
      <c r="CL119">
        <v>1.8169999999999999</v>
      </c>
      <c r="CM119" t="s">
        <v>247</v>
      </c>
      <c r="CN119" t="s">
        <v>248</v>
      </c>
      <c r="CO119">
        <v>173.31939700000001</v>
      </c>
      <c r="CP119">
        <v>88.392892470000007</v>
      </c>
      <c r="CQ119">
        <v>3.293068543</v>
      </c>
      <c r="CR119">
        <v>8.6659698499999998</v>
      </c>
      <c r="CS119">
        <v>6.0661788950000002</v>
      </c>
      <c r="CT119" t="s">
        <v>81</v>
      </c>
      <c r="CU119" t="s">
        <v>82</v>
      </c>
      <c r="CV119">
        <v>8.4279999999999997E-3</v>
      </c>
      <c r="CW119">
        <v>1.4327599999999999E-3</v>
      </c>
      <c r="CX119">
        <v>0</v>
      </c>
      <c r="CY119">
        <v>4.7196800000000002E-4</v>
      </c>
      <c r="CZ119" s="1">
        <v>3.3711999999999998E-5</v>
      </c>
      <c r="DA119" t="s">
        <v>57</v>
      </c>
      <c r="DB119" t="s">
        <v>58</v>
      </c>
      <c r="DC119">
        <v>4.1984180000000002</v>
      </c>
      <c r="DD119">
        <v>1.00762032</v>
      </c>
      <c r="DE119">
        <v>0</v>
      </c>
      <c r="DF119">
        <v>8.3968360000000006E-2</v>
      </c>
      <c r="DG119">
        <v>0.16793672000000001</v>
      </c>
      <c r="DH119" t="s">
        <v>166</v>
      </c>
      <c r="DI119" t="s">
        <v>167</v>
      </c>
      <c r="DJ119">
        <v>0.13317899999999999</v>
      </c>
      <c r="DK119">
        <v>3.0364812000000001E-2</v>
      </c>
      <c r="DL119">
        <v>6.6589500000000001E-4</v>
      </c>
      <c r="DM119">
        <v>4.9276229999999999E-3</v>
      </c>
      <c r="DN119">
        <v>2.929938E-3</v>
      </c>
      <c r="DO119" t="s">
        <v>314</v>
      </c>
      <c r="DP119" t="s">
        <v>315</v>
      </c>
      <c r="DQ119">
        <v>0.47004299999999999</v>
      </c>
      <c r="DR119">
        <v>7.9907309999999995E-2</v>
      </c>
      <c r="DS119">
        <v>9.4008600000000002E-4</v>
      </c>
      <c r="DT119">
        <v>1.5981461999999998E-2</v>
      </c>
      <c r="DU119">
        <v>6.1105589999999998E-3</v>
      </c>
      <c r="DV119" t="s">
        <v>59</v>
      </c>
      <c r="DX119">
        <v>22.214241000000001</v>
      </c>
      <c r="DY119">
        <v>52.314537555000001</v>
      </c>
      <c r="DZ119">
        <v>1.0440693270000001</v>
      </c>
      <c r="EA119">
        <v>9.2633384969999994</v>
      </c>
      <c r="EB119">
        <v>1.1995690139999999</v>
      </c>
      <c r="EC119" t="s">
        <v>60</v>
      </c>
      <c r="EE119">
        <v>12.595253</v>
      </c>
      <c r="EF119">
        <v>3.6526233700000001</v>
      </c>
      <c r="EG119">
        <v>2.5190506000000001E-2</v>
      </c>
      <c r="EH119">
        <v>0.88166770999999999</v>
      </c>
      <c r="EI119">
        <v>0.16373828900000001</v>
      </c>
      <c r="EJ119" t="s">
        <v>170</v>
      </c>
      <c r="EL119">
        <v>0.23940900000000001</v>
      </c>
      <c r="EM119">
        <v>2.1221213759999999</v>
      </c>
      <c r="EN119">
        <v>0.23940900000000001</v>
      </c>
      <c r="EO119">
        <v>0</v>
      </c>
      <c r="EP119">
        <v>0</v>
      </c>
    </row>
    <row r="120" spans="1:146" x14ac:dyDescent="0.35">
      <c r="A120" t="s">
        <v>371</v>
      </c>
      <c r="B120" s="2">
        <f t="shared" si="5"/>
        <v>220.71340763399999</v>
      </c>
      <c r="C120" s="2">
        <f t="shared" si="6"/>
        <v>202.99999900000003</v>
      </c>
      <c r="D120" s="2">
        <f t="shared" si="7"/>
        <v>9.6211661159999995</v>
      </c>
      <c r="E120" s="2">
        <f t="shared" si="8"/>
        <v>21.896572066000001</v>
      </c>
      <c r="F120" s="2">
        <f t="shared" si="9"/>
        <v>12.709625229999999</v>
      </c>
      <c r="G120" t="s">
        <v>252</v>
      </c>
      <c r="H120" t="s">
        <v>253</v>
      </c>
      <c r="I120">
        <v>78.600723000000002</v>
      </c>
      <c r="J120">
        <v>60.522556710000003</v>
      </c>
      <c r="K120">
        <v>7.8600722999999997E-2</v>
      </c>
      <c r="L120">
        <v>13.36212291</v>
      </c>
      <c r="M120">
        <v>1.5720144599999999</v>
      </c>
      <c r="N120" t="s">
        <v>269</v>
      </c>
      <c r="O120" t="s">
        <v>270</v>
      </c>
      <c r="P120">
        <v>40.171551000000001</v>
      </c>
      <c r="Q120">
        <v>108.86490320999999</v>
      </c>
      <c r="R120">
        <v>7.6325946900000003</v>
      </c>
      <c r="S120">
        <v>0</v>
      </c>
      <c r="T120">
        <v>10.04288775</v>
      </c>
      <c r="U120" t="s">
        <v>135</v>
      </c>
      <c r="V120" t="s">
        <v>136</v>
      </c>
      <c r="W120">
        <v>58.079352999999998</v>
      </c>
      <c r="X120">
        <v>23.812534729999999</v>
      </c>
      <c r="Y120">
        <v>0.116158706</v>
      </c>
      <c r="Z120">
        <v>5.8079352999999996</v>
      </c>
      <c r="AA120">
        <v>0.522714177</v>
      </c>
      <c r="AB120" t="s">
        <v>71</v>
      </c>
      <c r="AC120" t="s">
        <v>72</v>
      </c>
      <c r="AD120">
        <v>4.3321269999999998</v>
      </c>
      <c r="AE120">
        <v>6.4548692299999999</v>
      </c>
      <c r="AF120">
        <v>2.1660635000000001E-2</v>
      </c>
      <c r="AG120">
        <v>1.4296019099999999</v>
      </c>
      <c r="AH120">
        <v>0.27725612799999999</v>
      </c>
      <c r="AI120" t="s">
        <v>11</v>
      </c>
      <c r="AJ120" t="s">
        <v>12</v>
      </c>
      <c r="AK120">
        <v>0.43321300000000001</v>
      </c>
      <c r="AL120">
        <v>0</v>
      </c>
      <c r="AM120">
        <v>0</v>
      </c>
      <c r="AN120">
        <v>0</v>
      </c>
      <c r="AO120">
        <v>0</v>
      </c>
      <c r="AP120" t="s">
        <v>31</v>
      </c>
      <c r="AQ120" t="s">
        <v>32</v>
      </c>
      <c r="AR120">
        <v>19.650181</v>
      </c>
      <c r="AS120">
        <v>5.69855249</v>
      </c>
      <c r="AT120">
        <v>3.9300361999999998E-2</v>
      </c>
      <c r="AU120">
        <v>1.296911946</v>
      </c>
      <c r="AV120">
        <v>0.294752715</v>
      </c>
      <c r="AW120" t="s">
        <v>170</v>
      </c>
      <c r="AY120">
        <v>1.7328509999999999</v>
      </c>
      <c r="AZ120">
        <v>15.359991264</v>
      </c>
      <c r="BA120">
        <v>1.7328509999999999</v>
      </c>
      <c r="BB120">
        <v>0</v>
      </c>
      <c r="BC120">
        <v>0</v>
      </c>
    </row>
    <row r="121" spans="1:146" x14ac:dyDescent="0.35">
      <c r="A121" t="s">
        <v>372</v>
      </c>
      <c r="B121" s="2">
        <f t="shared" si="5"/>
        <v>359.81165916000003</v>
      </c>
      <c r="C121" s="2">
        <f t="shared" si="6"/>
        <v>167.99999600000001</v>
      </c>
      <c r="D121" s="2">
        <f t="shared" si="7"/>
        <v>26.935999416000001</v>
      </c>
      <c r="E121" s="2">
        <f t="shared" si="8"/>
        <v>3.7263333359999997</v>
      </c>
      <c r="F121" s="2">
        <f t="shared" si="9"/>
        <v>24.365832820000001</v>
      </c>
      <c r="G121" t="s">
        <v>63</v>
      </c>
      <c r="H121" t="s">
        <v>64</v>
      </c>
      <c r="I121">
        <v>35</v>
      </c>
      <c r="J121">
        <v>189.35</v>
      </c>
      <c r="K121">
        <v>14.7</v>
      </c>
      <c r="L121">
        <v>0.49</v>
      </c>
      <c r="M121">
        <v>12.95</v>
      </c>
      <c r="N121" t="s">
        <v>24</v>
      </c>
      <c r="O121" t="s">
        <v>25</v>
      </c>
      <c r="P121">
        <v>110.83332799999999</v>
      </c>
      <c r="Q121">
        <v>164.03332544</v>
      </c>
      <c r="R121">
        <v>12.191666079999999</v>
      </c>
      <c r="S121">
        <v>1.7733332479999999</v>
      </c>
      <c r="T121">
        <v>11.083332800000001</v>
      </c>
      <c r="U121" t="s">
        <v>31</v>
      </c>
      <c r="V121" t="s">
        <v>32</v>
      </c>
      <c r="W121">
        <v>22.166668000000001</v>
      </c>
      <c r="X121">
        <v>6.4283337200000004</v>
      </c>
      <c r="Y121">
        <v>4.4333336000000001E-2</v>
      </c>
      <c r="Z121">
        <v>1.463000088</v>
      </c>
      <c r="AA121">
        <v>0.33250002000000001</v>
      </c>
    </row>
    <row r="122" spans="1:146" x14ac:dyDescent="0.35">
      <c r="A122" t="s">
        <v>373</v>
      </c>
      <c r="B122" s="2">
        <f t="shared" si="5"/>
        <v>165.30506210999999</v>
      </c>
      <c r="C122" s="2">
        <f t="shared" si="6"/>
        <v>181.00000400000002</v>
      </c>
      <c r="D122" s="2">
        <f t="shared" si="7"/>
        <v>5.5523348350000008</v>
      </c>
      <c r="E122" s="2">
        <f t="shared" si="8"/>
        <v>7.4448160459999997</v>
      </c>
      <c r="F122" s="2">
        <f t="shared" si="9"/>
        <v>20.811653338999999</v>
      </c>
      <c r="G122" t="s">
        <v>102</v>
      </c>
      <c r="H122" t="s">
        <v>103</v>
      </c>
      <c r="I122">
        <v>61.549422999999997</v>
      </c>
      <c r="J122">
        <v>101.55654795</v>
      </c>
      <c r="K122">
        <v>2.2157792280000002</v>
      </c>
      <c r="L122">
        <v>0</v>
      </c>
      <c r="M122">
        <v>19.080321130000002</v>
      </c>
      <c r="N122" t="s">
        <v>133</v>
      </c>
      <c r="O122" t="s">
        <v>134</v>
      </c>
      <c r="P122">
        <v>73</v>
      </c>
      <c r="Q122">
        <v>7.3</v>
      </c>
      <c r="R122">
        <v>0</v>
      </c>
      <c r="S122">
        <v>1.46</v>
      </c>
      <c r="T122">
        <v>0.73</v>
      </c>
      <c r="U122" t="s">
        <v>1</v>
      </c>
      <c r="V122" t="s">
        <v>2</v>
      </c>
      <c r="W122">
        <v>7.6936780000000002</v>
      </c>
      <c r="X122">
        <v>2.61585052</v>
      </c>
      <c r="Y122">
        <v>5.3855746000000003E-2</v>
      </c>
      <c r="Z122">
        <v>0.52317010399999997</v>
      </c>
      <c r="AA122">
        <v>5.3855746000000003E-2</v>
      </c>
      <c r="AB122" t="s">
        <v>104</v>
      </c>
      <c r="AC122" t="s">
        <v>105</v>
      </c>
      <c r="AD122">
        <v>7.6936780000000002</v>
      </c>
      <c r="AE122">
        <v>3.0774712000000002</v>
      </c>
      <c r="AF122">
        <v>1.5387356E-2</v>
      </c>
      <c r="AG122">
        <v>0.69243102000000001</v>
      </c>
      <c r="AH122">
        <v>0.15387355999999999</v>
      </c>
      <c r="AI122" t="s">
        <v>106</v>
      </c>
      <c r="AJ122" t="s">
        <v>107</v>
      </c>
      <c r="AK122">
        <v>3.0774710000000001</v>
      </c>
      <c r="AL122">
        <v>0.70781833000000005</v>
      </c>
      <c r="AM122">
        <v>1.2309884E-2</v>
      </c>
      <c r="AN122">
        <v>0.11078895599999999</v>
      </c>
      <c r="AO122">
        <v>8.9246659000000006E-2</v>
      </c>
      <c r="AP122" t="s">
        <v>89</v>
      </c>
      <c r="AQ122" t="s">
        <v>90</v>
      </c>
      <c r="AR122">
        <v>3.0774710000000001</v>
      </c>
      <c r="AS122">
        <v>1.2309884</v>
      </c>
      <c r="AT122">
        <v>3.077471E-3</v>
      </c>
      <c r="AU122">
        <v>0.27697239000000001</v>
      </c>
      <c r="AV122">
        <v>3.3852181000000002E-2</v>
      </c>
      <c r="AW122" t="s">
        <v>71</v>
      </c>
      <c r="AX122" t="s">
        <v>72</v>
      </c>
      <c r="AY122">
        <v>1.5387360000000001</v>
      </c>
      <c r="AZ122">
        <v>2.2927166400000001</v>
      </c>
      <c r="BA122">
        <v>7.6936799999999996E-3</v>
      </c>
      <c r="BB122">
        <v>0.50778288000000005</v>
      </c>
      <c r="BC122">
        <v>9.8479103999999998E-2</v>
      </c>
      <c r="BD122" t="s">
        <v>7</v>
      </c>
      <c r="BE122" t="s">
        <v>8</v>
      </c>
      <c r="BF122">
        <v>3.0774710000000001</v>
      </c>
      <c r="BG122">
        <v>27.20484364</v>
      </c>
      <c r="BH122">
        <v>3.0774710000000001</v>
      </c>
      <c r="BI122">
        <v>0</v>
      </c>
      <c r="BJ122">
        <v>0</v>
      </c>
      <c r="BK122" t="s">
        <v>11</v>
      </c>
      <c r="BL122" t="s">
        <v>12</v>
      </c>
      <c r="BM122">
        <v>1.5387360000000001</v>
      </c>
      <c r="BN122">
        <v>0</v>
      </c>
      <c r="BO122">
        <v>0</v>
      </c>
      <c r="BP122">
        <v>0</v>
      </c>
      <c r="BQ122">
        <v>0</v>
      </c>
      <c r="BR122" t="s">
        <v>108</v>
      </c>
      <c r="BS122" t="s">
        <v>109</v>
      </c>
      <c r="BT122">
        <v>0.28851300000000002</v>
      </c>
      <c r="BU122">
        <v>0.1154052</v>
      </c>
      <c r="BV122">
        <v>5.7702600000000001E-4</v>
      </c>
      <c r="BW122">
        <v>2.6831708999999999E-2</v>
      </c>
      <c r="BX122">
        <v>5.7702600000000001E-3</v>
      </c>
      <c r="BY122" t="s">
        <v>36</v>
      </c>
      <c r="BZ122" t="s">
        <v>37</v>
      </c>
      <c r="CA122">
        <v>3.0774710000000001</v>
      </c>
      <c r="CB122">
        <v>0.89246658999999995</v>
      </c>
      <c r="CC122">
        <v>1.2309884E-2</v>
      </c>
      <c r="CD122">
        <v>0.200035615</v>
      </c>
      <c r="CE122">
        <v>2.7697238999999998E-2</v>
      </c>
      <c r="CF122" t="s">
        <v>110</v>
      </c>
      <c r="CG122" t="s">
        <v>111</v>
      </c>
      <c r="CH122">
        <v>15.387356</v>
      </c>
      <c r="CI122">
        <v>18.310953640000001</v>
      </c>
      <c r="CJ122">
        <v>0.15387355999999999</v>
      </c>
      <c r="CK122">
        <v>3.6468033719999999</v>
      </c>
      <c r="CL122">
        <v>0.53855746000000004</v>
      </c>
    </row>
    <row r="123" spans="1:146" x14ac:dyDescent="0.35">
      <c r="A123" t="s">
        <v>374</v>
      </c>
      <c r="B123" s="2">
        <f t="shared" si="5"/>
        <v>516.14699999999993</v>
      </c>
      <c r="C123" s="2">
        <f t="shared" si="6"/>
        <v>271</v>
      </c>
      <c r="D123" s="2">
        <f t="shared" si="7"/>
        <v>33.618000000000002</v>
      </c>
      <c r="E123" s="2">
        <f t="shared" si="8"/>
        <v>20.214000000000002</v>
      </c>
      <c r="F123" s="2">
        <f t="shared" si="9"/>
        <v>31.928000000000001</v>
      </c>
      <c r="G123" t="s">
        <v>63</v>
      </c>
      <c r="H123" t="s">
        <v>64</v>
      </c>
      <c r="I123">
        <v>43</v>
      </c>
      <c r="J123">
        <v>232.63</v>
      </c>
      <c r="K123">
        <v>18.059999999999999</v>
      </c>
      <c r="L123">
        <v>0.60199999999999998</v>
      </c>
      <c r="M123">
        <v>15.91</v>
      </c>
      <c r="N123" t="s">
        <v>24</v>
      </c>
      <c r="O123" t="s">
        <v>25</v>
      </c>
      <c r="P123">
        <v>130</v>
      </c>
      <c r="Q123">
        <v>192.4</v>
      </c>
      <c r="R123">
        <v>14.3</v>
      </c>
      <c r="S123">
        <v>2.08</v>
      </c>
      <c r="T123">
        <v>13</v>
      </c>
      <c r="U123" t="s">
        <v>65</v>
      </c>
      <c r="V123" t="s">
        <v>66</v>
      </c>
      <c r="W123">
        <v>51</v>
      </c>
      <c r="X123">
        <v>80.427000000000007</v>
      </c>
      <c r="Y123">
        <v>1.1220000000000001</v>
      </c>
      <c r="Z123">
        <v>15.249000000000001</v>
      </c>
      <c r="AA123">
        <v>2.3969999999999998</v>
      </c>
      <c r="AB123" t="s">
        <v>31</v>
      </c>
      <c r="AC123" t="s">
        <v>32</v>
      </c>
      <c r="AD123">
        <v>26</v>
      </c>
      <c r="AE123">
        <v>7.54</v>
      </c>
      <c r="AF123">
        <v>5.1999999999999998E-2</v>
      </c>
      <c r="AG123">
        <v>1.716</v>
      </c>
      <c r="AH123">
        <v>0.39</v>
      </c>
      <c r="AI123" t="s">
        <v>245</v>
      </c>
      <c r="AJ123" t="s">
        <v>246</v>
      </c>
      <c r="AK123">
        <v>21</v>
      </c>
      <c r="AL123">
        <v>3.15</v>
      </c>
      <c r="AM123">
        <v>8.4000000000000005E-2</v>
      </c>
      <c r="AN123">
        <v>0.56699999999999995</v>
      </c>
      <c r="AO123">
        <v>0.23100000000000001</v>
      </c>
    </row>
    <row r="124" spans="1:146" x14ac:dyDescent="0.35">
      <c r="A124" t="s">
        <v>375</v>
      </c>
      <c r="B124" s="2">
        <f t="shared" si="5"/>
        <v>52.185284811999999</v>
      </c>
      <c r="C124" s="2">
        <f t="shared" si="6"/>
        <v>122.999996</v>
      </c>
      <c r="D124" s="2">
        <f t="shared" si="7"/>
        <v>2.5920684869999997</v>
      </c>
      <c r="E124" s="2">
        <f t="shared" si="8"/>
        <v>7.237156991</v>
      </c>
      <c r="F124" s="2">
        <f t="shared" si="9"/>
        <v>1.467617731</v>
      </c>
      <c r="G124" t="s">
        <v>7</v>
      </c>
      <c r="H124" t="s">
        <v>8</v>
      </c>
      <c r="I124">
        <v>1.1214599999999999</v>
      </c>
      <c r="J124">
        <v>9.9137064000000006</v>
      </c>
      <c r="K124">
        <v>1.1214599999999999</v>
      </c>
      <c r="L124">
        <v>0</v>
      </c>
      <c r="M124">
        <v>0</v>
      </c>
      <c r="N124" t="s">
        <v>11</v>
      </c>
      <c r="O124" t="s">
        <v>12</v>
      </c>
      <c r="P124">
        <v>1.3186E-2</v>
      </c>
      <c r="Q124">
        <v>0</v>
      </c>
      <c r="R124">
        <v>0</v>
      </c>
      <c r="S124">
        <v>0</v>
      </c>
      <c r="T124">
        <v>0</v>
      </c>
      <c r="U124" t="s">
        <v>91</v>
      </c>
      <c r="V124" t="s">
        <v>92</v>
      </c>
      <c r="W124">
        <v>119.622429</v>
      </c>
      <c r="X124">
        <v>29.666362392</v>
      </c>
      <c r="Y124">
        <v>0.239244858</v>
      </c>
      <c r="Z124">
        <v>7.0577233110000002</v>
      </c>
      <c r="AA124">
        <v>1.19622429</v>
      </c>
      <c r="AB124" t="s">
        <v>376</v>
      </c>
      <c r="AC124" t="s">
        <v>377</v>
      </c>
      <c r="AD124">
        <v>2.2429209999999999</v>
      </c>
      <c r="AE124">
        <v>12.60521602</v>
      </c>
      <c r="AF124">
        <v>1.2313636290000001</v>
      </c>
      <c r="AG124">
        <v>0.17943368000000001</v>
      </c>
      <c r="AH124">
        <v>0.27139344100000001</v>
      </c>
    </row>
    <row r="125" spans="1:146" x14ac:dyDescent="0.35">
      <c r="A125" t="s">
        <v>378</v>
      </c>
      <c r="B125" s="2">
        <f t="shared" si="5"/>
        <v>227.12</v>
      </c>
      <c r="C125" s="2">
        <f t="shared" si="6"/>
        <v>334</v>
      </c>
      <c r="D125" s="2">
        <f t="shared" si="7"/>
        <v>4.6760000000000002</v>
      </c>
      <c r="E125" s="2">
        <f t="shared" si="8"/>
        <v>40.08</v>
      </c>
      <c r="F125" s="2">
        <f t="shared" si="9"/>
        <v>8.016</v>
      </c>
      <c r="G125" t="s">
        <v>86</v>
      </c>
      <c r="H125" t="s">
        <v>87</v>
      </c>
      <c r="I125">
        <v>334</v>
      </c>
      <c r="J125">
        <v>227.12</v>
      </c>
      <c r="K125">
        <v>4.6760000000000002</v>
      </c>
      <c r="L125">
        <v>40.08</v>
      </c>
      <c r="M125">
        <v>8.016</v>
      </c>
    </row>
    <row r="126" spans="1:146" x14ac:dyDescent="0.35">
      <c r="A126" t="s">
        <v>379</v>
      </c>
      <c r="B126" s="2">
        <f t="shared" si="5"/>
        <v>182.82715979</v>
      </c>
      <c r="C126" s="2">
        <f t="shared" si="6"/>
        <v>140</v>
      </c>
      <c r="D126" s="2">
        <f t="shared" si="7"/>
        <v>13.086265202</v>
      </c>
      <c r="E126" s="2">
        <f t="shared" si="8"/>
        <v>3.7597657720000002</v>
      </c>
      <c r="F126" s="2">
        <f t="shared" si="9"/>
        <v>11.586661073</v>
      </c>
      <c r="G126" t="s">
        <v>135</v>
      </c>
      <c r="H126" t="s">
        <v>136</v>
      </c>
      <c r="I126">
        <v>30.840097</v>
      </c>
      <c r="J126">
        <v>12.64443977</v>
      </c>
      <c r="K126">
        <v>6.1680194000000001E-2</v>
      </c>
      <c r="L126">
        <v>3.0840097000000002</v>
      </c>
      <c r="M126">
        <v>0.27756087299999999</v>
      </c>
      <c r="N126" t="s">
        <v>7</v>
      </c>
      <c r="O126" t="s">
        <v>8</v>
      </c>
      <c r="P126">
        <v>0.38550099999999998</v>
      </c>
      <c r="Q126">
        <v>3.4078288400000001</v>
      </c>
      <c r="R126">
        <v>0.38550099999999998</v>
      </c>
      <c r="S126">
        <v>0</v>
      </c>
      <c r="T126">
        <v>0</v>
      </c>
      <c r="U126" t="s">
        <v>98</v>
      </c>
      <c r="V126" t="s">
        <v>99</v>
      </c>
      <c r="W126">
        <v>108</v>
      </c>
      <c r="X126">
        <v>166.32</v>
      </c>
      <c r="Y126">
        <v>12.635999999999999</v>
      </c>
      <c r="Z126">
        <v>0.64800000000000002</v>
      </c>
      <c r="AA126">
        <v>11.231999999999999</v>
      </c>
      <c r="AB126" t="s">
        <v>11</v>
      </c>
      <c r="AC126" t="s">
        <v>12</v>
      </c>
      <c r="AD126">
        <v>3.3999999999999998E-3</v>
      </c>
      <c r="AE126">
        <v>0</v>
      </c>
      <c r="AF126">
        <v>0</v>
      </c>
      <c r="AG126">
        <v>0</v>
      </c>
      <c r="AH126">
        <v>0</v>
      </c>
      <c r="AI126" t="s">
        <v>95</v>
      </c>
      <c r="AJ126" t="s">
        <v>96</v>
      </c>
      <c r="AK126">
        <v>0.77100199999999997</v>
      </c>
      <c r="AL126">
        <v>0.45489118000000001</v>
      </c>
      <c r="AM126">
        <v>3.0840080000000001E-3</v>
      </c>
      <c r="AN126">
        <v>2.7756072E-2</v>
      </c>
      <c r="AO126">
        <v>7.7100199999999994E-2</v>
      </c>
    </row>
    <row r="127" spans="1:146" x14ac:dyDescent="0.35">
      <c r="A127" t="s">
        <v>380</v>
      </c>
      <c r="B127" s="2">
        <f t="shared" si="5"/>
        <v>133.62</v>
      </c>
      <c r="C127" s="2">
        <f t="shared" si="6"/>
        <v>130</v>
      </c>
      <c r="D127" s="2">
        <f t="shared" si="7"/>
        <v>5.85</v>
      </c>
      <c r="E127" s="2">
        <f t="shared" si="8"/>
        <v>18.8</v>
      </c>
      <c r="F127" s="2">
        <f t="shared" si="9"/>
        <v>2.0859999999999999</v>
      </c>
      <c r="G127" t="s">
        <v>46</v>
      </c>
      <c r="H127" t="s">
        <v>47</v>
      </c>
      <c r="I127">
        <v>46</v>
      </c>
      <c r="J127">
        <v>15.18</v>
      </c>
      <c r="K127">
        <v>0.13800000000000001</v>
      </c>
      <c r="L127">
        <v>3.68</v>
      </c>
      <c r="M127">
        <v>0.32200000000000001</v>
      </c>
      <c r="N127" t="s">
        <v>21</v>
      </c>
      <c r="O127" t="s">
        <v>22</v>
      </c>
      <c r="P127">
        <v>84</v>
      </c>
      <c r="Q127">
        <v>118.44</v>
      </c>
      <c r="R127">
        <v>5.7119999999999997</v>
      </c>
      <c r="S127">
        <v>15.12</v>
      </c>
      <c r="T127">
        <v>1.764</v>
      </c>
    </row>
    <row r="128" spans="1:146" x14ac:dyDescent="0.35">
      <c r="A128" t="s">
        <v>381</v>
      </c>
      <c r="B128" s="2">
        <f t="shared" si="5"/>
        <v>294.78399999999999</v>
      </c>
      <c r="C128" s="2">
        <f t="shared" si="6"/>
        <v>224</v>
      </c>
      <c r="D128" s="2">
        <f t="shared" si="7"/>
        <v>2.464</v>
      </c>
      <c r="E128" s="2">
        <f t="shared" si="8"/>
        <v>55.552</v>
      </c>
      <c r="F128" s="2">
        <f t="shared" si="9"/>
        <v>11.423999999999999</v>
      </c>
      <c r="G128" t="s">
        <v>382</v>
      </c>
      <c r="H128" t="s">
        <v>383</v>
      </c>
      <c r="I128">
        <v>224</v>
      </c>
      <c r="J128">
        <v>294.78399999999999</v>
      </c>
      <c r="K128">
        <v>2.464</v>
      </c>
      <c r="L128">
        <v>55.552</v>
      </c>
      <c r="M128">
        <v>11.423999999999999</v>
      </c>
    </row>
    <row r="129" spans="1:104" x14ac:dyDescent="0.35">
      <c r="A129" t="s">
        <v>384</v>
      </c>
      <c r="B129" s="2">
        <f t="shared" si="5"/>
        <v>262.86333214000001</v>
      </c>
      <c r="C129" s="2">
        <f t="shared" si="6"/>
        <v>115.99999800000001</v>
      </c>
      <c r="D129" s="2">
        <f t="shared" si="7"/>
        <v>17.787999996</v>
      </c>
      <c r="E129" s="2">
        <f t="shared" si="8"/>
        <v>1.833666692</v>
      </c>
      <c r="F129" s="2">
        <f t="shared" si="9"/>
        <v>21.891666409999999</v>
      </c>
      <c r="G129" t="s">
        <v>63</v>
      </c>
      <c r="H129" t="s">
        <v>64</v>
      </c>
      <c r="I129">
        <v>42</v>
      </c>
      <c r="J129">
        <v>227.22</v>
      </c>
      <c r="K129">
        <v>17.64</v>
      </c>
      <c r="L129">
        <v>0.58799999999999997</v>
      </c>
      <c r="M129">
        <v>15.54</v>
      </c>
      <c r="N129" t="s">
        <v>29</v>
      </c>
      <c r="O129" t="s">
        <v>30</v>
      </c>
      <c r="P129">
        <v>61.666663999999997</v>
      </c>
      <c r="Q129">
        <v>32.066665280000002</v>
      </c>
      <c r="R129">
        <v>0.12333332800000001</v>
      </c>
      <c r="S129">
        <v>0.43166664799999999</v>
      </c>
      <c r="T129">
        <v>6.1666664000000004</v>
      </c>
      <c r="U129" t="s">
        <v>31</v>
      </c>
      <c r="V129" t="s">
        <v>32</v>
      </c>
      <c r="W129">
        <v>12.333334000000001</v>
      </c>
      <c r="X129">
        <v>3.57666686</v>
      </c>
      <c r="Y129">
        <v>2.4666667999999999E-2</v>
      </c>
      <c r="Z129">
        <v>0.81400004400000003</v>
      </c>
      <c r="AA129">
        <v>0.18500000999999999</v>
      </c>
    </row>
    <row r="130" spans="1:104" x14ac:dyDescent="0.35">
      <c r="A130" t="s">
        <v>385</v>
      </c>
      <c r="B130" s="2">
        <f t="shared" si="5"/>
        <v>103.6</v>
      </c>
      <c r="C130" s="2">
        <f t="shared" si="6"/>
        <v>70</v>
      </c>
      <c r="D130" s="2">
        <f t="shared" si="7"/>
        <v>7.7</v>
      </c>
      <c r="E130" s="2">
        <f t="shared" si="8"/>
        <v>1.1200000000000001</v>
      </c>
      <c r="F130" s="2">
        <f t="shared" si="9"/>
        <v>7</v>
      </c>
      <c r="G130" t="s">
        <v>24</v>
      </c>
      <c r="H130" t="s">
        <v>25</v>
      </c>
      <c r="I130">
        <v>70</v>
      </c>
      <c r="J130">
        <v>103.6</v>
      </c>
      <c r="K130">
        <v>7.7</v>
      </c>
      <c r="L130">
        <v>1.1200000000000001</v>
      </c>
      <c r="M130">
        <v>7</v>
      </c>
    </row>
    <row r="131" spans="1:104" x14ac:dyDescent="0.35">
      <c r="A131" t="s">
        <v>386</v>
      </c>
      <c r="B131" s="2">
        <f t="shared" ref="B131:B194" si="10">J131+Q131+X131+AE131+AL131+AS131+AZ131+BG131+BN131+BU131+CB131+CI131+CP131+CW131+DD131+DK131+DR131+DY131+EF131+EM131+ET131</f>
        <v>62.397240883999999</v>
      </c>
      <c r="C131" s="2">
        <f t="shared" ref="C131:C194" si="11">I131+P131+W131+AD131+AK131+AR131+AY131+BF131+BM131+BT131+CA131+CH131+CO131+CV131+DC131+DJ131+DQ131+DX131+EE131+EL131+ES131</f>
        <v>40</v>
      </c>
      <c r="D131" s="2">
        <f t="shared" ref="D131:D194" si="12">K131+R131+Y131+AF131+AM131+AT131+BA131+BH131+BO131+BV131+CC131+CJ131+CQ131+CX131+DE131+DL131+DS131+DZ131+EG131+EN131+EU131</f>
        <v>2.6073613430000004</v>
      </c>
      <c r="E131" s="2">
        <f t="shared" ref="E131:E194" si="13">L131+S131+Z131+AG131+AN131+AU131+BB131+BI131+BP131+BW131+CD131+CK131+CR131+CY131+DF131+DM131+DT131+EA131+EH131+EO131+EV131</f>
        <v>1.8371352260000002</v>
      </c>
      <c r="F131" s="2">
        <f t="shared" ref="F131:F194" si="14">M131+T131+AA131+AH131+AO131+AV131+BC131+BJ131+BQ131+BX131+CE131+CL131+CS131+CZ131+DG131+DN131+DU131+EB131+EI131+EP131+EW131</f>
        <v>7.2452221339999987</v>
      </c>
      <c r="G131" t="s">
        <v>216</v>
      </c>
      <c r="H131" t="s">
        <v>217</v>
      </c>
      <c r="I131">
        <v>5.8023569999999998</v>
      </c>
      <c r="J131">
        <v>6.4406162699999996</v>
      </c>
      <c r="K131">
        <v>5.2221213000000002E-2</v>
      </c>
      <c r="L131">
        <v>1.3345421099999999</v>
      </c>
      <c r="M131">
        <v>0.15086128200000001</v>
      </c>
      <c r="N131" t="s">
        <v>106</v>
      </c>
      <c r="O131" t="s">
        <v>107</v>
      </c>
      <c r="P131">
        <v>1.4505889999999999</v>
      </c>
      <c r="Q131">
        <v>0.33363546999999999</v>
      </c>
      <c r="R131">
        <v>5.8023559999999998E-3</v>
      </c>
      <c r="S131">
        <v>5.2221204E-2</v>
      </c>
      <c r="T131">
        <v>4.2067080999999999E-2</v>
      </c>
      <c r="U131" t="s">
        <v>89</v>
      </c>
      <c r="V131" t="s">
        <v>90</v>
      </c>
      <c r="W131">
        <v>0.58023599999999997</v>
      </c>
      <c r="X131">
        <v>0.23209440000000001</v>
      </c>
      <c r="Y131">
        <v>5.8023600000000003E-4</v>
      </c>
      <c r="Z131">
        <v>5.2221240000000002E-2</v>
      </c>
      <c r="AA131">
        <v>6.3825959999999999E-3</v>
      </c>
      <c r="AB131" t="s">
        <v>71</v>
      </c>
      <c r="AC131" t="s">
        <v>72</v>
      </c>
      <c r="AD131">
        <v>0.87035399999999996</v>
      </c>
      <c r="AE131">
        <v>1.29682746</v>
      </c>
      <c r="AF131">
        <v>4.3517699999999996E-3</v>
      </c>
      <c r="AG131">
        <v>0.28721681999999998</v>
      </c>
      <c r="AH131">
        <v>5.5702656000000003E-2</v>
      </c>
      <c r="AI131" t="s">
        <v>73</v>
      </c>
      <c r="AJ131" t="s">
        <v>74</v>
      </c>
      <c r="AK131">
        <v>0.87035399999999996</v>
      </c>
      <c r="AL131">
        <v>0.1740708</v>
      </c>
      <c r="AM131">
        <v>1.7407080000000001E-3</v>
      </c>
      <c r="AN131">
        <v>2.8721681999999998E-2</v>
      </c>
      <c r="AO131">
        <v>1.3055310000000001E-2</v>
      </c>
      <c r="AP131" t="s">
        <v>7</v>
      </c>
      <c r="AQ131" t="s">
        <v>8</v>
      </c>
      <c r="AR131">
        <v>0.217588</v>
      </c>
      <c r="AS131">
        <v>1.9234779200000001</v>
      </c>
      <c r="AT131">
        <v>0.217588</v>
      </c>
      <c r="AU131">
        <v>0</v>
      </c>
      <c r="AV131">
        <v>0</v>
      </c>
      <c r="AW131" t="s">
        <v>151</v>
      </c>
      <c r="AX131" t="s">
        <v>152</v>
      </c>
      <c r="AY131">
        <v>7.2528999999999996E-2</v>
      </c>
      <c r="AZ131">
        <v>2.9011599999999999E-2</v>
      </c>
      <c r="BA131">
        <v>2.9011599999999999E-4</v>
      </c>
      <c r="BB131">
        <v>6.4550809999999997E-3</v>
      </c>
      <c r="BC131">
        <v>1.3055219999999999E-3</v>
      </c>
      <c r="BD131" t="s">
        <v>11</v>
      </c>
      <c r="BE131" t="s">
        <v>12</v>
      </c>
      <c r="BF131">
        <v>7.2528999999999996E-2</v>
      </c>
      <c r="BG131">
        <v>0</v>
      </c>
      <c r="BH131">
        <v>0</v>
      </c>
      <c r="BI131">
        <v>0</v>
      </c>
      <c r="BJ131">
        <v>0</v>
      </c>
      <c r="BK131" t="s">
        <v>266</v>
      </c>
      <c r="BL131" t="s">
        <v>267</v>
      </c>
      <c r="BM131">
        <v>29.011786000000001</v>
      </c>
      <c r="BN131">
        <v>51.640979080000001</v>
      </c>
      <c r="BO131">
        <v>2.32094288</v>
      </c>
      <c r="BP131">
        <v>0</v>
      </c>
      <c r="BQ131">
        <v>6.9628286399999997</v>
      </c>
      <c r="BR131" t="s">
        <v>205</v>
      </c>
      <c r="BS131" t="s">
        <v>206</v>
      </c>
      <c r="BT131">
        <v>3.6264999999999999E-2</v>
      </c>
      <c r="BU131">
        <v>1.08795E-2</v>
      </c>
      <c r="BV131" s="1">
        <v>7.2529999999999998E-5</v>
      </c>
      <c r="BW131">
        <v>3.8078249999999999E-3</v>
      </c>
      <c r="BX131">
        <v>2.5385499999999999E-4</v>
      </c>
      <c r="BY131" t="s">
        <v>36</v>
      </c>
      <c r="BZ131" t="s">
        <v>37</v>
      </c>
      <c r="CA131">
        <v>0.29011799999999999</v>
      </c>
      <c r="CB131">
        <v>8.4134219999999996E-2</v>
      </c>
      <c r="CC131">
        <v>1.1604720000000001E-3</v>
      </c>
      <c r="CD131">
        <v>1.885767E-2</v>
      </c>
      <c r="CE131">
        <v>2.6110619999999999E-3</v>
      </c>
      <c r="CF131" t="s">
        <v>81</v>
      </c>
      <c r="CG131" t="s">
        <v>82</v>
      </c>
      <c r="CH131">
        <v>0.29011799999999999</v>
      </c>
      <c r="CI131">
        <v>4.9320059999999999E-2</v>
      </c>
      <c r="CJ131">
        <v>0</v>
      </c>
      <c r="CK131">
        <v>1.6246607999999999E-2</v>
      </c>
      <c r="CL131">
        <v>1.1604720000000001E-3</v>
      </c>
      <c r="CM131" t="s">
        <v>166</v>
      </c>
      <c r="CN131" t="s">
        <v>167</v>
      </c>
      <c r="CO131">
        <v>0.29011799999999999</v>
      </c>
      <c r="CP131">
        <v>6.6146904000000006E-2</v>
      </c>
      <c r="CQ131">
        <v>1.4505900000000001E-3</v>
      </c>
      <c r="CR131">
        <v>1.0734366E-2</v>
      </c>
      <c r="CS131">
        <v>6.3825959999999999E-3</v>
      </c>
      <c r="CT131" t="s">
        <v>168</v>
      </c>
      <c r="CU131" t="s">
        <v>169</v>
      </c>
      <c r="CV131">
        <v>0.14505899999999999</v>
      </c>
      <c r="CW131">
        <v>0.1160472</v>
      </c>
      <c r="CX131">
        <v>1.1604720000000001E-3</v>
      </c>
      <c r="CY131">
        <v>2.6110620000000001E-2</v>
      </c>
      <c r="CZ131">
        <v>2.6110619999999999E-3</v>
      </c>
    </row>
    <row r="132" spans="1:104" x14ac:dyDescent="0.35">
      <c r="A132" t="s">
        <v>387</v>
      </c>
      <c r="B132" s="2">
        <f t="shared" si="10"/>
        <v>210.99</v>
      </c>
      <c r="C132" s="2">
        <f t="shared" si="11"/>
        <v>39</v>
      </c>
      <c r="D132" s="2">
        <f t="shared" si="12"/>
        <v>16.38</v>
      </c>
      <c r="E132" s="2">
        <f t="shared" si="13"/>
        <v>0.54600000000000004</v>
      </c>
      <c r="F132" s="2">
        <f t="shared" si="14"/>
        <v>14.43</v>
      </c>
      <c r="G132" t="s">
        <v>63</v>
      </c>
      <c r="H132" t="s">
        <v>64</v>
      </c>
      <c r="I132">
        <v>39</v>
      </c>
      <c r="J132">
        <v>210.99</v>
      </c>
      <c r="K132">
        <v>16.38</v>
      </c>
      <c r="L132">
        <v>0.54600000000000004</v>
      </c>
      <c r="M132">
        <v>14.43</v>
      </c>
    </row>
    <row r="133" spans="1:104" x14ac:dyDescent="0.35">
      <c r="A133" t="s">
        <v>388</v>
      </c>
      <c r="B133" s="2">
        <f t="shared" si="10"/>
        <v>279.69333214</v>
      </c>
      <c r="C133" s="2">
        <f t="shared" si="11"/>
        <v>166.99999800000001</v>
      </c>
      <c r="D133" s="2">
        <f t="shared" si="12"/>
        <v>17.940999995999999</v>
      </c>
      <c r="E133" s="2">
        <f t="shared" si="13"/>
        <v>5.9136666920000005</v>
      </c>
      <c r="F133" s="2">
        <f t="shared" si="14"/>
        <v>22.248666409999998</v>
      </c>
      <c r="G133" t="s">
        <v>46</v>
      </c>
      <c r="H133" t="s">
        <v>47</v>
      </c>
      <c r="I133">
        <v>51</v>
      </c>
      <c r="J133">
        <v>16.829999999999998</v>
      </c>
      <c r="K133">
        <v>0.153</v>
      </c>
      <c r="L133">
        <v>4.08</v>
      </c>
      <c r="M133">
        <v>0.35699999999999998</v>
      </c>
      <c r="N133" t="s">
        <v>63</v>
      </c>
      <c r="O133" t="s">
        <v>64</v>
      </c>
      <c r="P133">
        <v>42</v>
      </c>
      <c r="Q133">
        <v>227.22</v>
      </c>
      <c r="R133">
        <v>17.64</v>
      </c>
      <c r="S133">
        <v>0.58799999999999997</v>
      </c>
      <c r="T133">
        <v>15.54</v>
      </c>
      <c r="U133" t="s">
        <v>29</v>
      </c>
      <c r="V133" t="s">
        <v>30</v>
      </c>
      <c r="W133">
        <v>61.666663999999997</v>
      </c>
      <c r="X133">
        <v>32.066665280000002</v>
      </c>
      <c r="Y133">
        <v>0.12333332800000001</v>
      </c>
      <c r="Z133">
        <v>0.43166664799999999</v>
      </c>
      <c r="AA133">
        <v>6.1666664000000004</v>
      </c>
      <c r="AB133" t="s">
        <v>31</v>
      </c>
      <c r="AC133" t="s">
        <v>32</v>
      </c>
      <c r="AD133">
        <v>12.333334000000001</v>
      </c>
      <c r="AE133">
        <v>3.57666686</v>
      </c>
      <c r="AF133">
        <v>2.4666667999999999E-2</v>
      </c>
      <c r="AG133">
        <v>0.81400004400000003</v>
      </c>
      <c r="AH133">
        <v>0.18500000999999999</v>
      </c>
    </row>
    <row r="134" spans="1:104" x14ac:dyDescent="0.35">
      <c r="A134" t="s">
        <v>389</v>
      </c>
      <c r="B134" s="2">
        <f t="shared" si="10"/>
        <v>232.48507075500004</v>
      </c>
      <c r="C134" s="2">
        <f t="shared" si="11"/>
        <v>202.00000300000002</v>
      </c>
      <c r="D134" s="2">
        <f t="shared" si="12"/>
        <v>13.714640527000002</v>
      </c>
      <c r="E134" s="2">
        <f t="shared" si="13"/>
        <v>4.9227874040000001</v>
      </c>
      <c r="F134" s="2">
        <f t="shared" si="14"/>
        <v>21.862524641999997</v>
      </c>
      <c r="G134" t="s">
        <v>1</v>
      </c>
      <c r="H134" t="s">
        <v>2</v>
      </c>
      <c r="I134">
        <v>30.974352</v>
      </c>
      <c r="J134">
        <v>10.531279680000001</v>
      </c>
      <c r="K134">
        <v>0.21682046399999999</v>
      </c>
      <c r="L134">
        <v>2.1062559360000002</v>
      </c>
      <c r="M134">
        <v>0.21682046399999999</v>
      </c>
      <c r="N134" t="s">
        <v>89</v>
      </c>
      <c r="O134" t="s">
        <v>90</v>
      </c>
      <c r="P134">
        <v>11.263400000000001</v>
      </c>
      <c r="Q134">
        <v>4.5053599999999996</v>
      </c>
      <c r="R134">
        <v>1.12634E-2</v>
      </c>
      <c r="S134">
        <v>1.013706</v>
      </c>
      <c r="T134">
        <v>0.1238974</v>
      </c>
      <c r="U134" t="s">
        <v>71</v>
      </c>
      <c r="V134" t="s">
        <v>72</v>
      </c>
      <c r="W134">
        <v>2.3456030000000001</v>
      </c>
      <c r="X134">
        <v>3.4949484700000002</v>
      </c>
      <c r="Y134">
        <v>1.1728015E-2</v>
      </c>
      <c r="Z134">
        <v>0.77404899000000005</v>
      </c>
      <c r="AA134">
        <v>0.150118592</v>
      </c>
      <c r="AB134" t="s">
        <v>160</v>
      </c>
      <c r="AC134" t="s">
        <v>161</v>
      </c>
      <c r="AD134">
        <v>84.475502000000006</v>
      </c>
      <c r="AE134">
        <v>149.69058954400001</v>
      </c>
      <c r="AF134">
        <v>7.0114666659999996</v>
      </c>
      <c r="AG134">
        <v>0</v>
      </c>
      <c r="AH134">
        <v>20.189644978</v>
      </c>
      <c r="AI134" t="s">
        <v>151</v>
      </c>
      <c r="AJ134" t="s">
        <v>152</v>
      </c>
      <c r="AK134">
        <v>5.6316999999999999E-2</v>
      </c>
      <c r="AL134">
        <v>2.25268E-2</v>
      </c>
      <c r="AM134">
        <v>2.2526800000000001E-4</v>
      </c>
      <c r="AN134">
        <v>5.0122129999999997E-3</v>
      </c>
      <c r="AO134">
        <v>1.0137060000000001E-3</v>
      </c>
      <c r="AP134" t="s">
        <v>11</v>
      </c>
      <c r="AQ134" t="s">
        <v>12</v>
      </c>
      <c r="AR134">
        <v>9.9325999999999998E-2</v>
      </c>
      <c r="AS134">
        <v>0</v>
      </c>
      <c r="AT134">
        <v>0</v>
      </c>
      <c r="AU134">
        <v>0</v>
      </c>
      <c r="AV134">
        <v>0</v>
      </c>
      <c r="AW134" t="s">
        <v>162</v>
      </c>
      <c r="AX134" t="s">
        <v>163</v>
      </c>
      <c r="AY134">
        <v>45.701248</v>
      </c>
      <c r="AZ134">
        <v>0</v>
      </c>
      <c r="BA134">
        <v>0</v>
      </c>
      <c r="BB134">
        <v>0</v>
      </c>
      <c r="BC134">
        <v>0</v>
      </c>
      <c r="BD134" t="s">
        <v>164</v>
      </c>
      <c r="BE134" t="s">
        <v>165</v>
      </c>
      <c r="BF134">
        <v>17.148527000000001</v>
      </c>
      <c r="BG134">
        <v>57.670496301</v>
      </c>
      <c r="BH134">
        <v>6.2763608819999996</v>
      </c>
      <c r="BI134">
        <v>0.463010229</v>
      </c>
      <c r="BJ134">
        <v>0.48015875600000002</v>
      </c>
      <c r="BK134" t="s">
        <v>81</v>
      </c>
      <c r="BL134" t="s">
        <v>82</v>
      </c>
      <c r="BM134">
        <v>0.17599100000000001</v>
      </c>
      <c r="BN134">
        <v>2.9918469999999999E-2</v>
      </c>
      <c r="BO134">
        <v>0</v>
      </c>
      <c r="BP134">
        <v>9.855496E-3</v>
      </c>
      <c r="BQ134">
        <v>7.0396399999999996E-4</v>
      </c>
      <c r="BR134" t="s">
        <v>166</v>
      </c>
      <c r="BS134" t="s">
        <v>167</v>
      </c>
      <c r="BT134">
        <v>1.875356</v>
      </c>
      <c r="BU134">
        <v>0.42758116800000001</v>
      </c>
      <c r="BV134">
        <v>9.3767799999999995E-3</v>
      </c>
      <c r="BW134">
        <v>6.9388171999999998E-2</v>
      </c>
      <c r="BX134">
        <v>4.1257832000000001E-2</v>
      </c>
      <c r="BY134" t="s">
        <v>168</v>
      </c>
      <c r="BZ134" t="s">
        <v>169</v>
      </c>
      <c r="CA134">
        <v>1.4079250000000001</v>
      </c>
      <c r="CB134">
        <v>1.1263399999999999</v>
      </c>
      <c r="CC134">
        <v>1.12634E-2</v>
      </c>
      <c r="CD134">
        <v>0.2534265</v>
      </c>
      <c r="CE134">
        <v>2.5342650000000001E-2</v>
      </c>
      <c r="CF134" t="s">
        <v>95</v>
      </c>
      <c r="CG134" t="s">
        <v>96</v>
      </c>
      <c r="CH134">
        <v>6.3356630000000003</v>
      </c>
      <c r="CI134">
        <v>3.7380411699999998</v>
      </c>
      <c r="CJ134">
        <v>2.5342652E-2</v>
      </c>
      <c r="CK134">
        <v>0.228083868</v>
      </c>
      <c r="CL134">
        <v>0.63356630000000003</v>
      </c>
      <c r="CM134" t="s">
        <v>170</v>
      </c>
      <c r="CO134">
        <v>0.140793</v>
      </c>
      <c r="CP134">
        <v>1.2479891519999999</v>
      </c>
      <c r="CQ134">
        <v>0.140793</v>
      </c>
      <c r="CR134">
        <v>0</v>
      </c>
      <c r="CS134">
        <v>0</v>
      </c>
    </row>
    <row r="135" spans="1:104" x14ac:dyDescent="0.35">
      <c r="A135" t="s">
        <v>390</v>
      </c>
      <c r="B135" s="2">
        <f t="shared" si="10"/>
        <v>125.71499999999999</v>
      </c>
      <c r="C135" s="2">
        <f t="shared" si="11"/>
        <v>261</v>
      </c>
      <c r="D135" s="2">
        <f t="shared" si="12"/>
        <v>0.52200000000000002</v>
      </c>
      <c r="E135" s="2">
        <f t="shared" si="13"/>
        <v>4.3934999999999995</v>
      </c>
      <c r="F135" s="2">
        <f t="shared" si="14"/>
        <v>22.4025</v>
      </c>
      <c r="G135" t="s">
        <v>29</v>
      </c>
      <c r="H135" t="s">
        <v>30</v>
      </c>
      <c r="I135">
        <v>217.5</v>
      </c>
      <c r="J135">
        <v>113.1</v>
      </c>
      <c r="K135">
        <v>0.435</v>
      </c>
      <c r="L135">
        <v>1.5225</v>
      </c>
      <c r="M135">
        <v>21.75</v>
      </c>
      <c r="N135" t="s">
        <v>31</v>
      </c>
      <c r="O135" t="s">
        <v>32</v>
      </c>
      <c r="P135">
        <v>43.5</v>
      </c>
      <c r="Q135">
        <v>12.615</v>
      </c>
      <c r="R135">
        <v>8.6999999999999994E-2</v>
      </c>
      <c r="S135">
        <v>2.871</v>
      </c>
      <c r="T135">
        <v>0.65249999999999997</v>
      </c>
    </row>
    <row r="136" spans="1:104" x14ac:dyDescent="0.35">
      <c r="A136" t="s">
        <v>391</v>
      </c>
      <c r="B136" s="2">
        <f t="shared" si="10"/>
        <v>284.04802706100003</v>
      </c>
      <c r="C136" s="2">
        <f t="shared" si="11"/>
        <v>196.00000100000005</v>
      </c>
      <c r="D136" s="2">
        <f t="shared" si="12"/>
        <v>8.6833955739999986</v>
      </c>
      <c r="E136" s="2">
        <f t="shared" si="13"/>
        <v>40.866372039000005</v>
      </c>
      <c r="F136" s="2">
        <f t="shared" si="14"/>
        <v>10.900471903</v>
      </c>
      <c r="G136" t="s">
        <v>137</v>
      </c>
      <c r="H136" t="s">
        <v>138</v>
      </c>
      <c r="I136">
        <v>57</v>
      </c>
      <c r="J136">
        <v>46.17</v>
      </c>
      <c r="K136">
        <v>0.22800000000000001</v>
      </c>
      <c r="L136">
        <v>7.98</v>
      </c>
      <c r="M136">
        <v>2.85</v>
      </c>
      <c r="N136" t="s">
        <v>7</v>
      </c>
      <c r="O136" t="s">
        <v>8</v>
      </c>
      <c r="P136">
        <v>4.1984180000000002</v>
      </c>
      <c r="Q136">
        <v>37.114015119999998</v>
      </c>
      <c r="R136">
        <v>4.1984180000000002</v>
      </c>
      <c r="S136">
        <v>0</v>
      </c>
      <c r="T136">
        <v>0</v>
      </c>
      <c r="U136" t="s">
        <v>51</v>
      </c>
      <c r="V136" t="s">
        <v>52</v>
      </c>
      <c r="W136">
        <v>16.793671</v>
      </c>
      <c r="X136">
        <v>46.619230696000002</v>
      </c>
      <c r="Y136">
        <v>2.8717177409999999</v>
      </c>
      <c r="Z136">
        <v>0.53739747199999999</v>
      </c>
      <c r="AA136">
        <v>4.7022278799999997</v>
      </c>
      <c r="AB136" t="s">
        <v>113</v>
      </c>
      <c r="AC136" t="s">
        <v>114</v>
      </c>
      <c r="AD136">
        <v>79</v>
      </c>
      <c r="AE136">
        <v>97.17</v>
      </c>
      <c r="AF136">
        <v>0.316</v>
      </c>
      <c r="AG136">
        <v>22.12</v>
      </c>
      <c r="AH136">
        <v>1.8169999999999999</v>
      </c>
      <c r="AI136" t="s">
        <v>57</v>
      </c>
      <c r="AJ136" t="s">
        <v>58</v>
      </c>
      <c r="AK136">
        <v>4.1984180000000002</v>
      </c>
      <c r="AL136">
        <v>1.00762032</v>
      </c>
      <c r="AM136">
        <v>0</v>
      </c>
      <c r="AN136">
        <v>8.3968360000000006E-2</v>
      </c>
      <c r="AO136">
        <v>0.16793672000000001</v>
      </c>
      <c r="AP136" t="s">
        <v>59</v>
      </c>
      <c r="AR136">
        <v>22.214241000000001</v>
      </c>
      <c r="AS136">
        <v>52.314537555000001</v>
      </c>
      <c r="AT136">
        <v>1.0440693270000001</v>
      </c>
      <c r="AU136">
        <v>9.2633384969999994</v>
      </c>
      <c r="AV136">
        <v>1.1995690139999999</v>
      </c>
      <c r="AW136" t="s">
        <v>60</v>
      </c>
      <c r="AY136">
        <v>12.595253</v>
      </c>
      <c r="AZ136">
        <v>3.6526233700000001</v>
      </c>
      <c r="BA136">
        <v>2.5190506000000001E-2</v>
      </c>
      <c r="BB136">
        <v>0.88166770999999999</v>
      </c>
      <c r="BC136">
        <v>0.16373828900000001</v>
      </c>
    </row>
    <row r="137" spans="1:104" x14ac:dyDescent="0.35">
      <c r="A137" t="s">
        <v>392</v>
      </c>
      <c r="B137" s="2">
        <f t="shared" si="10"/>
        <v>172.8</v>
      </c>
      <c r="C137" s="2">
        <f t="shared" si="11"/>
        <v>128</v>
      </c>
      <c r="D137" s="2">
        <f t="shared" si="12"/>
        <v>6.4</v>
      </c>
      <c r="E137" s="2">
        <f t="shared" si="13"/>
        <v>19.712</v>
      </c>
      <c r="F137" s="2">
        <f t="shared" si="14"/>
        <v>9.2159999999999993</v>
      </c>
      <c r="G137" t="s">
        <v>276</v>
      </c>
      <c r="H137" t="s">
        <v>277</v>
      </c>
      <c r="I137">
        <v>128</v>
      </c>
      <c r="J137">
        <v>172.8</v>
      </c>
      <c r="K137">
        <v>6.4</v>
      </c>
      <c r="L137">
        <v>19.712</v>
      </c>
      <c r="M137">
        <v>9.2159999999999993</v>
      </c>
    </row>
    <row r="138" spans="1:104" x14ac:dyDescent="0.35">
      <c r="A138" t="s">
        <v>393</v>
      </c>
      <c r="B138" s="2">
        <f t="shared" si="10"/>
        <v>432.57</v>
      </c>
      <c r="C138" s="2">
        <f t="shared" si="11"/>
        <v>199</v>
      </c>
      <c r="D138" s="2">
        <f t="shared" si="12"/>
        <v>32.411999999999999</v>
      </c>
      <c r="E138" s="2">
        <f t="shared" si="13"/>
        <v>4.3979999999999997</v>
      </c>
      <c r="F138" s="2">
        <f t="shared" si="14"/>
        <v>29.3</v>
      </c>
      <c r="G138" t="s">
        <v>63</v>
      </c>
      <c r="H138" t="s">
        <v>64</v>
      </c>
      <c r="I138">
        <v>43</v>
      </c>
      <c r="J138">
        <v>232.63</v>
      </c>
      <c r="K138">
        <v>18.059999999999999</v>
      </c>
      <c r="L138">
        <v>0.60199999999999998</v>
      </c>
      <c r="M138">
        <v>15.91</v>
      </c>
      <c r="N138" t="s">
        <v>24</v>
      </c>
      <c r="O138" t="s">
        <v>25</v>
      </c>
      <c r="P138">
        <v>130</v>
      </c>
      <c r="Q138">
        <v>192.4</v>
      </c>
      <c r="R138">
        <v>14.3</v>
      </c>
      <c r="S138">
        <v>2.08</v>
      </c>
      <c r="T138">
        <v>13</v>
      </c>
      <c r="U138" t="s">
        <v>31</v>
      </c>
      <c r="V138" t="s">
        <v>32</v>
      </c>
      <c r="W138">
        <v>26</v>
      </c>
      <c r="X138">
        <v>7.54</v>
      </c>
      <c r="Y138">
        <v>5.1999999999999998E-2</v>
      </c>
      <c r="Z138">
        <v>1.716</v>
      </c>
      <c r="AA138">
        <v>0.39</v>
      </c>
    </row>
    <row r="139" spans="1:104" x14ac:dyDescent="0.35">
      <c r="A139" t="s">
        <v>394</v>
      </c>
      <c r="B139" s="2">
        <f t="shared" si="10"/>
        <v>282.12200000000001</v>
      </c>
      <c r="C139" s="2">
        <f t="shared" si="11"/>
        <v>85</v>
      </c>
      <c r="D139" s="2">
        <f t="shared" si="12"/>
        <v>20.131</v>
      </c>
      <c r="E139" s="2">
        <f t="shared" si="13"/>
        <v>19.693999999999999</v>
      </c>
      <c r="F139" s="2">
        <f t="shared" si="14"/>
        <v>6.7190000000000003</v>
      </c>
      <c r="G139" t="s">
        <v>27</v>
      </c>
      <c r="H139" t="s">
        <v>28</v>
      </c>
      <c r="I139">
        <v>58</v>
      </c>
      <c r="J139">
        <v>189.08</v>
      </c>
      <c r="K139">
        <v>12.76</v>
      </c>
      <c r="L139">
        <v>18.559999999999999</v>
      </c>
      <c r="M139">
        <v>1.508</v>
      </c>
      <c r="N139" t="s">
        <v>43</v>
      </c>
      <c r="O139" t="s">
        <v>44</v>
      </c>
      <c r="P139">
        <v>27</v>
      </c>
      <c r="Q139">
        <v>93.042000000000002</v>
      </c>
      <c r="R139">
        <v>7.3710000000000004</v>
      </c>
      <c r="S139">
        <v>1.1339999999999999</v>
      </c>
      <c r="T139">
        <v>5.2110000000000003</v>
      </c>
    </row>
    <row r="140" spans="1:104" x14ac:dyDescent="0.35">
      <c r="A140" t="s">
        <v>395</v>
      </c>
      <c r="B140" s="2">
        <f t="shared" si="10"/>
        <v>2.0699999999999998</v>
      </c>
      <c r="C140" s="2">
        <f t="shared" si="11"/>
        <v>3</v>
      </c>
      <c r="D140" s="2">
        <f t="shared" si="12"/>
        <v>6.0000000000000001E-3</v>
      </c>
      <c r="E140" s="2">
        <f t="shared" si="13"/>
        <v>0.54</v>
      </c>
      <c r="F140" s="2">
        <f t="shared" si="14"/>
        <v>2.1000000000000001E-2</v>
      </c>
      <c r="G140" t="s">
        <v>181</v>
      </c>
      <c r="H140" t="s">
        <v>182</v>
      </c>
      <c r="I140">
        <v>3</v>
      </c>
      <c r="J140">
        <v>2.0699999999999998</v>
      </c>
      <c r="K140">
        <v>6.0000000000000001E-3</v>
      </c>
      <c r="L140">
        <v>0.54</v>
      </c>
      <c r="M140">
        <v>2.1000000000000001E-2</v>
      </c>
    </row>
    <row r="141" spans="1:104" x14ac:dyDescent="0.35">
      <c r="A141" t="s">
        <v>396</v>
      </c>
      <c r="B141" s="2">
        <f t="shared" si="10"/>
        <v>120.64</v>
      </c>
      <c r="C141" s="2">
        <f t="shared" si="11"/>
        <v>232</v>
      </c>
      <c r="D141" s="2">
        <f t="shared" si="12"/>
        <v>0.46400000000000002</v>
      </c>
      <c r="E141" s="2">
        <f t="shared" si="13"/>
        <v>1.6240000000000001</v>
      </c>
      <c r="F141" s="2">
        <f t="shared" si="14"/>
        <v>23.2</v>
      </c>
      <c r="G141" t="s">
        <v>29</v>
      </c>
      <c r="H141" t="s">
        <v>30</v>
      </c>
      <c r="I141">
        <v>232</v>
      </c>
      <c r="J141">
        <v>120.64</v>
      </c>
      <c r="K141">
        <v>0.46400000000000002</v>
      </c>
      <c r="L141">
        <v>1.6240000000000001</v>
      </c>
      <c r="M141">
        <v>23.2</v>
      </c>
    </row>
    <row r="142" spans="1:104" x14ac:dyDescent="0.35">
      <c r="A142" t="s">
        <v>397</v>
      </c>
      <c r="B142" s="2">
        <f t="shared" si="10"/>
        <v>267.02</v>
      </c>
      <c r="C142" s="2">
        <f t="shared" si="11"/>
        <v>169</v>
      </c>
      <c r="D142" s="2">
        <f t="shared" si="12"/>
        <v>1.5209999999999999</v>
      </c>
      <c r="E142" s="2">
        <f t="shared" si="13"/>
        <v>52.39</v>
      </c>
      <c r="F142" s="2">
        <f t="shared" si="14"/>
        <v>10.14</v>
      </c>
      <c r="G142" t="s">
        <v>398</v>
      </c>
      <c r="H142" t="s">
        <v>399</v>
      </c>
      <c r="I142">
        <v>169</v>
      </c>
      <c r="J142">
        <v>267.02</v>
      </c>
      <c r="K142">
        <v>1.5209999999999999</v>
      </c>
      <c r="L142">
        <v>52.39</v>
      </c>
      <c r="M142">
        <v>10.14</v>
      </c>
    </row>
    <row r="143" spans="1:104" x14ac:dyDescent="0.35">
      <c r="A143" t="s">
        <v>400</v>
      </c>
      <c r="B143" s="2">
        <f t="shared" si="10"/>
        <v>605.17000000000007</v>
      </c>
      <c r="C143" s="2">
        <f t="shared" si="11"/>
        <v>351</v>
      </c>
      <c r="D143" s="2">
        <f t="shared" si="12"/>
        <v>41.052999999999997</v>
      </c>
      <c r="E143" s="2">
        <f t="shared" si="13"/>
        <v>17.93</v>
      </c>
      <c r="F143" s="2">
        <f t="shared" si="14"/>
        <v>37.791000000000004</v>
      </c>
      <c r="G143" t="s">
        <v>24</v>
      </c>
      <c r="H143" t="s">
        <v>25</v>
      </c>
      <c r="I143">
        <v>120</v>
      </c>
      <c r="J143">
        <v>177.6</v>
      </c>
      <c r="K143">
        <v>13.2</v>
      </c>
      <c r="L143">
        <v>1.92</v>
      </c>
      <c r="M143">
        <v>12</v>
      </c>
      <c r="N143" t="s">
        <v>43</v>
      </c>
      <c r="O143" t="s">
        <v>44</v>
      </c>
      <c r="P143">
        <v>85</v>
      </c>
      <c r="Q143">
        <v>292.91000000000003</v>
      </c>
      <c r="R143">
        <v>23.204999999999998</v>
      </c>
      <c r="S143">
        <v>3.57</v>
      </c>
      <c r="T143">
        <v>16.405000000000001</v>
      </c>
      <c r="U143" t="s">
        <v>29</v>
      </c>
      <c r="V143" t="s">
        <v>30</v>
      </c>
      <c r="W143">
        <v>80</v>
      </c>
      <c r="X143">
        <v>41.6</v>
      </c>
      <c r="Y143">
        <v>0.16</v>
      </c>
      <c r="Z143">
        <v>0.56000000000000005</v>
      </c>
      <c r="AA143">
        <v>8</v>
      </c>
      <c r="AB143" t="s">
        <v>21</v>
      </c>
      <c r="AC143" t="s">
        <v>22</v>
      </c>
      <c r="AD143">
        <v>66</v>
      </c>
      <c r="AE143">
        <v>93.06</v>
      </c>
      <c r="AF143">
        <v>4.4880000000000004</v>
      </c>
      <c r="AG143">
        <v>11.88</v>
      </c>
      <c r="AH143">
        <v>1.3859999999999999</v>
      </c>
    </row>
    <row r="144" spans="1:104" x14ac:dyDescent="0.35">
      <c r="A144" t="s">
        <v>401</v>
      </c>
      <c r="B144" s="2">
        <f t="shared" si="10"/>
        <v>160.87665648000001</v>
      </c>
      <c r="C144" s="2">
        <f t="shared" si="11"/>
        <v>333.99998099999999</v>
      </c>
      <c r="D144" s="2">
        <f t="shared" si="12"/>
        <v>0.66799996200000011</v>
      </c>
      <c r="E144" s="2">
        <f t="shared" si="13"/>
        <v>5.6223332790000002</v>
      </c>
      <c r="F144" s="2">
        <f t="shared" si="14"/>
        <v>28.66833132</v>
      </c>
      <c r="G144" t="s">
        <v>29</v>
      </c>
      <c r="H144" t="s">
        <v>30</v>
      </c>
      <c r="I144">
        <v>278.33331299999998</v>
      </c>
      <c r="J144">
        <v>144.73332275999999</v>
      </c>
      <c r="K144">
        <v>0.55666662600000005</v>
      </c>
      <c r="L144">
        <v>1.9483331909999999</v>
      </c>
      <c r="M144">
        <v>27.833331300000001</v>
      </c>
      <c r="N144" t="s">
        <v>31</v>
      </c>
      <c r="O144" t="s">
        <v>32</v>
      </c>
      <c r="P144">
        <v>55.666668000000001</v>
      </c>
      <c r="Q144">
        <v>16.143333720000001</v>
      </c>
      <c r="R144">
        <v>0.111333336</v>
      </c>
      <c r="S144">
        <v>3.6740000880000001</v>
      </c>
      <c r="T144">
        <v>0.83500001999999995</v>
      </c>
    </row>
    <row r="145" spans="1:132" x14ac:dyDescent="0.35">
      <c r="A145" t="s">
        <v>402</v>
      </c>
      <c r="B145" s="2">
        <f t="shared" si="10"/>
        <v>199.655480133</v>
      </c>
      <c r="C145" s="2">
        <f t="shared" si="11"/>
        <v>179.99999700000001</v>
      </c>
      <c r="D145" s="2">
        <f t="shared" si="12"/>
        <v>11.362967902999999</v>
      </c>
      <c r="E145" s="2">
        <f t="shared" si="13"/>
        <v>16.637405353000002</v>
      </c>
      <c r="F145" s="2">
        <f t="shared" si="14"/>
        <v>7.8861635159999999</v>
      </c>
      <c r="G145" t="s">
        <v>198</v>
      </c>
      <c r="H145" t="s">
        <v>199</v>
      </c>
      <c r="I145">
        <v>110.533638</v>
      </c>
      <c r="J145">
        <v>22.659395790000001</v>
      </c>
      <c r="K145">
        <v>0.33160091400000002</v>
      </c>
      <c r="L145">
        <v>3.758143692</v>
      </c>
      <c r="M145">
        <v>0.99480274199999996</v>
      </c>
      <c r="N145" t="s">
        <v>7</v>
      </c>
      <c r="O145" t="s">
        <v>8</v>
      </c>
      <c r="P145">
        <v>6.6907649999999999</v>
      </c>
      <c r="Q145">
        <v>59.146362600000003</v>
      </c>
      <c r="R145">
        <v>6.6907649999999999</v>
      </c>
      <c r="S145">
        <v>0</v>
      </c>
      <c r="T145">
        <v>0</v>
      </c>
      <c r="U145" t="s">
        <v>51</v>
      </c>
      <c r="V145" t="s">
        <v>52</v>
      </c>
      <c r="W145">
        <v>18.473037999999999</v>
      </c>
      <c r="X145">
        <v>51.281153488000001</v>
      </c>
      <c r="Y145">
        <v>3.1588894980000002</v>
      </c>
      <c r="Z145">
        <v>0.59113721600000002</v>
      </c>
      <c r="AA145">
        <v>5.1724506400000001</v>
      </c>
      <c r="AB145" t="s">
        <v>11</v>
      </c>
      <c r="AC145" t="s">
        <v>12</v>
      </c>
      <c r="AD145">
        <v>1.2184E-2</v>
      </c>
      <c r="AE145">
        <v>0</v>
      </c>
      <c r="AF145">
        <v>0</v>
      </c>
      <c r="AG145">
        <v>0</v>
      </c>
      <c r="AH145">
        <v>0</v>
      </c>
      <c r="AI145" t="s">
        <v>403</v>
      </c>
      <c r="AJ145" t="s">
        <v>404</v>
      </c>
      <c r="AK145">
        <v>1.38167</v>
      </c>
      <c r="AL145">
        <v>3.8963093999999998</v>
      </c>
      <c r="AM145">
        <v>5.52668E-3</v>
      </c>
      <c r="AN145">
        <v>1.0362525</v>
      </c>
      <c r="AO145">
        <v>3.4541750000000003E-2</v>
      </c>
      <c r="AP145" t="s">
        <v>57</v>
      </c>
      <c r="AQ145" t="s">
        <v>58</v>
      </c>
      <c r="AR145">
        <v>4.6182590000000001</v>
      </c>
      <c r="AS145">
        <v>1.1083821599999999</v>
      </c>
      <c r="AT145">
        <v>0</v>
      </c>
      <c r="AU145">
        <v>9.2365180000000005E-2</v>
      </c>
      <c r="AV145">
        <v>0.18473036000000001</v>
      </c>
      <c r="AW145" t="s">
        <v>59</v>
      </c>
      <c r="AY145">
        <v>24.435665</v>
      </c>
      <c r="AZ145">
        <v>57.545991075000003</v>
      </c>
      <c r="BA145">
        <v>1.1484762550000001</v>
      </c>
      <c r="BB145">
        <v>10.189672305</v>
      </c>
      <c r="BC145">
        <v>1.3195259100000001</v>
      </c>
      <c r="BD145" t="s">
        <v>60</v>
      </c>
      <c r="BF145">
        <v>13.854778</v>
      </c>
      <c r="BG145">
        <v>4.0178856200000004</v>
      </c>
      <c r="BH145">
        <v>2.7709556E-2</v>
      </c>
      <c r="BI145">
        <v>0.96983445999999995</v>
      </c>
      <c r="BJ145">
        <v>0.18011211399999999</v>
      </c>
    </row>
    <row r="146" spans="1:132" x14ac:dyDescent="0.35">
      <c r="A146" t="s">
        <v>405</v>
      </c>
      <c r="B146" s="2">
        <f t="shared" si="10"/>
        <v>389.13</v>
      </c>
      <c r="C146" s="2">
        <f t="shared" si="11"/>
        <v>266</v>
      </c>
      <c r="D146" s="2">
        <f t="shared" si="12"/>
        <v>26.53</v>
      </c>
      <c r="E146" s="2">
        <f t="shared" si="13"/>
        <v>14.916</v>
      </c>
      <c r="F146" s="2">
        <f t="shared" si="14"/>
        <v>21.465</v>
      </c>
      <c r="G146" t="s">
        <v>24</v>
      </c>
      <c r="H146" t="s">
        <v>25</v>
      </c>
      <c r="I146">
        <v>201</v>
      </c>
      <c r="J146">
        <v>297.48</v>
      </c>
      <c r="K146">
        <v>22.11</v>
      </c>
      <c r="L146">
        <v>3.2160000000000002</v>
      </c>
      <c r="M146">
        <v>20.100000000000001</v>
      </c>
      <c r="N146" t="s">
        <v>21</v>
      </c>
      <c r="O146" t="s">
        <v>22</v>
      </c>
      <c r="P146">
        <v>65</v>
      </c>
      <c r="Q146">
        <v>91.65</v>
      </c>
      <c r="R146">
        <v>4.42</v>
      </c>
      <c r="S146">
        <v>11.7</v>
      </c>
      <c r="T146">
        <v>1.365</v>
      </c>
    </row>
    <row r="147" spans="1:132" x14ac:dyDescent="0.35">
      <c r="A147" t="s">
        <v>406</v>
      </c>
      <c r="B147" s="2">
        <f t="shared" si="10"/>
        <v>227.29919113699998</v>
      </c>
      <c r="C147" s="2">
        <f t="shared" si="11"/>
        <v>158.000001</v>
      </c>
      <c r="D147" s="2">
        <f t="shared" si="12"/>
        <v>11.448371242</v>
      </c>
      <c r="E147" s="2">
        <f t="shared" si="13"/>
        <v>12.236670683</v>
      </c>
      <c r="F147" s="2">
        <f t="shared" si="14"/>
        <v>18.855256023999999</v>
      </c>
      <c r="G147" t="s">
        <v>216</v>
      </c>
      <c r="H147" t="s">
        <v>217</v>
      </c>
      <c r="I147">
        <v>5.6540090000000003</v>
      </c>
      <c r="J147">
        <v>6.27594999</v>
      </c>
      <c r="K147">
        <v>5.0886081E-2</v>
      </c>
      <c r="L147">
        <v>1.30042207</v>
      </c>
      <c r="M147">
        <v>0.14700423400000001</v>
      </c>
      <c r="N147" t="s">
        <v>41</v>
      </c>
      <c r="O147" t="s">
        <v>42</v>
      </c>
      <c r="P147">
        <v>52.624572999999998</v>
      </c>
      <c r="Q147">
        <v>18.418600550000001</v>
      </c>
      <c r="R147">
        <v>0.210498292</v>
      </c>
      <c r="S147">
        <v>3.6837201099999999</v>
      </c>
      <c r="T147">
        <v>1.262989752</v>
      </c>
      <c r="U147" t="s">
        <v>218</v>
      </c>
      <c r="V147" t="s">
        <v>219</v>
      </c>
      <c r="W147">
        <v>1.1308020000000001</v>
      </c>
      <c r="X147">
        <v>0.18092832</v>
      </c>
      <c r="Y147">
        <v>1.130802E-3</v>
      </c>
      <c r="Z147">
        <v>3.8447268E-2</v>
      </c>
      <c r="AA147">
        <v>7.9156139999999996E-3</v>
      </c>
      <c r="AB147" t="s">
        <v>71</v>
      </c>
      <c r="AC147" t="s">
        <v>72</v>
      </c>
      <c r="AD147">
        <v>0.14135</v>
      </c>
      <c r="AE147">
        <v>0.21061150000000001</v>
      </c>
      <c r="AF147">
        <v>7.0675000000000002E-4</v>
      </c>
      <c r="AG147">
        <v>4.6645499999999999E-2</v>
      </c>
      <c r="AH147">
        <v>9.0463999999999996E-3</v>
      </c>
      <c r="AI147" t="s">
        <v>160</v>
      </c>
      <c r="AJ147" t="s">
        <v>161</v>
      </c>
      <c r="AK147">
        <v>56.540084999999998</v>
      </c>
      <c r="AL147">
        <v>100.18903062</v>
      </c>
      <c r="AM147">
        <v>4.6928270550000004</v>
      </c>
      <c r="AN147">
        <v>0</v>
      </c>
      <c r="AO147">
        <v>13.513080315</v>
      </c>
      <c r="AP147" t="s">
        <v>7</v>
      </c>
      <c r="AQ147" t="s">
        <v>8</v>
      </c>
      <c r="AR147">
        <v>4.0711620000000002</v>
      </c>
      <c r="AS147">
        <v>35.98907208</v>
      </c>
      <c r="AT147">
        <v>4.0711620000000002</v>
      </c>
      <c r="AU147">
        <v>0</v>
      </c>
      <c r="AV147">
        <v>0</v>
      </c>
      <c r="AW147" t="s">
        <v>156</v>
      </c>
      <c r="AX147" t="s">
        <v>157</v>
      </c>
      <c r="AY147">
        <v>0.725109</v>
      </c>
      <c r="AZ147">
        <v>2.8641805499999999</v>
      </c>
      <c r="BA147">
        <v>3.6980559000000003E-2</v>
      </c>
      <c r="BB147">
        <v>0.517002717</v>
      </c>
      <c r="BC147">
        <v>9.5714387999999997E-2</v>
      </c>
      <c r="BD147" t="s">
        <v>141</v>
      </c>
      <c r="BE147" t="s">
        <v>142</v>
      </c>
      <c r="BF147">
        <v>0.56540100000000004</v>
      </c>
      <c r="BG147">
        <v>0</v>
      </c>
      <c r="BH147">
        <v>0</v>
      </c>
      <c r="BI147">
        <v>0</v>
      </c>
      <c r="BJ147">
        <v>0</v>
      </c>
      <c r="BK147" t="s">
        <v>51</v>
      </c>
      <c r="BL147" t="s">
        <v>52</v>
      </c>
      <c r="BM147">
        <v>10.076202</v>
      </c>
      <c r="BN147">
        <v>27.971536751999999</v>
      </c>
      <c r="BO147">
        <v>1.7230305420000001</v>
      </c>
      <c r="BP147">
        <v>0.32243846399999998</v>
      </c>
      <c r="BQ147">
        <v>2.8213365600000002</v>
      </c>
      <c r="BR147" t="s">
        <v>11</v>
      </c>
      <c r="BS147" t="s">
        <v>12</v>
      </c>
      <c r="BT147">
        <v>7.6476000000000002E-2</v>
      </c>
      <c r="BU147">
        <v>0</v>
      </c>
      <c r="BV147">
        <v>0</v>
      </c>
      <c r="BW147">
        <v>0</v>
      </c>
      <c r="BX147">
        <v>0</v>
      </c>
      <c r="BY147" t="s">
        <v>36</v>
      </c>
      <c r="BZ147" t="s">
        <v>37</v>
      </c>
      <c r="CA147">
        <v>0.65780700000000003</v>
      </c>
      <c r="CB147">
        <v>0.19076403</v>
      </c>
      <c r="CC147">
        <v>2.6312280000000002E-3</v>
      </c>
      <c r="CD147">
        <v>4.2757455E-2</v>
      </c>
      <c r="CE147">
        <v>5.9202630000000003E-3</v>
      </c>
      <c r="CF147" t="s">
        <v>222</v>
      </c>
      <c r="CG147" t="s">
        <v>223</v>
      </c>
      <c r="CH147">
        <v>1.413502</v>
      </c>
      <c r="CI147">
        <v>0.35337550000000001</v>
      </c>
      <c r="CJ147">
        <v>9.8945140000000001E-3</v>
      </c>
      <c r="CK147">
        <v>5.2299574000000001E-2</v>
      </c>
      <c r="CL147">
        <v>3.6751051999999999E-2</v>
      </c>
      <c r="CM147" t="s">
        <v>224</v>
      </c>
      <c r="CN147" t="s">
        <v>225</v>
      </c>
      <c r="CO147">
        <v>0.28270000000000001</v>
      </c>
      <c r="CP147">
        <v>0.28552699999999998</v>
      </c>
      <c r="CQ147">
        <v>4.8059000000000001E-3</v>
      </c>
      <c r="CR147">
        <v>6.7848000000000006E-2</v>
      </c>
      <c r="CS147">
        <v>1.6962000000000001E-2</v>
      </c>
      <c r="CT147" t="s">
        <v>81</v>
      </c>
      <c r="CU147" t="s">
        <v>82</v>
      </c>
      <c r="CV147">
        <v>7.0675000000000002E-2</v>
      </c>
      <c r="CW147">
        <v>1.2014749999999999E-2</v>
      </c>
      <c r="CX147">
        <v>0</v>
      </c>
      <c r="CY147">
        <v>3.9578E-3</v>
      </c>
      <c r="CZ147">
        <v>2.8269999999999999E-4</v>
      </c>
      <c r="DA147" t="s">
        <v>57</v>
      </c>
      <c r="DB147" t="s">
        <v>58</v>
      </c>
      <c r="DC147">
        <v>2.8017509999999999</v>
      </c>
      <c r="DD147">
        <v>0.67242024</v>
      </c>
      <c r="DE147">
        <v>0</v>
      </c>
      <c r="DF147">
        <v>5.6035019999999998E-2</v>
      </c>
      <c r="DG147">
        <v>0.11207004</v>
      </c>
      <c r="DH147" t="s">
        <v>83</v>
      </c>
      <c r="DI147" t="s">
        <v>84</v>
      </c>
      <c r="DJ147">
        <v>0.28270000000000001</v>
      </c>
      <c r="DK147">
        <v>0.10488169999999999</v>
      </c>
      <c r="DL147">
        <v>2.2615999999999999E-3</v>
      </c>
      <c r="DM147">
        <v>1.8092799999999999E-2</v>
      </c>
      <c r="DN147">
        <v>8.1983000000000004E-3</v>
      </c>
      <c r="DO147" t="s">
        <v>59</v>
      </c>
      <c r="DQ147">
        <v>13.328545</v>
      </c>
      <c r="DR147">
        <v>31.388723474999999</v>
      </c>
      <c r="DS147">
        <v>0.62644161499999995</v>
      </c>
      <c r="DT147">
        <v>5.558003265</v>
      </c>
      <c r="DU147">
        <v>0.71974143000000002</v>
      </c>
      <c r="DV147" t="s">
        <v>60</v>
      </c>
      <c r="DX147">
        <v>7.5571520000000003</v>
      </c>
      <c r="DY147">
        <v>2.1915740800000001</v>
      </c>
      <c r="DZ147">
        <v>1.5114304E-2</v>
      </c>
      <c r="EA147">
        <v>0.52900064000000002</v>
      </c>
      <c r="EB147">
        <v>9.8242975999999996E-2</v>
      </c>
    </row>
    <row r="148" spans="1:132" x14ac:dyDescent="0.35">
      <c r="A148" t="s">
        <v>407</v>
      </c>
      <c r="B148" s="2">
        <f t="shared" si="10"/>
        <v>186.83952731300002</v>
      </c>
      <c r="C148" s="2">
        <f t="shared" si="11"/>
        <v>81.999995999999996</v>
      </c>
      <c r="D148" s="2">
        <f t="shared" si="12"/>
        <v>8.8831677300000003</v>
      </c>
      <c r="E148" s="2">
        <f t="shared" si="13"/>
        <v>21.535792067999999</v>
      </c>
      <c r="F148" s="2">
        <f t="shared" si="14"/>
        <v>7.7306433180000012</v>
      </c>
      <c r="G148" t="s">
        <v>408</v>
      </c>
      <c r="H148" t="s">
        <v>409</v>
      </c>
      <c r="I148">
        <v>6.3954820000000003</v>
      </c>
      <c r="J148">
        <v>5.69197898</v>
      </c>
      <c r="K148">
        <v>1.9186445999999999E-2</v>
      </c>
      <c r="L148">
        <v>1.4709608599999999</v>
      </c>
      <c r="M148">
        <v>7.0350302000000003E-2</v>
      </c>
      <c r="N148" t="s">
        <v>410</v>
      </c>
      <c r="O148" t="s">
        <v>411</v>
      </c>
      <c r="P148">
        <v>20.145412</v>
      </c>
      <c r="Q148">
        <v>111.48471000799999</v>
      </c>
      <c r="R148">
        <v>8.7028179839999993</v>
      </c>
      <c r="S148">
        <v>6.2249323079999996</v>
      </c>
      <c r="T148">
        <v>3.5858833360000002</v>
      </c>
      <c r="U148" t="s">
        <v>412</v>
      </c>
      <c r="V148" t="s">
        <v>413</v>
      </c>
      <c r="W148">
        <v>40.290824999999998</v>
      </c>
      <c r="X148">
        <v>23.731295925000001</v>
      </c>
      <c r="Y148">
        <v>0.16116330000000001</v>
      </c>
      <c r="Z148">
        <v>1.4504697</v>
      </c>
      <c r="AA148">
        <v>4.0290825000000003</v>
      </c>
      <c r="AB148" t="s">
        <v>11</v>
      </c>
      <c r="AC148" t="s">
        <v>12</v>
      </c>
      <c r="AD148">
        <v>5.9216999999999999E-2</v>
      </c>
      <c r="AE148">
        <v>0</v>
      </c>
      <c r="AF148">
        <v>0</v>
      </c>
      <c r="AG148">
        <v>0</v>
      </c>
      <c r="AH148">
        <v>0</v>
      </c>
      <c r="AI148" t="s">
        <v>202</v>
      </c>
      <c r="AJ148" t="s">
        <v>203</v>
      </c>
      <c r="AK148">
        <v>15.109059999999999</v>
      </c>
      <c r="AL148">
        <v>45.931542399999998</v>
      </c>
      <c r="AM148">
        <v>0</v>
      </c>
      <c r="AN148">
        <v>12.3894292</v>
      </c>
      <c r="AO148">
        <v>4.5327180000000002E-2</v>
      </c>
    </row>
    <row r="149" spans="1:132" x14ac:dyDescent="0.35">
      <c r="A149" t="s">
        <v>414</v>
      </c>
      <c r="B149" s="2">
        <f t="shared" si="10"/>
        <v>606.4070536700001</v>
      </c>
      <c r="C149" s="2">
        <f t="shared" si="11"/>
        <v>300.99999400000002</v>
      </c>
      <c r="D149" s="2">
        <f t="shared" si="12"/>
        <v>42.94698827500001</v>
      </c>
      <c r="E149" s="2">
        <f t="shared" si="13"/>
        <v>30.950446217999996</v>
      </c>
      <c r="F149" s="2">
        <f t="shared" si="14"/>
        <v>25.836903072000002</v>
      </c>
      <c r="G149" t="s">
        <v>63</v>
      </c>
      <c r="H149" t="s">
        <v>64</v>
      </c>
      <c r="I149">
        <v>36</v>
      </c>
      <c r="J149">
        <v>194.76</v>
      </c>
      <c r="K149">
        <v>15.12</v>
      </c>
      <c r="L149">
        <v>0.504</v>
      </c>
      <c r="M149">
        <v>13.32</v>
      </c>
      <c r="N149" t="s">
        <v>34</v>
      </c>
      <c r="O149" t="s">
        <v>35</v>
      </c>
      <c r="P149">
        <v>82.301079000000001</v>
      </c>
      <c r="Q149">
        <v>20.57526975</v>
      </c>
      <c r="R149">
        <v>0.246903237</v>
      </c>
      <c r="S149">
        <v>4.1150539500000001</v>
      </c>
      <c r="T149">
        <v>1.4814194220000001</v>
      </c>
      <c r="U149" t="s">
        <v>24</v>
      </c>
      <c r="V149" t="s">
        <v>25</v>
      </c>
      <c r="W149">
        <v>88.333327999999995</v>
      </c>
      <c r="X149">
        <v>130.73332543999999</v>
      </c>
      <c r="Y149">
        <v>9.7166660799999995</v>
      </c>
      <c r="Z149">
        <v>1.413333248</v>
      </c>
      <c r="AA149">
        <v>8.8333328000000009</v>
      </c>
      <c r="AB149" t="s">
        <v>27</v>
      </c>
      <c r="AC149" t="s">
        <v>28</v>
      </c>
      <c r="AD149">
        <v>74</v>
      </c>
      <c r="AE149">
        <v>241.24</v>
      </c>
      <c r="AF149">
        <v>16.28</v>
      </c>
      <c r="AG149">
        <v>23.68</v>
      </c>
      <c r="AH149">
        <v>1.9239999999999999</v>
      </c>
      <c r="AI149" t="s">
        <v>7</v>
      </c>
      <c r="AJ149" t="s">
        <v>8</v>
      </c>
      <c r="AK149">
        <v>1.543145</v>
      </c>
      <c r="AL149">
        <v>13.641401800000001</v>
      </c>
      <c r="AM149">
        <v>1.543145</v>
      </c>
      <c r="AN149">
        <v>0</v>
      </c>
      <c r="AO149">
        <v>0</v>
      </c>
      <c r="AP149" t="s">
        <v>11</v>
      </c>
      <c r="AQ149" t="s">
        <v>12</v>
      </c>
      <c r="AR149">
        <v>9.0720000000000002E-3</v>
      </c>
      <c r="AS149">
        <v>0</v>
      </c>
      <c r="AT149">
        <v>0</v>
      </c>
      <c r="AU149">
        <v>0</v>
      </c>
      <c r="AV149">
        <v>0</v>
      </c>
      <c r="AW149" t="s">
        <v>36</v>
      </c>
      <c r="AX149" t="s">
        <v>37</v>
      </c>
      <c r="AY149">
        <v>1.028764</v>
      </c>
      <c r="AZ149">
        <v>0.29834156000000001</v>
      </c>
      <c r="BA149">
        <v>4.1150559999999997E-3</v>
      </c>
      <c r="BB149">
        <v>6.6869659999999997E-2</v>
      </c>
      <c r="BC149">
        <v>9.2588759999999992E-3</v>
      </c>
      <c r="BD149" t="s">
        <v>31</v>
      </c>
      <c r="BE149" t="s">
        <v>32</v>
      </c>
      <c r="BF149">
        <v>17.666668000000001</v>
      </c>
      <c r="BG149">
        <v>5.1233337199999998</v>
      </c>
      <c r="BH149">
        <v>3.5333336E-2</v>
      </c>
      <c r="BI149">
        <v>1.1660000880000001</v>
      </c>
      <c r="BJ149">
        <v>0.26500002</v>
      </c>
      <c r="BK149" t="s">
        <v>38</v>
      </c>
      <c r="BL149" t="s">
        <v>39</v>
      </c>
      <c r="BM149">
        <v>0.117938</v>
      </c>
      <c r="BN149">
        <v>3.53814E-2</v>
      </c>
      <c r="BO149">
        <v>8.2556600000000002E-4</v>
      </c>
      <c r="BP149">
        <v>5.189272E-3</v>
      </c>
      <c r="BQ149">
        <v>3.891954E-3</v>
      </c>
    </row>
    <row r="150" spans="1:132" x14ac:dyDescent="0.35">
      <c r="A150" t="s">
        <v>415</v>
      </c>
      <c r="B150" s="2">
        <f t="shared" si="10"/>
        <v>427.57000000000005</v>
      </c>
      <c r="C150" s="2">
        <f t="shared" si="11"/>
        <v>231</v>
      </c>
      <c r="D150" s="2">
        <f t="shared" si="12"/>
        <v>27.852999999999998</v>
      </c>
      <c r="E150" s="2">
        <f t="shared" si="13"/>
        <v>16.010000000000002</v>
      </c>
      <c r="F150" s="2">
        <f t="shared" si="14"/>
        <v>25.791</v>
      </c>
      <c r="G150" t="s">
        <v>43</v>
      </c>
      <c r="H150" t="s">
        <v>44</v>
      </c>
      <c r="I150">
        <v>85</v>
      </c>
      <c r="J150">
        <v>292.91000000000003</v>
      </c>
      <c r="K150">
        <v>23.204999999999998</v>
      </c>
      <c r="L150">
        <v>3.57</v>
      </c>
      <c r="M150">
        <v>16.405000000000001</v>
      </c>
      <c r="N150" t="s">
        <v>29</v>
      </c>
      <c r="O150" t="s">
        <v>30</v>
      </c>
      <c r="P150">
        <v>80</v>
      </c>
      <c r="Q150">
        <v>41.6</v>
      </c>
      <c r="R150">
        <v>0.16</v>
      </c>
      <c r="S150">
        <v>0.56000000000000005</v>
      </c>
      <c r="T150">
        <v>8</v>
      </c>
      <c r="U150" t="s">
        <v>21</v>
      </c>
      <c r="V150" t="s">
        <v>22</v>
      </c>
      <c r="W150">
        <v>66</v>
      </c>
      <c r="X150">
        <v>93.06</v>
      </c>
      <c r="Y150">
        <v>4.4880000000000004</v>
      </c>
      <c r="Z150">
        <v>11.88</v>
      </c>
      <c r="AA150">
        <v>1.3859999999999999</v>
      </c>
    </row>
    <row r="151" spans="1:132" x14ac:dyDescent="0.35">
      <c r="A151" t="s">
        <v>416</v>
      </c>
      <c r="B151" s="2">
        <f t="shared" si="10"/>
        <v>330.01</v>
      </c>
      <c r="C151" s="2">
        <f t="shared" si="11"/>
        <v>61</v>
      </c>
      <c r="D151" s="2">
        <f t="shared" si="12"/>
        <v>25.62</v>
      </c>
      <c r="E151" s="2">
        <f t="shared" si="13"/>
        <v>0.85399999999999998</v>
      </c>
      <c r="F151" s="2">
        <f t="shared" si="14"/>
        <v>22.57</v>
      </c>
      <c r="G151" t="s">
        <v>63</v>
      </c>
      <c r="H151" t="s">
        <v>64</v>
      </c>
      <c r="I151">
        <v>61</v>
      </c>
      <c r="J151">
        <v>330.01</v>
      </c>
      <c r="K151">
        <v>25.62</v>
      </c>
      <c r="L151">
        <v>0.85399999999999998</v>
      </c>
      <c r="M151">
        <v>22.57</v>
      </c>
    </row>
    <row r="152" spans="1:132" x14ac:dyDescent="0.35">
      <c r="A152" t="s">
        <v>417</v>
      </c>
      <c r="B152" s="2">
        <f t="shared" si="10"/>
        <v>267.95999999999998</v>
      </c>
      <c r="C152" s="2">
        <f t="shared" si="11"/>
        <v>174</v>
      </c>
      <c r="D152" s="2">
        <f t="shared" si="12"/>
        <v>20.358000000000001</v>
      </c>
      <c r="E152" s="2">
        <f t="shared" si="13"/>
        <v>1.044</v>
      </c>
      <c r="F152" s="2">
        <f t="shared" si="14"/>
        <v>18.096</v>
      </c>
      <c r="G152" t="s">
        <v>98</v>
      </c>
      <c r="H152" t="s">
        <v>99</v>
      </c>
      <c r="I152">
        <v>174</v>
      </c>
      <c r="J152">
        <v>267.95999999999998</v>
      </c>
      <c r="K152">
        <v>20.358000000000001</v>
      </c>
      <c r="L152">
        <v>1.044</v>
      </c>
      <c r="M152">
        <v>18.096</v>
      </c>
    </row>
    <row r="153" spans="1:132" x14ac:dyDescent="0.35">
      <c r="A153" t="s">
        <v>418</v>
      </c>
      <c r="B153" s="2">
        <f t="shared" si="10"/>
        <v>220.94243578999999</v>
      </c>
      <c r="C153" s="2">
        <f t="shared" si="11"/>
        <v>83.000002000000009</v>
      </c>
      <c r="D153" s="2">
        <f t="shared" si="12"/>
        <v>16.449755644</v>
      </c>
      <c r="E153" s="2">
        <f t="shared" si="13"/>
        <v>3.7137562700000002</v>
      </c>
      <c r="F153" s="2">
        <f t="shared" si="14"/>
        <v>14.420487864</v>
      </c>
      <c r="G153" t="s">
        <v>63</v>
      </c>
      <c r="H153" t="s">
        <v>64</v>
      </c>
      <c r="I153">
        <v>36</v>
      </c>
      <c r="J153">
        <v>194.76</v>
      </c>
      <c r="K153">
        <v>15.12</v>
      </c>
      <c r="L153">
        <v>0.504</v>
      </c>
      <c r="M153">
        <v>13.32</v>
      </c>
      <c r="N153" t="s">
        <v>41</v>
      </c>
      <c r="O153" t="s">
        <v>42</v>
      </c>
      <c r="P153">
        <v>45.853661000000002</v>
      </c>
      <c r="Q153">
        <v>16.048781349999999</v>
      </c>
      <c r="R153">
        <v>0.18341464399999999</v>
      </c>
      <c r="S153">
        <v>3.2097562700000002</v>
      </c>
      <c r="T153">
        <v>1.100487864</v>
      </c>
      <c r="U153" t="s">
        <v>7</v>
      </c>
      <c r="V153" t="s">
        <v>8</v>
      </c>
      <c r="W153">
        <v>1.1463410000000001</v>
      </c>
      <c r="X153">
        <v>10.133654440000001</v>
      </c>
      <c r="Y153">
        <v>1.1463410000000001</v>
      </c>
      <c r="Z153">
        <v>0</v>
      </c>
      <c r="AA153">
        <v>0</v>
      </c>
    </row>
    <row r="154" spans="1:132" x14ac:dyDescent="0.35">
      <c r="A154" t="s">
        <v>419</v>
      </c>
      <c r="B154" s="2">
        <f t="shared" si="10"/>
        <v>234.26</v>
      </c>
      <c r="C154" s="2">
        <f t="shared" si="11"/>
        <v>198</v>
      </c>
      <c r="D154" s="2">
        <f t="shared" si="12"/>
        <v>13.33</v>
      </c>
      <c r="E154" s="2">
        <f t="shared" si="13"/>
        <v>19.887999999999998</v>
      </c>
      <c r="F154" s="2">
        <f t="shared" si="14"/>
        <v>8.8859999999999992</v>
      </c>
      <c r="G154" t="s">
        <v>46</v>
      </c>
      <c r="H154" t="s">
        <v>47</v>
      </c>
      <c r="I154">
        <v>46</v>
      </c>
      <c r="J154">
        <v>15.18</v>
      </c>
      <c r="K154">
        <v>0.13800000000000001</v>
      </c>
      <c r="L154">
        <v>3.68</v>
      </c>
      <c r="M154">
        <v>0.32200000000000001</v>
      </c>
      <c r="N154" t="s">
        <v>24</v>
      </c>
      <c r="O154" t="s">
        <v>25</v>
      </c>
      <c r="P154">
        <v>68</v>
      </c>
      <c r="Q154">
        <v>100.64</v>
      </c>
      <c r="R154">
        <v>7.48</v>
      </c>
      <c r="S154">
        <v>1.0880000000000001</v>
      </c>
      <c r="T154">
        <v>6.8</v>
      </c>
      <c r="U154" t="s">
        <v>21</v>
      </c>
      <c r="V154" t="s">
        <v>22</v>
      </c>
      <c r="W154">
        <v>84</v>
      </c>
      <c r="X154">
        <v>118.44</v>
      </c>
      <c r="Y154">
        <v>5.7119999999999997</v>
      </c>
      <c r="Z154">
        <v>15.12</v>
      </c>
      <c r="AA154">
        <v>1.764</v>
      </c>
    </row>
    <row r="155" spans="1:132" x14ac:dyDescent="0.35">
      <c r="A155" t="s">
        <v>420</v>
      </c>
      <c r="B155" s="2">
        <f t="shared" si="10"/>
        <v>30.196070370000001</v>
      </c>
      <c r="C155" s="2">
        <f t="shared" si="11"/>
        <v>55.000000999999997</v>
      </c>
      <c r="D155" s="2">
        <f t="shared" si="12"/>
        <v>1.236821079</v>
      </c>
      <c r="E155" s="2">
        <f t="shared" si="13"/>
        <v>4.2434802820000002</v>
      </c>
      <c r="F155" s="2">
        <f t="shared" si="14"/>
        <v>1.3646244029999999</v>
      </c>
      <c r="G155" t="s">
        <v>41</v>
      </c>
      <c r="H155" t="s">
        <v>42</v>
      </c>
      <c r="I155">
        <v>52.624572999999998</v>
      </c>
      <c r="J155">
        <v>18.418600550000001</v>
      </c>
      <c r="K155">
        <v>0.210498292</v>
      </c>
      <c r="L155">
        <v>3.6837201099999999</v>
      </c>
      <c r="M155">
        <v>1.262989752</v>
      </c>
      <c r="N155" t="s">
        <v>7</v>
      </c>
      <c r="O155" t="s">
        <v>8</v>
      </c>
      <c r="P155">
        <v>0.986711</v>
      </c>
      <c r="Q155">
        <v>8.7225252399999995</v>
      </c>
      <c r="R155">
        <v>0.986711</v>
      </c>
      <c r="S155">
        <v>0</v>
      </c>
      <c r="T155">
        <v>0</v>
      </c>
      <c r="U155" t="s">
        <v>156</v>
      </c>
      <c r="V155" t="s">
        <v>157</v>
      </c>
      <c r="W155">
        <v>0.725109</v>
      </c>
      <c r="X155">
        <v>2.8641805499999999</v>
      </c>
      <c r="Y155">
        <v>3.6980559000000003E-2</v>
      </c>
      <c r="Z155">
        <v>0.517002717</v>
      </c>
      <c r="AA155">
        <v>9.5714387999999997E-2</v>
      </c>
      <c r="AB155" t="s">
        <v>11</v>
      </c>
      <c r="AC155" t="s">
        <v>12</v>
      </c>
      <c r="AD155">
        <v>5.8009999999999997E-3</v>
      </c>
      <c r="AE155">
        <v>0</v>
      </c>
      <c r="AF155">
        <v>0</v>
      </c>
      <c r="AG155">
        <v>0</v>
      </c>
      <c r="AH155">
        <v>0</v>
      </c>
      <c r="AI155" t="s">
        <v>36</v>
      </c>
      <c r="AJ155" t="s">
        <v>37</v>
      </c>
      <c r="AK155">
        <v>0.65780700000000003</v>
      </c>
      <c r="AL155">
        <v>0.19076403</v>
      </c>
      <c r="AM155">
        <v>2.6312280000000002E-3</v>
      </c>
      <c r="AN155">
        <v>4.2757455E-2</v>
      </c>
      <c r="AO155">
        <v>5.9202630000000003E-3</v>
      </c>
    </row>
    <row r="156" spans="1:132" x14ac:dyDescent="0.35">
      <c r="A156" t="s">
        <v>421</v>
      </c>
      <c r="B156" s="2">
        <f t="shared" si="10"/>
        <v>485.74</v>
      </c>
      <c r="C156" s="2">
        <f t="shared" si="11"/>
        <v>149</v>
      </c>
      <c r="D156" s="2">
        <f t="shared" si="12"/>
        <v>32.78</v>
      </c>
      <c r="E156" s="2">
        <f t="shared" si="13"/>
        <v>47.68</v>
      </c>
      <c r="F156" s="2">
        <f t="shared" si="14"/>
        <v>3.8740000000000001</v>
      </c>
      <c r="G156" t="s">
        <v>27</v>
      </c>
      <c r="H156" t="s">
        <v>28</v>
      </c>
      <c r="I156">
        <v>149</v>
      </c>
      <c r="J156">
        <v>485.74</v>
      </c>
      <c r="K156">
        <v>32.78</v>
      </c>
      <c r="L156">
        <v>47.68</v>
      </c>
      <c r="M156">
        <v>3.8740000000000001</v>
      </c>
    </row>
    <row r="157" spans="1:132" x14ac:dyDescent="0.35">
      <c r="A157" t="s">
        <v>422</v>
      </c>
      <c r="B157" s="2">
        <f t="shared" si="10"/>
        <v>145.41574354300002</v>
      </c>
      <c r="C157" s="2">
        <f t="shared" si="11"/>
        <v>114.00000100000001</v>
      </c>
      <c r="D157" s="2">
        <f t="shared" si="12"/>
        <v>5.6574824609999999</v>
      </c>
      <c r="E157" s="2">
        <f t="shared" si="13"/>
        <v>17.435014116000001</v>
      </c>
      <c r="F157" s="2">
        <f t="shared" si="14"/>
        <v>7.0433649949999992</v>
      </c>
      <c r="G157" t="s">
        <v>41</v>
      </c>
      <c r="H157" t="s">
        <v>42</v>
      </c>
      <c r="I157">
        <v>25.894392</v>
      </c>
      <c r="J157">
        <v>9.0630372000000001</v>
      </c>
      <c r="K157">
        <v>0.10357756799999999</v>
      </c>
      <c r="L157">
        <v>1.8126074400000001</v>
      </c>
      <c r="M157">
        <v>0.62146540800000005</v>
      </c>
      <c r="N157" t="s">
        <v>148</v>
      </c>
      <c r="O157" t="s">
        <v>149</v>
      </c>
      <c r="P157">
        <v>20.094768999999999</v>
      </c>
      <c r="Q157">
        <v>31.247365795</v>
      </c>
      <c r="R157">
        <v>2.1099507449999999</v>
      </c>
      <c r="S157">
        <v>0.24113722800000001</v>
      </c>
      <c r="T157">
        <v>2.5118461249999999</v>
      </c>
      <c r="U157" t="s">
        <v>423</v>
      </c>
      <c r="V157" t="s">
        <v>424</v>
      </c>
      <c r="W157">
        <v>25.894392</v>
      </c>
      <c r="X157">
        <v>32.134940471999997</v>
      </c>
      <c r="Y157">
        <v>5.1788783999999997E-2</v>
      </c>
      <c r="Z157">
        <v>7.6129512479999999</v>
      </c>
      <c r="AA157">
        <v>0.41431027199999998</v>
      </c>
      <c r="AB157" t="s">
        <v>11</v>
      </c>
      <c r="AC157" t="s">
        <v>12</v>
      </c>
      <c r="AD157">
        <v>3.8058000000000002E-2</v>
      </c>
      <c r="AE157">
        <v>0</v>
      </c>
      <c r="AF157">
        <v>0</v>
      </c>
      <c r="AG157">
        <v>0</v>
      </c>
      <c r="AH157">
        <v>0</v>
      </c>
      <c r="AI157" t="s">
        <v>425</v>
      </c>
      <c r="AJ157" t="s">
        <v>426</v>
      </c>
      <c r="AK157">
        <v>38.841591000000001</v>
      </c>
      <c r="AL157">
        <v>44.279413740000003</v>
      </c>
      <c r="AM157">
        <v>0.15536636400000001</v>
      </c>
      <c r="AN157">
        <v>7.7683182000000004</v>
      </c>
      <c r="AO157">
        <v>3.4957431899999998</v>
      </c>
      <c r="AP157" t="s">
        <v>170</v>
      </c>
      <c r="AR157">
        <v>3.236799</v>
      </c>
      <c r="AS157">
        <v>28.690986336000002</v>
      </c>
      <c r="AT157">
        <v>3.236799</v>
      </c>
      <c r="AU157">
        <v>0</v>
      </c>
      <c r="AV157">
        <v>0</v>
      </c>
    </row>
    <row r="158" spans="1:132" x14ac:dyDescent="0.35">
      <c r="A158" t="s">
        <v>427</v>
      </c>
      <c r="B158" s="2">
        <f t="shared" si="10"/>
        <v>343.48369308999997</v>
      </c>
      <c r="C158" s="2">
        <f t="shared" si="11"/>
        <v>132.999999</v>
      </c>
      <c r="D158" s="2">
        <f t="shared" si="12"/>
        <v>22.035526537999999</v>
      </c>
      <c r="E158" s="2">
        <f t="shared" si="13"/>
        <v>14.355162686</v>
      </c>
      <c r="F158" s="2">
        <f t="shared" si="14"/>
        <v>21.402295474999999</v>
      </c>
      <c r="G158" t="s">
        <v>7</v>
      </c>
      <c r="H158" t="s">
        <v>8</v>
      </c>
      <c r="I158">
        <v>5.5978899999999996</v>
      </c>
      <c r="J158">
        <v>49.485347599999997</v>
      </c>
      <c r="K158">
        <v>5.5978899999999996</v>
      </c>
      <c r="L158">
        <v>0</v>
      </c>
      <c r="M158">
        <v>0</v>
      </c>
      <c r="N158" t="s">
        <v>428</v>
      </c>
      <c r="O158" t="s">
        <v>429</v>
      </c>
      <c r="P158">
        <v>53</v>
      </c>
      <c r="Q158">
        <v>155.87299999999999</v>
      </c>
      <c r="R158">
        <v>11.183</v>
      </c>
      <c r="S158">
        <v>0</v>
      </c>
      <c r="T158">
        <v>13.090999999999999</v>
      </c>
      <c r="U158" t="s">
        <v>51</v>
      </c>
      <c r="V158" t="s">
        <v>52</v>
      </c>
      <c r="W158">
        <v>22.391559999999998</v>
      </c>
      <c r="X158">
        <v>62.15897056</v>
      </c>
      <c r="Y158">
        <v>3.8289567600000001</v>
      </c>
      <c r="Z158">
        <v>0.71652992000000004</v>
      </c>
      <c r="AA158">
        <v>6.2696367999999998</v>
      </c>
      <c r="AB158" t="s">
        <v>57</v>
      </c>
      <c r="AC158" t="s">
        <v>58</v>
      </c>
      <c r="AD158">
        <v>5.5978899999999996</v>
      </c>
      <c r="AE158">
        <v>1.3434936</v>
      </c>
      <c r="AF158">
        <v>0</v>
      </c>
      <c r="AG158">
        <v>0.1119578</v>
      </c>
      <c r="AH158">
        <v>0.22391559999999999</v>
      </c>
      <c r="AI158" t="s">
        <v>59</v>
      </c>
      <c r="AK158">
        <v>29.618988000000002</v>
      </c>
      <c r="AL158">
        <v>69.752716739999997</v>
      </c>
      <c r="AM158">
        <v>1.392092436</v>
      </c>
      <c r="AN158">
        <v>12.351117995999999</v>
      </c>
      <c r="AO158">
        <v>1.5994253519999999</v>
      </c>
      <c r="AP158" t="s">
        <v>60</v>
      </c>
      <c r="AR158">
        <v>16.793671</v>
      </c>
      <c r="AS158">
        <v>4.8701645899999999</v>
      </c>
      <c r="AT158">
        <v>3.3587341999999999E-2</v>
      </c>
      <c r="AU158">
        <v>1.1755569699999999</v>
      </c>
      <c r="AV158">
        <v>0.21831772299999999</v>
      </c>
    </row>
    <row r="159" spans="1:132" x14ac:dyDescent="0.35">
      <c r="A159" t="s">
        <v>430</v>
      </c>
      <c r="B159" s="2">
        <f t="shared" si="10"/>
        <v>247.7</v>
      </c>
      <c r="C159" s="2">
        <f t="shared" si="11"/>
        <v>150</v>
      </c>
      <c r="D159" s="2">
        <f t="shared" si="12"/>
        <v>9.1</v>
      </c>
      <c r="E159" s="2">
        <f t="shared" si="13"/>
        <v>0.53</v>
      </c>
      <c r="F159" s="2">
        <f t="shared" si="14"/>
        <v>37.900000000000006</v>
      </c>
      <c r="G159" t="s">
        <v>295</v>
      </c>
      <c r="H159" t="s">
        <v>296</v>
      </c>
      <c r="I159">
        <v>130</v>
      </c>
      <c r="J159">
        <v>245.7</v>
      </c>
      <c r="K159">
        <v>9.1</v>
      </c>
      <c r="L159">
        <v>0.13</v>
      </c>
      <c r="M159">
        <v>37.700000000000003</v>
      </c>
      <c r="N159" t="s">
        <v>133</v>
      </c>
      <c r="O159" t="s">
        <v>134</v>
      </c>
      <c r="P159">
        <v>20</v>
      </c>
      <c r="Q159">
        <v>2</v>
      </c>
      <c r="R159">
        <v>0</v>
      </c>
      <c r="S159">
        <v>0.4</v>
      </c>
      <c r="T159">
        <v>0.2</v>
      </c>
    </row>
    <row r="160" spans="1:132" x14ac:dyDescent="0.35">
      <c r="A160" t="s">
        <v>431</v>
      </c>
      <c r="B160" s="2">
        <f t="shared" si="10"/>
        <v>47.243809141999996</v>
      </c>
      <c r="C160" s="2">
        <f t="shared" si="11"/>
        <v>71.999995999999996</v>
      </c>
      <c r="D160" s="2">
        <f t="shared" si="12"/>
        <v>0.77210362999999993</v>
      </c>
      <c r="E160" s="2">
        <f t="shared" si="13"/>
        <v>9.6014484020000008</v>
      </c>
      <c r="F160" s="2">
        <f t="shared" si="14"/>
        <v>1.1028055729999999</v>
      </c>
      <c r="G160" t="s">
        <v>256</v>
      </c>
      <c r="H160" t="s">
        <v>257</v>
      </c>
      <c r="I160">
        <v>30.757072000000001</v>
      </c>
      <c r="J160">
        <v>18.761813920000002</v>
      </c>
      <c r="K160">
        <v>9.2271216000000003E-2</v>
      </c>
      <c r="L160">
        <v>4.3059900799999999</v>
      </c>
      <c r="M160">
        <v>0.46135608</v>
      </c>
      <c r="N160" t="s">
        <v>7</v>
      </c>
      <c r="O160" t="s">
        <v>8</v>
      </c>
      <c r="P160">
        <v>0.542462</v>
      </c>
      <c r="Q160">
        <v>4.7953640799999997</v>
      </c>
      <c r="R160">
        <v>0.542462</v>
      </c>
      <c r="S160">
        <v>0</v>
      </c>
      <c r="T160">
        <v>0</v>
      </c>
      <c r="U160" t="s">
        <v>423</v>
      </c>
      <c r="V160" t="s">
        <v>424</v>
      </c>
      <c r="W160">
        <v>14.763394999999999</v>
      </c>
      <c r="X160">
        <v>18.321373195</v>
      </c>
      <c r="Y160">
        <v>2.9526790000000001E-2</v>
      </c>
      <c r="Z160">
        <v>4.3404381299999999</v>
      </c>
      <c r="AA160">
        <v>0.23621432000000001</v>
      </c>
      <c r="AB160" t="s">
        <v>11</v>
      </c>
      <c r="AC160" t="s">
        <v>12</v>
      </c>
      <c r="AD160">
        <v>11.072546000000001</v>
      </c>
      <c r="AE160">
        <v>0</v>
      </c>
      <c r="AF160">
        <v>0</v>
      </c>
      <c r="AG160">
        <v>0</v>
      </c>
      <c r="AH160">
        <v>0</v>
      </c>
      <c r="AI160" t="s">
        <v>31</v>
      </c>
      <c r="AJ160" t="s">
        <v>32</v>
      </c>
      <c r="AK160">
        <v>1.845424</v>
      </c>
      <c r="AL160">
        <v>0.53517296000000003</v>
      </c>
      <c r="AM160">
        <v>3.690848E-3</v>
      </c>
      <c r="AN160">
        <v>0.121797984</v>
      </c>
      <c r="AO160">
        <v>2.7681359999999999E-2</v>
      </c>
      <c r="AP160" t="s">
        <v>83</v>
      </c>
      <c r="AQ160" t="s">
        <v>84</v>
      </c>
      <c r="AR160">
        <v>13.019097</v>
      </c>
      <c r="AS160">
        <v>4.8300849870000002</v>
      </c>
      <c r="AT160">
        <v>0.104152776</v>
      </c>
      <c r="AU160">
        <v>0.83322220800000002</v>
      </c>
      <c r="AV160">
        <v>0.37755381300000002</v>
      </c>
    </row>
    <row r="161" spans="1:111" x14ac:dyDescent="0.35">
      <c r="A161" t="s">
        <v>432</v>
      </c>
      <c r="B161" s="2">
        <f t="shared" si="10"/>
        <v>188.89068273500001</v>
      </c>
      <c r="C161" s="2">
        <f t="shared" si="11"/>
        <v>126.99999800000001</v>
      </c>
      <c r="D161" s="2">
        <f t="shared" si="12"/>
        <v>10.284574277999997</v>
      </c>
      <c r="E161" s="2">
        <f t="shared" si="13"/>
        <v>4.1459539039999997</v>
      </c>
      <c r="F161" s="2">
        <f t="shared" si="14"/>
        <v>18.929482166999996</v>
      </c>
      <c r="G161" t="s">
        <v>194</v>
      </c>
      <c r="H161" t="s">
        <v>195</v>
      </c>
      <c r="I161">
        <v>9.1954019999999996</v>
      </c>
      <c r="J161">
        <v>11.9540226</v>
      </c>
      <c r="K161">
        <v>2.7586205999999999E-2</v>
      </c>
      <c r="L161">
        <v>2.57471256</v>
      </c>
      <c r="M161">
        <v>0.24827585399999999</v>
      </c>
      <c r="N161" t="s">
        <v>89</v>
      </c>
      <c r="O161" t="s">
        <v>90</v>
      </c>
      <c r="P161">
        <v>3.218391</v>
      </c>
      <c r="Q161">
        <v>1.2873564</v>
      </c>
      <c r="R161">
        <v>3.2183910000000001E-3</v>
      </c>
      <c r="S161">
        <v>0.28965519000000001</v>
      </c>
      <c r="T161">
        <v>3.5402300999999997E-2</v>
      </c>
      <c r="U161" t="s">
        <v>71</v>
      </c>
      <c r="V161" t="s">
        <v>72</v>
      </c>
      <c r="W161">
        <v>0.45977000000000001</v>
      </c>
      <c r="X161">
        <v>0.68505729999999998</v>
      </c>
      <c r="Y161">
        <v>2.2988499999999999E-3</v>
      </c>
      <c r="Z161">
        <v>0.1517241</v>
      </c>
      <c r="AA161">
        <v>2.9425280000000002E-2</v>
      </c>
      <c r="AB161" t="s">
        <v>7</v>
      </c>
      <c r="AC161" t="s">
        <v>8</v>
      </c>
      <c r="AD161">
        <v>0.45977000000000001</v>
      </c>
      <c r="AE161">
        <v>4.0643668000000002</v>
      </c>
      <c r="AF161">
        <v>0.45977000000000001</v>
      </c>
      <c r="AG161">
        <v>0</v>
      </c>
      <c r="AH161">
        <v>0</v>
      </c>
      <c r="AI161" t="s">
        <v>11</v>
      </c>
      <c r="AJ161" t="s">
        <v>12</v>
      </c>
      <c r="AK161">
        <v>0.114943</v>
      </c>
      <c r="AL161">
        <v>0</v>
      </c>
      <c r="AM161">
        <v>0</v>
      </c>
      <c r="AN161">
        <v>0</v>
      </c>
      <c r="AO161">
        <v>0</v>
      </c>
      <c r="AP161" t="s">
        <v>145</v>
      </c>
      <c r="AQ161" t="s">
        <v>146</v>
      </c>
      <c r="AR161">
        <v>68.965514999999996</v>
      </c>
      <c r="AS161">
        <v>164.13792570000001</v>
      </c>
      <c r="AT161">
        <v>9.6551720999999997</v>
      </c>
      <c r="AU161">
        <v>0</v>
      </c>
      <c r="AV161">
        <v>17.931033899999999</v>
      </c>
      <c r="AW161" t="s">
        <v>245</v>
      </c>
      <c r="AX161" t="s">
        <v>246</v>
      </c>
      <c r="AY161">
        <v>4.5977009999999998</v>
      </c>
      <c r="AZ161">
        <v>0.68965514999999999</v>
      </c>
      <c r="BA161">
        <v>1.8390804E-2</v>
      </c>
      <c r="BB161">
        <v>0.124137927</v>
      </c>
      <c r="BC161">
        <v>5.0574711000000001E-2</v>
      </c>
      <c r="BD161" t="s">
        <v>222</v>
      </c>
      <c r="BE161" t="s">
        <v>223</v>
      </c>
      <c r="BF161">
        <v>2.298851</v>
      </c>
      <c r="BG161">
        <v>0.57471274999999999</v>
      </c>
      <c r="BH161">
        <v>1.6091957E-2</v>
      </c>
      <c r="BI161">
        <v>8.5057487000000001E-2</v>
      </c>
      <c r="BJ161">
        <v>5.9770126E-2</v>
      </c>
      <c r="BK161" t="s">
        <v>279</v>
      </c>
      <c r="BL161" t="s">
        <v>280</v>
      </c>
      <c r="BM161">
        <v>0.45977000000000001</v>
      </c>
      <c r="BN161">
        <v>0.60229869999999996</v>
      </c>
      <c r="BO161">
        <v>2.620689E-2</v>
      </c>
      <c r="BP161">
        <v>9.1953999999999994E-2</v>
      </c>
      <c r="BQ161">
        <v>1.3333329999999999E-2</v>
      </c>
      <c r="BR161" t="s">
        <v>83</v>
      </c>
      <c r="BS161" t="s">
        <v>84</v>
      </c>
      <c r="BT161">
        <v>0.22988500000000001</v>
      </c>
      <c r="BU161">
        <v>8.5287335000000006E-2</v>
      </c>
      <c r="BV161">
        <v>1.8390800000000001E-3</v>
      </c>
      <c r="BW161">
        <v>1.4712640000000001E-2</v>
      </c>
      <c r="BX161">
        <v>6.6666649999999996E-3</v>
      </c>
      <c r="BY161" t="s">
        <v>433</v>
      </c>
      <c r="BZ161" t="s">
        <v>434</v>
      </c>
      <c r="CA161">
        <v>37</v>
      </c>
      <c r="CB161">
        <v>4.8099999999999996</v>
      </c>
      <c r="CC161">
        <v>7.3999999999999996E-2</v>
      </c>
      <c r="CD161">
        <v>0.81399999999999995</v>
      </c>
      <c r="CE161">
        <v>0.55500000000000005</v>
      </c>
    </row>
    <row r="162" spans="1:111" x14ac:dyDescent="0.35">
      <c r="A162" t="s">
        <v>435</v>
      </c>
      <c r="B162" s="2">
        <f t="shared" si="10"/>
        <v>36.308</v>
      </c>
      <c r="C162" s="2">
        <f t="shared" si="11"/>
        <v>116</v>
      </c>
      <c r="D162" s="2">
        <f t="shared" si="12"/>
        <v>0.69599999999999995</v>
      </c>
      <c r="E162" s="2">
        <f t="shared" si="13"/>
        <v>6.1479999999999997</v>
      </c>
      <c r="F162" s="2">
        <f t="shared" si="14"/>
        <v>3.48</v>
      </c>
      <c r="G162" t="s">
        <v>305</v>
      </c>
      <c r="H162" t="s">
        <v>306</v>
      </c>
      <c r="I162">
        <v>116</v>
      </c>
      <c r="J162">
        <v>36.308</v>
      </c>
      <c r="K162">
        <v>0.69599999999999995</v>
      </c>
      <c r="L162">
        <v>6.1479999999999997</v>
      </c>
      <c r="M162">
        <v>3.48</v>
      </c>
    </row>
    <row r="163" spans="1:111" x14ac:dyDescent="0.35">
      <c r="A163" t="s">
        <v>436</v>
      </c>
      <c r="B163" s="2">
        <f t="shared" si="10"/>
        <v>322.74</v>
      </c>
      <c r="C163" s="2">
        <f t="shared" si="11"/>
        <v>99</v>
      </c>
      <c r="D163" s="2">
        <f t="shared" si="12"/>
        <v>21.78</v>
      </c>
      <c r="E163" s="2">
        <f t="shared" si="13"/>
        <v>31.68</v>
      </c>
      <c r="F163" s="2">
        <f t="shared" si="14"/>
        <v>2.5739999999999998</v>
      </c>
      <c r="G163" t="s">
        <v>27</v>
      </c>
      <c r="H163" t="s">
        <v>28</v>
      </c>
      <c r="I163">
        <v>99</v>
      </c>
      <c r="J163">
        <v>322.74</v>
      </c>
      <c r="K163">
        <v>21.78</v>
      </c>
      <c r="L163">
        <v>31.68</v>
      </c>
      <c r="M163">
        <v>2.5739999999999998</v>
      </c>
    </row>
    <row r="164" spans="1:111" x14ac:dyDescent="0.35">
      <c r="A164" t="s">
        <v>437</v>
      </c>
      <c r="B164" s="2">
        <f t="shared" si="10"/>
        <v>171.811389542</v>
      </c>
      <c r="C164" s="2">
        <f t="shared" si="11"/>
        <v>53.999998999999995</v>
      </c>
      <c r="D164" s="2">
        <f t="shared" si="12"/>
        <v>10.354841143</v>
      </c>
      <c r="E164" s="2">
        <f t="shared" si="13"/>
        <v>16.759664508</v>
      </c>
      <c r="F164" s="2">
        <f t="shared" si="14"/>
        <v>3.042721513</v>
      </c>
      <c r="G164" t="s">
        <v>438</v>
      </c>
      <c r="H164" t="s">
        <v>439</v>
      </c>
      <c r="I164">
        <v>9.5506879999999992</v>
      </c>
      <c r="J164">
        <v>25.347525952000002</v>
      </c>
      <c r="K164">
        <v>0.40112889600000001</v>
      </c>
      <c r="L164">
        <v>4.039941024</v>
      </c>
      <c r="M164">
        <v>1.28934288</v>
      </c>
      <c r="N164" t="s">
        <v>440</v>
      </c>
      <c r="O164" t="s">
        <v>441</v>
      </c>
      <c r="P164">
        <v>0.225631</v>
      </c>
      <c r="Q164">
        <v>6.5432989999999996E-2</v>
      </c>
      <c r="R164">
        <v>6.7689300000000003E-4</v>
      </c>
      <c r="S164">
        <v>2.0306790000000002E-2</v>
      </c>
      <c r="T164">
        <v>2.4819410000000001E-3</v>
      </c>
      <c r="U164" t="s">
        <v>55</v>
      </c>
      <c r="V164" t="s">
        <v>56</v>
      </c>
      <c r="W164">
        <v>0.90252399999999999</v>
      </c>
      <c r="X164">
        <v>6.4710970799999998</v>
      </c>
      <c r="Y164">
        <v>0.73104444000000002</v>
      </c>
      <c r="Z164">
        <v>9.0252400000000003E-4</v>
      </c>
      <c r="AA164">
        <v>7.2201920000000003E-3</v>
      </c>
      <c r="AB164" t="s">
        <v>442</v>
      </c>
      <c r="AC164" t="s">
        <v>443</v>
      </c>
      <c r="AD164">
        <v>16.245433999999999</v>
      </c>
      <c r="AE164">
        <v>45.162306520000001</v>
      </c>
      <c r="AF164">
        <v>1.6245434E-2</v>
      </c>
      <c r="AG164">
        <v>11.20934946</v>
      </c>
      <c r="AH164">
        <v>6.4981735999999998E-2</v>
      </c>
      <c r="AI164" t="s">
        <v>444</v>
      </c>
      <c r="AJ164" t="s">
        <v>445</v>
      </c>
      <c r="AK164">
        <v>27.075721999999999</v>
      </c>
      <c r="AL164">
        <v>94.765027000000003</v>
      </c>
      <c r="AM164">
        <v>9.2057454799999991</v>
      </c>
      <c r="AN164">
        <v>1.4891647100000001</v>
      </c>
      <c r="AO164">
        <v>1.6786947640000001</v>
      </c>
    </row>
    <row r="165" spans="1:111" x14ac:dyDescent="0.35">
      <c r="A165" t="s">
        <v>446</v>
      </c>
      <c r="B165" s="2">
        <f t="shared" si="10"/>
        <v>163.08999999999997</v>
      </c>
      <c r="C165" s="2">
        <f t="shared" si="11"/>
        <v>139</v>
      </c>
      <c r="D165" s="2">
        <f t="shared" si="12"/>
        <v>10.117000000000001</v>
      </c>
      <c r="E165" s="2">
        <f t="shared" si="13"/>
        <v>10.039999999999999</v>
      </c>
      <c r="F165" s="2">
        <f t="shared" si="14"/>
        <v>7.9589999999999996</v>
      </c>
      <c r="G165" t="s">
        <v>46</v>
      </c>
      <c r="H165" t="s">
        <v>47</v>
      </c>
      <c r="I165">
        <v>35</v>
      </c>
      <c r="J165">
        <v>11.55</v>
      </c>
      <c r="K165">
        <v>0.105</v>
      </c>
      <c r="L165">
        <v>2.8</v>
      </c>
      <c r="M165">
        <v>0.245</v>
      </c>
      <c r="N165" t="s">
        <v>24</v>
      </c>
      <c r="O165" t="s">
        <v>25</v>
      </c>
      <c r="P165">
        <v>70</v>
      </c>
      <c r="Q165">
        <v>103.6</v>
      </c>
      <c r="R165">
        <v>7.7</v>
      </c>
      <c r="S165">
        <v>1.1200000000000001</v>
      </c>
      <c r="T165">
        <v>7</v>
      </c>
      <c r="U165" t="s">
        <v>21</v>
      </c>
      <c r="V165" t="s">
        <v>22</v>
      </c>
      <c r="W165">
        <v>34</v>
      </c>
      <c r="X165">
        <v>47.94</v>
      </c>
      <c r="Y165">
        <v>2.3119999999999998</v>
      </c>
      <c r="Z165">
        <v>6.12</v>
      </c>
      <c r="AA165">
        <v>0.71399999999999997</v>
      </c>
    </row>
    <row r="166" spans="1:111" x14ac:dyDescent="0.35">
      <c r="A166" t="s">
        <v>447</v>
      </c>
      <c r="B166" s="2">
        <f t="shared" si="10"/>
        <v>194.76</v>
      </c>
      <c r="C166" s="2">
        <f t="shared" si="11"/>
        <v>36</v>
      </c>
      <c r="D166" s="2">
        <f t="shared" si="12"/>
        <v>15.12</v>
      </c>
      <c r="E166" s="2">
        <f t="shared" si="13"/>
        <v>0.504</v>
      </c>
      <c r="F166" s="2">
        <f t="shared" si="14"/>
        <v>13.32</v>
      </c>
      <c r="G166" t="s">
        <v>63</v>
      </c>
      <c r="H166" t="s">
        <v>64</v>
      </c>
      <c r="I166">
        <v>36</v>
      </c>
      <c r="J166">
        <v>194.76</v>
      </c>
      <c r="K166">
        <v>15.12</v>
      </c>
      <c r="L166">
        <v>0.504</v>
      </c>
      <c r="M166">
        <v>13.32</v>
      </c>
    </row>
    <row r="167" spans="1:111" x14ac:dyDescent="0.35">
      <c r="A167" t="s">
        <v>448</v>
      </c>
      <c r="B167" s="2">
        <f t="shared" si="10"/>
        <v>26.352926849999999</v>
      </c>
      <c r="C167" s="2">
        <f t="shared" si="11"/>
        <v>47.999998999999995</v>
      </c>
      <c r="D167" s="2">
        <f t="shared" si="12"/>
        <v>1.0794068619999999</v>
      </c>
      <c r="E167" s="2">
        <f t="shared" si="13"/>
        <v>3.7034006059999998</v>
      </c>
      <c r="F167" s="2">
        <f t="shared" si="14"/>
        <v>1.1909448540000001</v>
      </c>
      <c r="G167" t="s">
        <v>41</v>
      </c>
      <c r="H167" t="s">
        <v>42</v>
      </c>
      <c r="I167">
        <v>45.926898999999999</v>
      </c>
      <c r="J167">
        <v>16.074414650000001</v>
      </c>
      <c r="K167">
        <v>0.183707596</v>
      </c>
      <c r="L167">
        <v>3.2148829299999999</v>
      </c>
      <c r="M167">
        <v>1.1022455760000001</v>
      </c>
      <c r="N167" t="s">
        <v>7</v>
      </c>
      <c r="O167" t="s">
        <v>8</v>
      </c>
      <c r="P167">
        <v>0.86112900000000003</v>
      </c>
      <c r="Q167">
        <v>7.6123803600000004</v>
      </c>
      <c r="R167">
        <v>0.86112900000000003</v>
      </c>
      <c r="S167">
        <v>0</v>
      </c>
      <c r="T167">
        <v>0</v>
      </c>
      <c r="U167" t="s">
        <v>156</v>
      </c>
      <c r="V167" t="s">
        <v>157</v>
      </c>
      <c r="W167">
        <v>0.632822</v>
      </c>
      <c r="X167">
        <v>2.4996469000000001</v>
      </c>
      <c r="Y167">
        <v>3.2273921999999997E-2</v>
      </c>
      <c r="Z167">
        <v>0.451202086</v>
      </c>
      <c r="AA167">
        <v>8.3532503999999994E-2</v>
      </c>
      <c r="AB167" t="s">
        <v>11</v>
      </c>
      <c r="AC167" t="s">
        <v>12</v>
      </c>
      <c r="AD167">
        <v>5.0629999999999998E-3</v>
      </c>
      <c r="AE167">
        <v>0</v>
      </c>
      <c r="AF167">
        <v>0</v>
      </c>
      <c r="AG167">
        <v>0</v>
      </c>
      <c r="AH167">
        <v>0</v>
      </c>
      <c r="AI167" t="s">
        <v>36</v>
      </c>
      <c r="AJ167" t="s">
        <v>37</v>
      </c>
      <c r="AK167">
        <v>0.57408599999999999</v>
      </c>
      <c r="AL167">
        <v>0.16648494</v>
      </c>
      <c r="AM167">
        <v>2.2963440000000001E-3</v>
      </c>
      <c r="AN167">
        <v>3.7315590000000003E-2</v>
      </c>
      <c r="AO167">
        <v>5.1667739999999998E-3</v>
      </c>
    </row>
    <row r="168" spans="1:111" x14ac:dyDescent="0.35">
      <c r="A168" t="s">
        <v>449</v>
      </c>
      <c r="B168" s="2">
        <f t="shared" si="10"/>
        <v>76.89</v>
      </c>
      <c r="C168" s="2">
        <f t="shared" si="11"/>
        <v>233</v>
      </c>
      <c r="D168" s="2">
        <f t="shared" si="12"/>
        <v>0.69899999999999995</v>
      </c>
      <c r="E168" s="2">
        <f t="shared" si="13"/>
        <v>18.64</v>
      </c>
      <c r="F168" s="2">
        <f t="shared" si="14"/>
        <v>1.631</v>
      </c>
      <c r="G168" t="s">
        <v>46</v>
      </c>
      <c r="H168" t="s">
        <v>47</v>
      </c>
      <c r="I168">
        <v>233</v>
      </c>
      <c r="J168">
        <v>76.89</v>
      </c>
      <c r="K168">
        <v>0.69899999999999995</v>
      </c>
      <c r="L168">
        <v>18.64</v>
      </c>
      <c r="M168">
        <v>1.631</v>
      </c>
    </row>
    <row r="169" spans="1:111" x14ac:dyDescent="0.35">
      <c r="A169" t="s">
        <v>450</v>
      </c>
      <c r="B169" s="2">
        <f t="shared" si="10"/>
        <v>151.34</v>
      </c>
      <c r="C169" s="2">
        <f t="shared" si="11"/>
        <v>115</v>
      </c>
      <c r="D169" s="2">
        <f t="shared" si="12"/>
        <v>1.2649999999999999</v>
      </c>
      <c r="E169" s="2">
        <f t="shared" si="13"/>
        <v>28.52</v>
      </c>
      <c r="F169" s="2">
        <f t="shared" si="14"/>
        <v>5.8650000000000002</v>
      </c>
      <c r="G169" t="s">
        <v>382</v>
      </c>
      <c r="H169" t="s">
        <v>383</v>
      </c>
      <c r="I169">
        <v>115</v>
      </c>
      <c r="J169">
        <v>151.34</v>
      </c>
      <c r="K169">
        <v>1.2649999999999999</v>
      </c>
      <c r="L169">
        <v>28.52</v>
      </c>
      <c r="M169">
        <v>5.8650000000000002</v>
      </c>
    </row>
    <row r="170" spans="1:111" x14ac:dyDescent="0.35">
      <c r="A170" t="s">
        <v>451</v>
      </c>
      <c r="B170" s="2">
        <f t="shared" si="10"/>
        <v>219.32413763</v>
      </c>
      <c r="C170" s="2">
        <f t="shared" si="11"/>
        <v>106.999999</v>
      </c>
      <c r="D170" s="2">
        <f t="shared" si="12"/>
        <v>11.994989685</v>
      </c>
      <c r="E170" s="2">
        <f t="shared" si="13"/>
        <v>15.679177452999999</v>
      </c>
      <c r="F170" s="2">
        <f t="shared" si="14"/>
        <v>12.92132758</v>
      </c>
      <c r="G170" t="s">
        <v>172</v>
      </c>
      <c r="H170" t="s">
        <v>173</v>
      </c>
      <c r="I170">
        <v>3.9799329999999999</v>
      </c>
      <c r="J170">
        <v>15.99933066</v>
      </c>
      <c r="K170">
        <v>1.3133778899999999</v>
      </c>
      <c r="L170">
        <v>5.1739129000000002E-2</v>
      </c>
      <c r="M170">
        <v>0.99498324999999999</v>
      </c>
      <c r="N170" t="s">
        <v>174</v>
      </c>
      <c r="O170" t="s">
        <v>175</v>
      </c>
      <c r="P170">
        <v>8.1893080000000005</v>
      </c>
      <c r="Q170">
        <v>17.852691440000001</v>
      </c>
      <c r="R170">
        <v>0.23748993199999999</v>
      </c>
      <c r="S170">
        <v>3.6851886</v>
      </c>
      <c r="T170">
        <v>0.49135847999999999</v>
      </c>
      <c r="U170" t="s">
        <v>89</v>
      </c>
      <c r="V170" t="s">
        <v>90</v>
      </c>
      <c r="W170">
        <v>8.0013249999999996</v>
      </c>
      <c r="X170">
        <v>3.2005300000000001</v>
      </c>
      <c r="Y170">
        <v>8.0013250000000001E-3</v>
      </c>
      <c r="Z170">
        <v>0.72011924999999999</v>
      </c>
      <c r="AA170">
        <v>8.8014574999999998E-2</v>
      </c>
      <c r="AB170" t="s">
        <v>452</v>
      </c>
      <c r="AC170" t="s">
        <v>453</v>
      </c>
      <c r="AD170">
        <v>53</v>
      </c>
      <c r="AE170">
        <v>119.78</v>
      </c>
      <c r="AF170">
        <v>6.89</v>
      </c>
      <c r="AG170">
        <v>10.653</v>
      </c>
      <c r="AH170">
        <v>4.6639999999999997</v>
      </c>
      <c r="AI170" t="s">
        <v>145</v>
      </c>
      <c r="AJ170" t="s">
        <v>146</v>
      </c>
      <c r="AK170">
        <v>25.206244000000002</v>
      </c>
      <c r="AL170">
        <v>59.990860720000001</v>
      </c>
      <c r="AM170">
        <v>3.52887416</v>
      </c>
      <c r="AN170">
        <v>0</v>
      </c>
      <c r="AO170">
        <v>6.55362344</v>
      </c>
      <c r="AP170" t="s">
        <v>31</v>
      </c>
      <c r="AQ170" t="s">
        <v>32</v>
      </c>
      <c r="AR170">
        <v>8.623189</v>
      </c>
      <c r="AS170">
        <v>2.5007248099999999</v>
      </c>
      <c r="AT170">
        <v>1.7246378E-2</v>
      </c>
      <c r="AU170">
        <v>0.56913047400000005</v>
      </c>
      <c r="AV170">
        <v>0.12934783499999999</v>
      </c>
    </row>
    <row r="171" spans="1:111" x14ac:dyDescent="0.35">
      <c r="A171" t="s">
        <v>454</v>
      </c>
      <c r="B171" s="2">
        <f t="shared" si="10"/>
        <v>261.96305416199999</v>
      </c>
      <c r="C171" s="2">
        <f t="shared" si="11"/>
        <v>247.00000199999991</v>
      </c>
      <c r="D171" s="2">
        <f t="shared" si="12"/>
        <v>14.25619595</v>
      </c>
      <c r="E171" s="2">
        <f t="shared" si="13"/>
        <v>16.440912960000002</v>
      </c>
      <c r="F171" s="2">
        <f t="shared" si="14"/>
        <v>17.346134994</v>
      </c>
      <c r="G171" t="s">
        <v>252</v>
      </c>
      <c r="H171" t="s">
        <v>253</v>
      </c>
      <c r="I171">
        <v>30.072444999999998</v>
      </c>
      <c r="J171">
        <v>23.155782649999999</v>
      </c>
      <c r="K171">
        <v>3.0072445E-2</v>
      </c>
      <c r="L171">
        <v>5.1123156500000002</v>
      </c>
      <c r="M171">
        <v>0.60144889999999995</v>
      </c>
      <c r="N171" t="s">
        <v>34</v>
      </c>
      <c r="O171" t="s">
        <v>35</v>
      </c>
      <c r="P171">
        <v>114.253265</v>
      </c>
      <c r="Q171">
        <v>28.56331625</v>
      </c>
      <c r="R171">
        <v>0.34275979499999998</v>
      </c>
      <c r="S171">
        <v>5.7126632500000003</v>
      </c>
      <c r="T171">
        <v>2.0565587700000001</v>
      </c>
      <c r="U171" t="s">
        <v>254</v>
      </c>
      <c r="V171" t="s">
        <v>255</v>
      </c>
      <c r="W171">
        <v>48.867722000000001</v>
      </c>
      <c r="X171">
        <v>122.16930499999999</v>
      </c>
      <c r="Y171">
        <v>7.3301582999999999</v>
      </c>
      <c r="Z171">
        <v>0</v>
      </c>
      <c r="AA171">
        <v>12.70560772</v>
      </c>
      <c r="AB171" t="s">
        <v>256</v>
      </c>
      <c r="AC171" t="s">
        <v>257</v>
      </c>
      <c r="AD171">
        <v>3.7590560000000002</v>
      </c>
      <c r="AE171">
        <v>2.2930241599999999</v>
      </c>
      <c r="AF171">
        <v>1.1277168000000001E-2</v>
      </c>
      <c r="AG171">
        <v>0.52626784000000004</v>
      </c>
      <c r="AH171">
        <v>5.638584E-2</v>
      </c>
      <c r="AI171" t="s">
        <v>137</v>
      </c>
      <c r="AJ171" t="s">
        <v>138</v>
      </c>
      <c r="AK171">
        <v>30.072444999999998</v>
      </c>
      <c r="AL171">
        <v>24.358680450000001</v>
      </c>
      <c r="AM171">
        <v>0.12028978</v>
      </c>
      <c r="AN171">
        <v>4.2101423000000002</v>
      </c>
      <c r="AO171">
        <v>1.50362225</v>
      </c>
      <c r="AP171" t="s">
        <v>71</v>
      </c>
      <c r="AQ171" t="s">
        <v>72</v>
      </c>
      <c r="AR171">
        <v>0.53378599999999998</v>
      </c>
      <c r="AS171">
        <v>0.79534114</v>
      </c>
      <c r="AT171">
        <v>2.6689299999999999E-3</v>
      </c>
      <c r="AU171">
        <v>0.17614937999999999</v>
      </c>
      <c r="AV171">
        <v>3.4162303999999998E-2</v>
      </c>
      <c r="AW171" t="s">
        <v>258</v>
      </c>
      <c r="AX171" t="s">
        <v>259</v>
      </c>
      <c r="AY171">
        <v>6.6009019999999996</v>
      </c>
      <c r="AZ171">
        <v>4.046352926</v>
      </c>
      <c r="BA171">
        <v>0.21782976600000001</v>
      </c>
      <c r="BB171">
        <v>0.39605412000000001</v>
      </c>
      <c r="BC171">
        <v>0.244233374</v>
      </c>
      <c r="BD171" t="s">
        <v>7</v>
      </c>
      <c r="BE171" t="s">
        <v>8</v>
      </c>
      <c r="BF171">
        <v>2.1422490000000001</v>
      </c>
      <c r="BG171">
        <v>18.937481160000001</v>
      </c>
      <c r="BH171">
        <v>2.1422490000000001</v>
      </c>
      <c r="BI171">
        <v>0</v>
      </c>
      <c r="BJ171">
        <v>0</v>
      </c>
      <c r="BK171" t="s">
        <v>141</v>
      </c>
      <c r="BL171" t="s">
        <v>142</v>
      </c>
      <c r="BM171">
        <v>0.95479999999999998</v>
      </c>
      <c r="BN171">
        <v>0</v>
      </c>
      <c r="BO171">
        <v>0</v>
      </c>
      <c r="BP171">
        <v>0</v>
      </c>
      <c r="BQ171">
        <v>0</v>
      </c>
      <c r="BR171" t="s">
        <v>11</v>
      </c>
      <c r="BS171" t="s">
        <v>12</v>
      </c>
      <c r="BT171">
        <v>0.24753500000000001</v>
      </c>
      <c r="BU171">
        <v>0</v>
      </c>
      <c r="BV171">
        <v>0</v>
      </c>
      <c r="BW171">
        <v>0</v>
      </c>
      <c r="BX171">
        <v>0</v>
      </c>
      <c r="BY171" t="s">
        <v>164</v>
      </c>
      <c r="BZ171" t="s">
        <v>165</v>
      </c>
      <c r="CA171">
        <v>1.2729299999999999</v>
      </c>
      <c r="CB171">
        <v>4.2808635900000001</v>
      </c>
      <c r="CC171">
        <v>0.46589237999999999</v>
      </c>
      <c r="CD171">
        <v>3.4369110000000001E-2</v>
      </c>
      <c r="CE171">
        <v>3.564204E-2</v>
      </c>
      <c r="CF171" t="s">
        <v>260</v>
      </c>
      <c r="CG171" t="s">
        <v>261</v>
      </c>
      <c r="CH171">
        <v>3.7590560000000002</v>
      </c>
      <c r="CI171">
        <v>7.4429308799999996</v>
      </c>
      <c r="CJ171">
        <v>0.71422063999999996</v>
      </c>
      <c r="CK171">
        <v>0.17291657599999999</v>
      </c>
      <c r="CL171">
        <v>9.0217344000000005E-2</v>
      </c>
      <c r="CM171" t="s">
        <v>36</v>
      </c>
      <c r="CN171" t="s">
        <v>37</v>
      </c>
      <c r="CO171">
        <v>1.428166</v>
      </c>
      <c r="CP171">
        <v>0.41416814000000002</v>
      </c>
      <c r="CQ171">
        <v>5.7126640000000001E-3</v>
      </c>
      <c r="CR171">
        <v>9.2830789999999996E-2</v>
      </c>
      <c r="CS171">
        <v>1.2853494E-2</v>
      </c>
      <c r="CT171" t="s">
        <v>38</v>
      </c>
      <c r="CU171" t="s">
        <v>39</v>
      </c>
      <c r="CV171">
        <v>0.16372600000000001</v>
      </c>
      <c r="CW171">
        <v>4.9117800000000003E-2</v>
      </c>
      <c r="CX171">
        <v>1.1460820000000001E-3</v>
      </c>
      <c r="CY171">
        <v>7.2039440000000003E-3</v>
      </c>
      <c r="CZ171">
        <v>5.4029580000000002E-3</v>
      </c>
      <c r="DA171" t="s">
        <v>170</v>
      </c>
      <c r="DC171">
        <v>2.8719190000000001</v>
      </c>
      <c r="DD171">
        <v>25.456690016</v>
      </c>
      <c r="DE171">
        <v>2.8719190000000001</v>
      </c>
      <c r="DF171">
        <v>0</v>
      </c>
      <c r="DG171">
        <v>0</v>
      </c>
    </row>
    <row r="172" spans="1:111" x14ac:dyDescent="0.35">
      <c r="A172" t="s">
        <v>455</v>
      </c>
      <c r="B172" s="2">
        <f t="shared" si="10"/>
        <v>76.819999999999993</v>
      </c>
      <c r="C172" s="2">
        <f t="shared" si="11"/>
        <v>113</v>
      </c>
      <c r="D172" s="2">
        <f t="shared" si="12"/>
        <v>4.032</v>
      </c>
      <c r="E172" s="2">
        <f t="shared" si="13"/>
        <v>7.3</v>
      </c>
      <c r="F172" s="2">
        <f t="shared" si="14"/>
        <v>4.0280000000000005</v>
      </c>
      <c r="G172" t="s">
        <v>133</v>
      </c>
      <c r="H172" t="s">
        <v>134</v>
      </c>
      <c r="I172">
        <v>71</v>
      </c>
      <c r="J172">
        <v>7.1</v>
      </c>
      <c r="K172">
        <v>0</v>
      </c>
      <c r="L172">
        <v>1.42</v>
      </c>
      <c r="M172">
        <v>0.71</v>
      </c>
      <c r="N172" t="s">
        <v>18</v>
      </c>
      <c r="O172" t="s">
        <v>19</v>
      </c>
      <c r="P172">
        <v>42</v>
      </c>
      <c r="Q172">
        <v>69.72</v>
      </c>
      <c r="R172">
        <v>4.032</v>
      </c>
      <c r="S172">
        <v>5.88</v>
      </c>
      <c r="T172">
        <v>3.3180000000000001</v>
      </c>
    </row>
    <row r="173" spans="1:111" x14ac:dyDescent="0.35">
      <c r="A173" t="s">
        <v>456</v>
      </c>
      <c r="B173" s="2">
        <f t="shared" si="10"/>
        <v>124.292085474</v>
      </c>
      <c r="C173" s="2">
        <f t="shared" si="11"/>
        <v>53</v>
      </c>
      <c r="D173" s="2">
        <f t="shared" si="12"/>
        <v>7.1897988130000003</v>
      </c>
      <c r="E173" s="2">
        <f t="shared" si="13"/>
        <v>9.5102954779999997</v>
      </c>
      <c r="F173" s="2">
        <f t="shared" si="14"/>
        <v>5.5062334109999993</v>
      </c>
      <c r="G173" t="s">
        <v>7</v>
      </c>
      <c r="H173" t="s">
        <v>8</v>
      </c>
      <c r="I173">
        <v>3.708602</v>
      </c>
      <c r="J173">
        <v>32.784041680000001</v>
      </c>
      <c r="K173">
        <v>3.708602</v>
      </c>
      <c r="L173">
        <v>0</v>
      </c>
      <c r="M173">
        <v>0</v>
      </c>
      <c r="N173" t="s">
        <v>51</v>
      </c>
      <c r="O173" t="s">
        <v>52</v>
      </c>
      <c r="P173">
        <v>14.834409000000001</v>
      </c>
      <c r="Q173">
        <v>41.180319384000001</v>
      </c>
      <c r="R173">
        <v>2.536683939</v>
      </c>
      <c r="S173">
        <v>0.47470108799999999</v>
      </c>
      <c r="T173">
        <v>4.1536345199999998</v>
      </c>
      <c r="U173" t="s">
        <v>57</v>
      </c>
      <c r="V173" t="s">
        <v>58</v>
      </c>
      <c r="W173">
        <v>3.708602</v>
      </c>
      <c r="X173">
        <v>0.89006448000000005</v>
      </c>
      <c r="Y173">
        <v>0</v>
      </c>
      <c r="Z173">
        <v>7.4172039999999995E-2</v>
      </c>
      <c r="AA173">
        <v>0.14834407999999999</v>
      </c>
      <c r="AB173" t="s">
        <v>59</v>
      </c>
      <c r="AD173">
        <v>19.622579999999999</v>
      </c>
      <c r="AE173">
        <v>46.211175900000001</v>
      </c>
      <c r="AF173">
        <v>0.92226125999999997</v>
      </c>
      <c r="AG173">
        <v>8.1826158600000003</v>
      </c>
      <c r="AH173">
        <v>1.0596193199999999</v>
      </c>
      <c r="AI173" t="s">
        <v>60</v>
      </c>
      <c r="AK173">
        <v>11.125807</v>
      </c>
      <c r="AL173">
        <v>3.2264840299999999</v>
      </c>
      <c r="AM173">
        <v>2.2251613999999999E-2</v>
      </c>
      <c r="AN173">
        <v>0.77880649000000002</v>
      </c>
      <c r="AO173">
        <v>0.144635491</v>
      </c>
    </row>
    <row r="174" spans="1:111" x14ac:dyDescent="0.35">
      <c r="A174" t="s">
        <v>457</v>
      </c>
      <c r="B174" s="2">
        <f t="shared" si="10"/>
        <v>316.55459130700001</v>
      </c>
      <c r="C174" s="2">
        <f t="shared" si="11"/>
        <v>161.99999900000003</v>
      </c>
      <c r="D174" s="2">
        <f t="shared" si="12"/>
        <v>22.469996472000002</v>
      </c>
      <c r="E174" s="2">
        <f t="shared" si="13"/>
        <v>26.17628479</v>
      </c>
      <c r="F174" s="2">
        <f t="shared" si="14"/>
        <v>7.0033845709999998</v>
      </c>
      <c r="G174" t="s">
        <v>1</v>
      </c>
      <c r="H174" t="s">
        <v>2</v>
      </c>
      <c r="I174">
        <v>34.090580000000003</v>
      </c>
      <c r="J174">
        <v>11.590797200000001</v>
      </c>
      <c r="K174">
        <v>0.23863406000000001</v>
      </c>
      <c r="L174">
        <v>2.3181594400000001</v>
      </c>
      <c r="M174">
        <v>0.23863406000000001</v>
      </c>
      <c r="N174" t="s">
        <v>3</v>
      </c>
      <c r="O174" t="s">
        <v>4</v>
      </c>
      <c r="P174">
        <v>51.135868000000002</v>
      </c>
      <c r="Q174">
        <v>81.817388800000003</v>
      </c>
      <c r="R174">
        <v>7.6703802000000003</v>
      </c>
      <c r="S174">
        <v>4.6022281200000004</v>
      </c>
      <c r="T174">
        <v>1.0227173599999999</v>
      </c>
      <c r="U174" t="s">
        <v>5</v>
      </c>
      <c r="V174" t="s">
        <v>6</v>
      </c>
      <c r="W174">
        <v>30.062771000000001</v>
      </c>
      <c r="X174">
        <v>85.889336747000002</v>
      </c>
      <c r="Y174">
        <v>2.7657749319999998</v>
      </c>
      <c r="Z174">
        <v>14.73075779</v>
      </c>
      <c r="AA174">
        <v>1.2325736110000001</v>
      </c>
      <c r="AB174" t="s">
        <v>7</v>
      </c>
      <c r="AC174" t="s">
        <v>8</v>
      </c>
      <c r="AD174">
        <v>8.5226450000000007</v>
      </c>
      <c r="AE174">
        <v>75.340181799999996</v>
      </c>
      <c r="AF174">
        <v>8.5226450000000007</v>
      </c>
      <c r="AG174">
        <v>0</v>
      </c>
      <c r="AH174">
        <v>0</v>
      </c>
      <c r="AI174" t="s">
        <v>9</v>
      </c>
      <c r="AJ174" t="s">
        <v>10</v>
      </c>
      <c r="AK174">
        <v>34.090580000000003</v>
      </c>
      <c r="AL174">
        <v>41.590507600000002</v>
      </c>
      <c r="AM174">
        <v>1.7386195799999999</v>
      </c>
      <c r="AN174">
        <v>3.34087684</v>
      </c>
      <c r="AO174">
        <v>3.7499638000000002</v>
      </c>
      <c r="AP174" t="s">
        <v>11</v>
      </c>
      <c r="AQ174" t="s">
        <v>12</v>
      </c>
      <c r="AR174">
        <v>0.10020900000000001</v>
      </c>
      <c r="AS174">
        <v>0</v>
      </c>
      <c r="AT174">
        <v>0</v>
      </c>
      <c r="AU174">
        <v>0</v>
      </c>
      <c r="AV174">
        <v>0</v>
      </c>
      <c r="AW174" t="s">
        <v>13</v>
      </c>
      <c r="AX174" t="s">
        <v>14</v>
      </c>
      <c r="AY174">
        <v>2.4982160000000002</v>
      </c>
      <c r="AZ174">
        <v>13.64025936</v>
      </c>
      <c r="BA174">
        <v>1.2491080000000001</v>
      </c>
      <c r="BB174">
        <v>0.37473240000000002</v>
      </c>
      <c r="BC174">
        <v>0.47466103999999998</v>
      </c>
      <c r="BD174" t="s">
        <v>15</v>
      </c>
      <c r="BE174" t="s">
        <v>16</v>
      </c>
      <c r="BF174">
        <v>1.4991300000000001</v>
      </c>
      <c r="BG174">
        <v>6.6861198000000002</v>
      </c>
      <c r="BH174">
        <v>0.2848347</v>
      </c>
      <c r="BI174">
        <v>0.80953019999999998</v>
      </c>
      <c r="BJ174">
        <v>0.2848347</v>
      </c>
    </row>
    <row r="175" spans="1:111" x14ac:dyDescent="0.35">
      <c r="A175" t="s">
        <v>458</v>
      </c>
      <c r="B175" s="2">
        <f t="shared" si="10"/>
        <v>84.8</v>
      </c>
      <c r="C175" s="2">
        <f t="shared" si="11"/>
        <v>53</v>
      </c>
      <c r="D175" s="2">
        <f t="shared" si="12"/>
        <v>5.3</v>
      </c>
      <c r="E175" s="2">
        <f t="shared" si="13"/>
        <v>1.59</v>
      </c>
      <c r="F175" s="2">
        <f t="shared" si="14"/>
        <v>7.42</v>
      </c>
      <c r="G175" t="s">
        <v>213</v>
      </c>
      <c r="H175" t="s">
        <v>214</v>
      </c>
      <c r="I175">
        <v>53</v>
      </c>
      <c r="J175">
        <v>84.8</v>
      </c>
      <c r="K175">
        <v>5.3</v>
      </c>
      <c r="L175">
        <v>1.59</v>
      </c>
      <c r="M175">
        <v>7.42</v>
      </c>
    </row>
    <row r="176" spans="1:111" x14ac:dyDescent="0.35">
      <c r="A176" t="s">
        <v>459</v>
      </c>
      <c r="B176" s="2">
        <f t="shared" si="10"/>
        <v>512.99699999999996</v>
      </c>
      <c r="C176" s="2">
        <f t="shared" si="11"/>
        <v>250</v>
      </c>
      <c r="D176" s="2">
        <f t="shared" si="12"/>
        <v>33.533999999999999</v>
      </c>
      <c r="E176" s="2">
        <f t="shared" si="13"/>
        <v>19.647000000000002</v>
      </c>
      <c r="F176" s="2">
        <f t="shared" si="14"/>
        <v>31.696999999999999</v>
      </c>
      <c r="G176" t="s">
        <v>63</v>
      </c>
      <c r="H176" t="s">
        <v>64</v>
      </c>
      <c r="I176">
        <v>43</v>
      </c>
      <c r="J176">
        <v>232.63</v>
      </c>
      <c r="K176">
        <v>18.059999999999999</v>
      </c>
      <c r="L176">
        <v>0.60199999999999998</v>
      </c>
      <c r="M176">
        <v>15.91</v>
      </c>
      <c r="N176" t="s">
        <v>24</v>
      </c>
      <c r="O176" t="s">
        <v>25</v>
      </c>
      <c r="P176">
        <v>130</v>
      </c>
      <c r="Q176">
        <v>192.4</v>
      </c>
      <c r="R176">
        <v>14.3</v>
      </c>
      <c r="S176">
        <v>2.08</v>
      </c>
      <c r="T176">
        <v>13</v>
      </c>
      <c r="U176" t="s">
        <v>65</v>
      </c>
      <c r="V176" t="s">
        <v>66</v>
      </c>
      <c r="W176">
        <v>51</v>
      </c>
      <c r="X176">
        <v>80.427000000000007</v>
      </c>
      <c r="Y176">
        <v>1.1220000000000001</v>
      </c>
      <c r="Z176">
        <v>15.249000000000001</v>
      </c>
      <c r="AA176">
        <v>2.3969999999999998</v>
      </c>
      <c r="AB176" t="s">
        <v>31</v>
      </c>
      <c r="AC176" t="s">
        <v>32</v>
      </c>
      <c r="AD176">
        <v>26</v>
      </c>
      <c r="AE176">
        <v>7.54</v>
      </c>
      <c r="AF176">
        <v>5.1999999999999998E-2</v>
      </c>
      <c r="AG176">
        <v>1.716</v>
      </c>
      <c r="AH176">
        <v>0.39</v>
      </c>
    </row>
    <row r="177" spans="1:125" x14ac:dyDescent="0.35">
      <c r="A177" t="s">
        <v>460</v>
      </c>
      <c r="B177" s="2">
        <f t="shared" si="10"/>
        <v>140.18</v>
      </c>
      <c r="C177" s="2">
        <f t="shared" si="11"/>
        <v>43</v>
      </c>
      <c r="D177" s="2">
        <f t="shared" si="12"/>
        <v>9.4600000000000009</v>
      </c>
      <c r="E177" s="2">
        <f t="shared" si="13"/>
        <v>13.76</v>
      </c>
      <c r="F177" s="2">
        <f t="shared" si="14"/>
        <v>1.1180000000000001</v>
      </c>
      <c r="G177" t="s">
        <v>27</v>
      </c>
      <c r="H177" t="s">
        <v>28</v>
      </c>
      <c r="I177">
        <v>43</v>
      </c>
      <c r="J177">
        <v>140.18</v>
      </c>
      <c r="K177">
        <v>9.4600000000000009</v>
      </c>
      <c r="L177">
        <v>13.76</v>
      </c>
      <c r="M177">
        <v>1.1180000000000001</v>
      </c>
    </row>
    <row r="178" spans="1:125" x14ac:dyDescent="0.35">
      <c r="A178" t="s">
        <v>461</v>
      </c>
      <c r="B178" s="2">
        <f t="shared" si="10"/>
        <v>79.734542477999995</v>
      </c>
      <c r="C178" s="2">
        <f t="shared" si="11"/>
        <v>33.999999000000003</v>
      </c>
      <c r="D178" s="2">
        <f t="shared" si="12"/>
        <v>4.6123235329999996</v>
      </c>
      <c r="E178" s="2">
        <f t="shared" si="13"/>
        <v>6.1009441659999997</v>
      </c>
      <c r="F178" s="2">
        <f t="shared" si="14"/>
        <v>3.5323005700000003</v>
      </c>
      <c r="G178" t="s">
        <v>7</v>
      </c>
      <c r="H178" t="s">
        <v>8</v>
      </c>
      <c r="I178">
        <v>2.3791030000000002</v>
      </c>
      <c r="J178">
        <v>21.03127052</v>
      </c>
      <c r="K178">
        <v>2.3791030000000002</v>
      </c>
      <c r="L178">
        <v>0</v>
      </c>
      <c r="M178">
        <v>0</v>
      </c>
      <c r="N178" t="s">
        <v>51</v>
      </c>
      <c r="O178" t="s">
        <v>52</v>
      </c>
      <c r="P178">
        <v>9.516413</v>
      </c>
      <c r="Q178">
        <v>26.417562488000002</v>
      </c>
      <c r="R178">
        <v>1.627306623</v>
      </c>
      <c r="S178">
        <v>0.30452521599999999</v>
      </c>
      <c r="T178">
        <v>2.6645956399999999</v>
      </c>
      <c r="U178" t="s">
        <v>57</v>
      </c>
      <c r="V178" t="s">
        <v>58</v>
      </c>
      <c r="W178">
        <v>2.3791030000000002</v>
      </c>
      <c r="X178">
        <v>0.57098472</v>
      </c>
      <c r="Y178">
        <v>0</v>
      </c>
      <c r="Z178">
        <v>4.7582060000000002E-2</v>
      </c>
      <c r="AA178">
        <v>9.5164120000000005E-2</v>
      </c>
      <c r="AB178" t="s">
        <v>59</v>
      </c>
      <c r="AD178">
        <v>12.58807</v>
      </c>
      <c r="AE178">
        <v>29.64490485</v>
      </c>
      <c r="AF178">
        <v>0.59163929000000004</v>
      </c>
      <c r="AG178">
        <v>5.2492251899999998</v>
      </c>
      <c r="AH178">
        <v>0.67975578000000003</v>
      </c>
      <c r="AI178" t="s">
        <v>60</v>
      </c>
      <c r="AK178">
        <v>7.1373100000000003</v>
      </c>
      <c r="AL178">
        <v>2.0698199000000002</v>
      </c>
      <c r="AM178">
        <v>1.427462E-2</v>
      </c>
      <c r="AN178">
        <v>0.49961169999999999</v>
      </c>
      <c r="AO178">
        <v>9.2785030000000004E-2</v>
      </c>
    </row>
    <row r="179" spans="1:125" x14ac:dyDescent="0.35">
      <c r="A179" t="s">
        <v>462</v>
      </c>
      <c r="B179" s="2">
        <f t="shared" si="10"/>
        <v>425.53000000000003</v>
      </c>
      <c r="C179" s="2">
        <f t="shared" si="11"/>
        <v>118</v>
      </c>
      <c r="D179" s="2">
        <f t="shared" si="12"/>
        <v>29.76</v>
      </c>
      <c r="E179" s="2">
        <f t="shared" si="13"/>
        <v>31.945999999999998</v>
      </c>
      <c r="F179" s="2">
        <f t="shared" si="14"/>
        <v>9.6039999999999992</v>
      </c>
      <c r="G179" t="s">
        <v>63</v>
      </c>
      <c r="H179" t="s">
        <v>64</v>
      </c>
      <c r="I179">
        <v>19</v>
      </c>
      <c r="J179">
        <v>102.79</v>
      </c>
      <c r="K179">
        <v>7.98</v>
      </c>
      <c r="L179">
        <v>0.26600000000000001</v>
      </c>
      <c r="M179">
        <v>7.03</v>
      </c>
      <c r="N179" t="s">
        <v>27</v>
      </c>
      <c r="O179" t="s">
        <v>28</v>
      </c>
      <c r="P179">
        <v>99</v>
      </c>
      <c r="Q179">
        <v>322.74</v>
      </c>
      <c r="R179">
        <v>21.78</v>
      </c>
      <c r="S179">
        <v>31.68</v>
      </c>
      <c r="T179">
        <v>2.5739999999999998</v>
      </c>
    </row>
    <row r="180" spans="1:125" x14ac:dyDescent="0.35">
      <c r="A180" t="s">
        <v>463</v>
      </c>
      <c r="B180" s="2">
        <f t="shared" si="10"/>
        <v>385.97</v>
      </c>
      <c r="C180" s="2">
        <f t="shared" si="11"/>
        <v>151</v>
      </c>
      <c r="D180" s="2">
        <f t="shared" si="12"/>
        <v>27.692999999999998</v>
      </c>
      <c r="E180" s="2">
        <f t="shared" si="13"/>
        <v>15.450000000000001</v>
      </c>
      <c r="F180" s="2">
        <f t="shared" si="14"/>
        <v>17.791</v>
      </c>
      <c r="G180" t="s">
        <v>43</v>
      </c>
      <c r="H180" t="s">
        <v>44</v>
      </c>
      <c r="I180">
        <v>85</v>
      </c>
      <c r="J180">
        <v>292.91000000000003</v>
      </c>
      <c r="K180">
        <v>23.204999999999998</v>
      </c>
      <c r="L180">
        <v>3.57</v>
      </c>
      <c r="M180">
        <v>16.405000000000001</v>
      </c>
      <c r="N180" t="s">
        <v>21</v>
      </c>
      <c r="O180" t="s">
        <v>22</v>
      </c>
      <c r="P180">
        <v>66</v>
      </c>
      <c r="Q180">
        <v>93.06</v>
      </c>
      <c r="R180">
        <v>4.4880000000000004</v>
      </c>
      <c r="S180">
        <v>11.88</v>
      </c>
      <c r="T180">
        <v>1.3859999999999999</v>
      </c>
    </row>
    <row r="181" spans="1:125" x14ac:dyDescent="0.35">
      <c r="A181" t="s">
        <v>464</v>
      </c>
      <c r="B181" s="2">
        <f t="shared" si="10"/>
        <v>235.47</v>
      </c>
      <c r="C181" s="2">
        <f t="shared" si="11"/>
        <v>167</v>
      </c>
      <c r="D181" s="2">
        <f t="shared" si="12"/>
        <v>11.356</v>
      </c>
      <c r="E181" s="2">
        <f t="shared" si="13"/>
        <v>30.06</v>
      </c>
      <c r="F181" s="2">
        <f t="shared" si="14"/>
        <v>3.5070000000000001</v>
      </c>
      <c r="G181" t="s">
        <v>21</v>
      </c>
      <c r="H181" t="s">
        <v>22</v>
      </c>
      <c r="I181">
        <v>167</v>
      </c>
      <c r="J181">
        <v>235.47</v>
      </c>
      <c r="K181">
        <v>11.356</v>
      </c>
      <c r="L181">
        <v>30.06</v>
      </c>
      <c r="M181">
        <v>3.5070000000000001</v>
      </c>
    </row>
    <row r="182" spans="1:125" x14ac:dyDescent="0.35">
      <c r="A182" t="s">
        <v>465</v>
      </c>
      <c r="B182" s="2">
        <f t="shared" si="10"/>
        <v>228.96021116200001</v>
      </c>
      <c r="C182" s="2">
        <f t="shared" si="11"/>
        <v>101.000001</v>
      </c>
      <c r="D182" s="2">
        <f t="shared" si="12"/>
        <v>18.499475883999999</v>
      </c>
      <c r="E182" s="2">
        <f t="shared" si="13"/>
        <v>12.147620392</v>
      </c>
      <c r="F182" s="2">
        <f t="shared" si="14"/>
        <v>5.6733695629999996</v>
      </c>
      <c r="G182" t="s">
        <v>466</v>
      </c>
      <c r="H182" t="s">
        <v>467</v>
      </c>
      <c r="I182">
        <v>34.629097000000002</v>
      </c>
      <c r="J182">
        <v>39.823461549999998</v>
      </c>
      <c r="K182">
        <v>3.7053133790000001</v>
      </c>
      <c r="L182">
        <v>2.181633111</v>
      </c>
      <c r="M182">
        <v>0.27703277599999998</v>
      </c>
      <c r="N182" t="s">
        <v>104</v>
      </c>
      <c r="O182" t="s">
        <v>105</v>
      </c>
      <c r="P182">
        <v>14.841042</v>
      </c>
      <c r="Q182">
        <v>5.9364167999999999</v>
      </c>
      <c r="R182">
        <v>2.9682084000000001E-2</v>
      </c>
      <c r="S182">
        <v>1.3356937799999999</v>
      </c>
      <c r="T182">
        <v>0.29682083999999997</v>
      </c>
      <c r="U182" t="s">
        <v>335</v>
      </c>
      <c r="V182" t="s">
        <v>336</v>
      </c>
      <c r="W182">
        <v>7.4205209999999999</v>
      </c>
      <c r="X182">
        <v>42.898031901000003</v>
      </c>
      <c r="Y182">
        <v>3.6731578950000001</v>
      </c>
      <c r="Z182">
        <v>1.6844582669999999</v>
      </c>
      <c r="AA182">
        <v>1.6621967040000001</v>
      </c>
      <c r="AB182" t="s">
        <v>5</v>
      </c>
      <c r="AC182" t="s">
        <v>6</v>
      </c>
      <c r="AD182">
        <v>13.611072999999999</v>
      </c>
      <c r="AE182">
        <v>38.886835560999998</v>
      </c>
      <c r="AF182">
        <v>1.252218716</v>
      </c>
      <c r="AG182">
        <v>6.6694257700000001</v>
      </c>
      <c r="AH182">
        <v>0.55805399300000003</v>
      </c>
      <c r="AI182" t="s">
        <v>7</v>
      </c>
      <c r="AJ182" t="s">
        <v>8</v>
      </c>
      <c r="AK182">
        <v>7.4205209999999999</v>
      </c>
      <c r="AL182">
        <v>65.597405640000005</v>
      </c>
      <c r="AM182">
        <v>7.4205209999999999</v>
      </c>
      <c r="AN182">
        <v>0</v>
      </c>
      <c r="AO182">
        <v>0</v>
      </c>
      <c r="AP182" t="s">
        <v>148</v>
      </c>
      <c r="AQ182" t="s">
        <v>149</v>
      </c>
      <c r="AR182">
        <v>23.034122</v>
      </c>
      <c r="AS182">
        <v>35.81805971</v>
      </c>
      <c r="AT182">
        <v>2.4185828100000002</v>
      </c>
      <c r="AU182">
        <v>0.27640946399999999</v>
      </c>
      <c r="AV182">
        <v>2.87926525</v>
      </c>
      <c r="AW182" t="s">
        <v>11</v>
      </c>
      <c r="AX182" t="s">
        <v>12</v>
      </c>
      <c r="AY182">
        <v>4.3624999999999997E-2</v>
      </c>
      <c r="AZ182">
        <v>0</v>
      </c>
      <c r="BA182">
        <v>0</v>
      </c>
      <c r="BB182">
        <v>0</v>
      </c>
      <c r="BC182">
        <v>0</v>
      </c>
    </row>
    <row r="183" spans="1:125" x14ac:dyDescent="0.35">
      <c r="A183" t="s">
        <v>468</v>
      </c>
      <c r="B183" s="2">
        <f t="shared" si="10"/>
        <v>214.48533041899998</v>
      </c>
      <c r="C183" s="2">
        <f t="shared" si="11"/>
        <v>88</v>
      </c>
      <c r="D183" s="2">
        <f t="shared" si="12"/>
        <v>15.263692855</v>
      </c>
      <c r="E183" s="2">
        <f t="shared" si="13"/>
        <v>8.2732942549999997</v>
      </c>
      <c r="F183" s="2">
        <f t="shared" si="14"/>
        <v>11.279221869000001</v>
      </c>
      <c r="G183" t="s">
        <v>120</v>
      </c>
      <c r="H183" t="s">
        <v>121</v>
      </c>
      <c r="I183">
        <v>4.8970409999999998</v>
      </c>
      <c r="J183">
        <v>0.78352655999999998</v>
      </c>
      <c r="K183">
        <v>9.7940820000000008E-3</v>
      </c>
      <c r="L183">
        <v>0.166499394</v>
      </c>
      <c r="M183">
        <v>3.4279286999999999E-2</v>
      </c>
      <c r="N183" t="s">
        <v>122</v>
      </c>
      <c r="O183" t="s">
        <v>123</v>
      </c>
      <c r="P183">
        <v>39.176327000000001</v>
      </c>
      <c r="Q183">
        <v>38.784563730000002</v>
      </c>
      <c r="R183">
        <v>0.117528981</v>
      </c>
      <c r="S183">
        <v>7.8352653999999994E-2</v>
      </c>
      <c r="T183">
        <v>9.4023184799999999</v>
      </c>
      <c r="U183" t="s">
        <v>124</v>
      </c>
      <c r="V183" t="s">
        <v>125</v>
      </c>
      <c r="W183">
        <v>19.857502</v>
      </c>
      <c r="X183">
        <v>135.03101359999999</v>
      </c>
      <c r="Y183">
        <v>14.893126499999999</v>
      </c>
      <c r="Z183">
        <v>0.11914501199999999</v>
      </c>
      <c r="AA183">
        <v>0.19857501999999999</v>
      </c>
      <c r="AB183" t="s">
        <v>73</v>
      </c>
      <c r="AC183" t="s">
        <v>74</v>
      </c>
      <c r="AD183">
        <v>3.468737</v>
      </c>
      <c r="AE183">
        <v>0.69374740000000001</v>
      </c>
      <c r="AF183">
        <v>6.9374739999999999E-3</v>
      </c>
      <c r="AG183">
        <v>0.114468321</v>
      </c>
      <c r="AH183">
        <v>5.2031055E-2</v>
      </c>
      <c r="AI183" t="s">
        <v>11</v>
      </c>
      <c r="AJ183" t="s">
        <v>12</v>
      </c>
      <c r="AK183">
        <v>2.879E-2</v>
      </c>
      <c r="AL183">
        <v>0</v>
      </c>
      <c r="AM183">
        <v>0</v>
      </c>
      <c r="AN183">
        <v>0</v>
      </c>
      <c r="AO183">
        <v>0</v>
      </c>
      <c r="AP183" t="s">
        <v>126</v>
      </c>
      <c r="AQ183" t="s">
        <v>127</v>
      </c>
      <c r="AR183">
        <v>13.128100999999999</v>
      </c>
      <c r="AS183">
        <v>37.927083789000001</v>
      </c>
      <c r="AT183">
        <v>0.236305818</v>
      </c>
      <c r="AU183">
        <v>7.3779927619999999</v>
      </c>
      <c r="AV183">
        <v>1.562244019</v>
      </c>
      <c r="AW183" t="s">
        <v>81</v>
      </c>
      <c r="AX183" t="s">
        <v>82</v>
      </c>
      <c r="AY183">
        <v>7.4435019999999996</v>
      </c>
      <c r="AZ183">
        <v>1.26539534</v>
      </c>
      <c r="BA183">
        <v>0</v>
      </c>
      <c r="BB183">
        <v>0.41683611199999998</v>
      </c>
      <c r="BC183">
        <v>2.9774008000000001E-2</v>
      </c>
    </row>
    <row r="184" spans="1:125" x14ac:dyDescent="0.35">
      <c r="A184" t="s">
        <v>469</v>
      </c>
      <c r="B184" s="2">
        <f t="shared" si="10"/>
        <v>271.64811443000002</v>
      </c>
      <c r="C184" s="2">
        <f t="shared" si="11"/>
        <v>161.00000599999998</v>
      </c>
      <c r="D184" s="2">
        <f t="shared" si="12"/>
        <v>7.3584139979999996</v>
      </c>
      <c r="E184" s="2">
        <f t="shared" si="13"/>
        <v>0.392612022</v>
      </c>
      <c r="F184" s="2">
        <f t="shared" si="14"/>
        <v>47.795006175000005</v>
      </c>
      <c r="G184" t="s">
        <v>216</v>
      </c>
      <c r="H184" t="s">
        <v>217</v>
      </c>
      <c r="I184">
        <v>1.059E-3</v>
      </c>
      <c r="J184">
        <v>1.17549E-3</v>
      </c>
      <c r="K184" s="1">
        <v>9.5310000000000007E-6</v>
      </c>
      <c r="L184">
        <v>2.4357E-4</v>
      </c>
      <c r="M184" s="1">
        <v>2.7534000000000001E-5</v>
      </c>
      <c r="N184" t="s">
        <v>194</v>
      </c>
      <c r="O184" t="s">
        <v>195</v>
      </c>
      <c r="P184">
        <v>1.059E-3</v>
      </c>
      <c r="Q184">
        <v>1.3767E-3</v>
      </c>
      <c r="R184" s="1">
        <v>3.1769999999999998E-6</v>
      </c>
      <c r="S184">
        <v>2.9651999999999999E-4</v>
      </c>
      <c r="T184" s="1">
        <v>2.8592999999999999E-5</v>
      </c>
      <c r="U184" t="s">
        <v>41</v>
      </c>
      <c r="V184" t="s">
        <v>42</v>
      </c>
      <c r="W184">
        <v>3.8437130000000002</v>
      </c>
      <c r="X184">
        <v>1.34529955</v>
      </c>
      <c r="Y184">
        <v>1.5374852E-2</v>
      </c>
      <c r="Z184">
        <v>0.26905991000000001</v>
      </c>
      <c r="AA184">
        <v>9.2249111999999994E-2</v>
      </c>
      <c r="AB184" t="s">
        <v>102</v>
      </c>
      <c r="AC184" t="s">
        <v>103</v>
      </c>
      <c r="AD184">
        <v>153.74850499999999</v>
      </c>
      <c r="AE184">
        <v>253.68503325</v>
      </c>
      <c r="AF184">
        <v>5.5349461800000004</v>
      </c>
      <c r="AG184">
        <v>0</v>
      </c>
      <c r="AH184">
        <v>47.662036550000003</v>
      </c>
      <c r="AI184" t="s">
        <v>106</v>
      </c>
      <c r="AJ184" t="s">
        <v>107</v>
      </c>
      <c r="AK184">
        <v>0.240232</v>
      </c>
      <c r="AL184">
        <v>5.5253360000000001E-2</v>
      </c>
      <c r="AM184">
        <v>9.60928E-4</v>
      </c>
      <c r="AN184">
        <v>8.6483519999999998E-3</v>
      </c>
      <c r="AO184">
        <v>6.9667280000000002E-3</v>
      </c>
      <c r="AP184" t="s">
        <v>11</v>
      </c>
      <c r="AQ184" t="s">
        <v>12</v>
      </c>
      <c r="AR184">
        <v>3.5590999999999998E-2</v>
      </c>
      <c r="AS184">
        <v>0</v>
      </c>
      <c r="AT184">
        <v>0</v>
      </c>
      <c r="AU184">
        <v>0</v>
      </c>
      <c r="AV184">
        <v>0</v>
      </c>
      <c r="AW184" t="s">
        <v>470</v>
      </c>
      <c r="AX184" t="s">
        <v>471</v>
      </c>
      <c r="AY184">
        <v>0.240232</v>
      </c>
      <c r="AZ184">
        <v>0.21380647999999999</v>
      </c>
      <c r="BA184">
        <v>0</v>
      </c>
      <c r="BB184">
        <v>3.8437119999999998E-2</v>
      </c>
      <c r="BC184">
        <v>1.4173688E-2</v>
      </c>
      <c r="BD184" t="s">
        <v>472</v>
      </c>
      <c r="BE184" t="s">
        <v>473</v>
      </c>
      <c r="BF184">
        <v>1.084665</v>
      </c>
      <c r="BG184">
        <v>0.34709279999999998</v>
      </c>
      <c r="BH184">
        <v>2.1693300000000001E-3</v>
      </c>
      <c r="BI184">
        <v>7.5926549999999995E-2</v>
      </c>
      <c r="BJ184">
        <v>1.9523970000000002E-2</v>
      </c>
      <c r="BK184" t="s">
        <v>170</v>
      </c>
      <c r="BM184">
        <v>1.8049500000000001</v>
      </c>
      <c r="BN184">
        <v>15.999076799999999</v>
      </c>
      <c r="BO184">
        <v>1.8049500000000001</v>
      </c>
      <c r="BP184">
        <v>0</v>
      </c>
      <c r="BQ184">
        <v>0</v>
      </c>
    </row>
    <row r="185" spans="1:125" x14ac:dyDescent="0.35">
      <c r="A185" t="s">
        <v>474</v>
      </c>
      <c r="B185" s="2">
        <f t="shared" si="10"/>
        <v>409.03</v>
      </c>
      <c r="C185" s="2">
        <f t="shared" si="11"/>
        <v>220</v>
      </c>
      <c r="D185" s="2">
        <f t="shared" si="12"/>
        <v>28.511000000000003</v>
      </c>
      <c r="E185" s="2">
        <f t="shared" si="13"/>
        <v>16.498000000000001</v>
      </c>
      <c r="F185" s="2">
        <f t="shared" si="14"/>
        <v>20.497</v>
      </c>
      <c r="G185" t="s">
        <v>24</v>
      </c>
      <c r="H185" t="s">
        <v>25</v>
      </c>
      <c r="I185">
        <v>103</v>
      </c>
      <c r="J185">
        <v>152.44</v>
      </c>
      <c r="K185">
        <v>11.33</v>
      </c>
      <c r="L185">
        <v>1.6479999999999999</v>
      </c>
      <c r="M185">
        <v>10.3</v>
      </c>
      <c r="N185" t="s">
        <v>43</v>
      </c>
      <c r="O185" t="s">
        <v>44</v>
      </c>
      <c r="P185">
        <v>45</v>
      </c>
      <c r="Q185">
        <v>155.07</v>
      </c>
      <c r="R185">
        <v>12.285</v>
      </c>
      <c r="S185">
        <v>1.89</v>
      </c>
      <c r="T185">
        <v>8.6850000000000005</v>
      </c>
      <c r="U185" t="s">
        <v>21</v>
      </c>
      <c r="V185" t="s">
        <v>22</v>
      </c>
      <c r="W185">
        <v>72</v>
      </c>
      <c r="X185">
        <v>101.52</v>
      </c>
      <c r="Y185">
        <v>4.8959999999999999</v>
      </c>
      <c r="Z185">
        <v>12.96</v>
      </c>
      <c r="AA185">
        <v>1.512</v>
      </c>
    </row>
    <row r="186" spans="1:125" x14ac:dyDescent="0.35">
      <c r="A186" t="s">
        <v>475</v>
      </c>
      <c r="B186" s="2">
        <f t="shared" si="10"/>
        <v>288.08</v>
      </c>
      <c r="C186" s="2">
        <f t="shared" si="11"/>
        <v>277</v>
      </c>
      <c r="D186" s="2">
        <f t="shared" si="12"/>
        <v>12.742000000000001</v>
      </c>
      <c r="E186" s="2">
        <f t="shared" si="13"/>
        <v>8.8640000000000008</v>
      </c>
      <c r="F186" s="2">
        <f t="shared" si="14"/>
        <v>33.24</v>
      </c>
      <c r="G186" t="s">
        <v>307</v>
      </c>
      <c r="H186" t="s">
        <v>308</v>
      </c>
      <c r="I186">
        <v>277</v>
      </c>
      <c r="J186">
        <v>288.08</v>
      </c>
      <c r="K186">
        <v>12.742000000000001</v>
      </c>
      <c r="L186">
        <v>8.8640000000000008</v>
      </c>
      <c r="M186">
        <v>33.24</v>
      </c>
    </row>
    <row r="187" spans="1:125" x14ac:dyDescent="0.35">
      <c r="A187" t="s">
        <v>476</v>
      </c>
      <c r="B187" s="2">
        <f t="shared" si="10"/>
        <v>199.94</v>
      </c>
      <c r="C187" s="2">
        <f t="shared" si="11"/>
        <v>156</v>
      </c>
      <c r="D187" s="2">
        <f t="shared" si="12"/>
        <v>14.352</v>
      </c>
      <c r="E187" s="2">
        <f t="shared" si="13"/>
        <v>3.7960000000000003</v>
      </c>
      <c r="F187" s="2">
        <f t="shared" si="14"/>
        <v>13.39</v>
      </c>
      <c r="G187" t="s">
        <v>24</v>
      </c>
      <c r="H187" t="s">
        <v>25</v>
      </c>
      <c r="I187">
        <v>130</v>
      </c>
      <c r="J187">
        <v>192.4</v>
      </c>
      <c r="K187">
        <v>14.3</v>
      </c>
      <c r="L187">
        <v>2.08</v>
      </c>
      <c r="M187">
        <v>13</v>
      </c>
      <c r="N187" t="s">
        <v>31</v>
      </c>
      <c r="O187" t="s">
        <v>32</v>
      </c>
      <c r="P187">
        <v>26</v>
      </c>
      <c r="Q187">
        <v>7.54</v>
      </c>
      <c r="R187">
        <v>5.1999999999999998E-2</v>
      </c>
      <c r="S187">
        <v>1.716</v>
      </c>
      <c r="T187">
        <v>0.39</v>
      </c>
    </row>
    <row r="188" spans="1:125" x14ac:dyDescent="0.35">
      <c r="A188" t="s">
        <v>477</v>
      </c>
      <c r="B188" s="2">
        <f t="shared" si="10"/>
        <v>702.71600000000001</v>
      </c>
      <c r="C188" s="2">
        <f t="shared" si="11"/>
        <v>357</v>
      </c>
      <c r="D188" s="2">
        <f t="shared" si="12"/>
        <v>51.373000000000005</v>
      </c>
      <c r="E188" s="2">
        <f t="shared" si="13"/>
        <v>18.738</v>
      </c>
      <c r="F188" s="2">
        <f t="shared" si="14"/>
        <v>39.027999999999999</v>
      </c>
      <c r="G188" t="s">
        <v>24</v>
      </c>
      <c r="H188" t="s">
        <v>25</v>
      </c>
      <c r="I188">
        <v>201</v>
      </c>
      <c r="J188">
        <v>297.48</v>
      </c>
      <c r="K188">
        <v>22.11</v>
      </c>
      <c r="L188">
        <v>3.2160000000000002</v>
      </c>
      <c r="M188">
        <v>20.100000000000001</v>
      </c>
      <c r="N188" t="s">
        <v>43</v>
      </c>
      <c r="O188" t="s">
        <v>44</v>
      </c>
      <c r="P188">
        <v>91</v>
      </c>
      <c r="Q188">
        <v>313.58600000000001</v>
      </c>
      <c r="R188">
        <v>24.843</v>
      </c>
      <c r="S188">
        <v>3.8220000000000001</v>
      </c>
      <c r="T188">
        <v>17.562999999999999</v>
      </c>
      <c r="U188" t="s">
        <v>21</v>
      </c>
      <c r="V188" t="s">
        <v>22</v>
      </c>
      <c r="W188">
        <v>65</v>
      </c>
      <c r="X188">
        <v>91.65</v>
      </c>
      <c r="Y188">
        <v>4.42</v>
      </c>
      <c r="Z188">
        <v>11.7</v>
      </c>
      <c r="AA188">
        <v>1.365</v>
      </c>
    </row>
    <row r="189" spans="1:125" x14ac:dyDescent="0.35">
      <c r="A189" t="s">
        <v>478</v>
      </c>
      <c r="B189" s="2">
        <f t="shared" si="10"/>
        <v>48.419555695</v>
      </c>
      <c r="C189" s="2">
        <f t="shared" si="11"/>
        <v>123.00000000000001</v>
      </c>
      <c r="D189" s="2">
        <f t="shared" si="12"/>
        <v>2.599867937</v>
      </c>
      <c r="E189" s="2">
        <f t="shared" si="13"/>
        <v>5.1729017859999997</v>
      </c>
      <c r="F189" s="2">
        <f t="shared" si="14"/>
        <v>1.110608561</v>
      </c>
      <c r="G189" t="s">
        <v>198</v>
      </c>
      <c r="H189" t="s">
        <v>199</v>
      </c>
      <c r="I189">
        <v>119.259979</v>
      </c>
      <c r="J189">
        <v>24.448295694999999</v>
      </c>
      <c r="K189">
        <v>0.35777993699999999</v>
      </c>
      <c r="L189">
        <v>4.054839286</v>
      </c>
      <c r="M189">
        <v>1.0733398110000001</v>
      </c>
      <c r="N189" t="s">
        <v>7</v>
      </c>
      <c r="O189" t="s">
        <v>8</v>
      </c>
      <c r="P189">
        <v>2.2361249999999999</v>
      </c>
      <c r="Q189">
        <v>19.767344999999999</v>
      </c>
      <c r="R189">
        <v>2.2361249999999999</v>
      </c>
      <c r="S189">
        <v>0</v>
      </c>
      <c r="T189">
        <v>0</v>
      </c>
      <c r="U189" t="s">
        <v>11</v>
      </c>
      <c r="V189" t="s">
        <v>12</v>
      </c>
      <c r="W189">
        <v>1.3146E-2</v>
      </c>
      <c r="X189">
        <v>0</v>
      </c>
      <c r="Y189">
        <v>0</v>
      </c>
      <c r="Z189">
        <v>0</v>
      </c>
      <c r="AA189">
        <v>0</v>
      </c>
      <c r="AB189" t="s">
        <v>403</v>
      </c>
      <c r="AC189" t="s">
        <v>404</v>
      </c>
      <c r="AD189">
        <v>1.49075</v>
      </c>
      <c r="AE189">
        <v>4.2039150000000003</v>
      </c>
      <c r="AF189">
        <v>5.9630000000000004E-3</v>
      </c>
      <c r="AG189">
        <v>1.1180625</v>
      </c>
      <c r="AH189">
        <v>3.7268750000000003E-2</v>
      </c>
    </row>
    <row r="190" spans="1:125" x14ac:dyDescent="0.35">
      <c r="A190" t="s">
        <v>479</v>
      </c>
      <c r="B190" s="2">
        <f t="shared" si="10"/>
        <v>308.16724173200004</v>
      </c>
      <c r="C190" s="2">
        <f t="shared" si="11"/>
        <v>261.99999899999995</v>
      </c>
      <c r="D190" s="2">
        <f t="shared" si="12"/>
        <v>16.126341392</v>
      </c>
      <c r="E190" s="2">
        <f t="shared" si="13"/>
        <v>20.261215880000002</v>
      </c>
      <c r="F190" s="2">
        <f t="shared" si="14"/>
        <v>22.915713435000004</v>
      </c>
      <c r="G190" t="s">
        <v>1</v>
      </c>
      <c r="H190" t="s">
        <v>2</v>
      </c>
      <c r="I190">
        <v>28.674275999999999</v>
      </c>
      <c r="J190">
        <v>9.7492538399999997</v>
      </c>
      <c r="K190">
        <v>0.20071993199999999</v>
      </c>
      <c r="L190">
        <v>1.9498507679999999</v>
      </c>
      <c r="M190">
        <v>0.20071993199999999</v>
      </c>
      <c r="N190" t="s">
        <v>172</v>
      </c>
      <c r="O190" t="s">
        <v>173</v>
      </c>
      <c r="P190">
        <v>1.7749630000000001</v>
      </c>
      <c r="Q190">
        <v>7.1353512600000002</v>
      </c>
      <c r="R190">
        <v>0.58573779000000004</v>
      </c>
      <c r="S190">
        <v>2.3074519000000002E-2</v>
      </c>
      <c r="T190">
        <v>0.44374075000000002</v>
      </c>
      <c r="U190" t="s">
        <v>89</v>
      </c>
      <c r="V190" t="s">
        <v>90</v>
      </c>
      <c r="W190">
        <v>10.427009999999999</v>
      </c>
      <c r="X190">
        <v>4.1708040000000004</v>
      </c>
      <c r="Y190">
        <v>1.042701E-2</v>
      </c>
      <c r="Z190">
        <v>0.93843089999999996</v>
      </c>
      <c r="AA190">
        <v>0.11469711</v>
      </c>
      <c r="AB190" t="s">
        <v>71</v>
      </c>
      <c r="AC190" t="s">
        <v>72</v>
      </c>
      <c r="AD190">
        <v>2.1714250000000002</v>
      </c>
      <c r="AE190">
        <v>3.2354232500000002</v>
      </c>
      <c r="AF190">
        <v>1.0857125E-2</v>
      </c>
      <c r="AG190">
        <v>0.71657024999999996</v>
      </c>
      <c r="AH190">
        <v>0.13897119999999999</v>
      </c>
      <c r="AI190" t="s">
        <v>160</v>
      </c>
      <c r="AJ190" t="s">
        <v>161</v>
      </c>
      <c r="AK190">
        <v>78.202567999999999</v>
      </c>
      <c r="AL190">
        <v>138.57495049600001</v>
      </c>
      <c r="AM190">
        <v>6.4908131439999996</v>
      </c>
      <c r="AN190">
        <v>0</v>
      </c>
      <c r="AO190">
        <v>18.690413752000001</v>
      </c>
      <c r="AP190" t="s">
        <v>7</v>
      </c>
      <c r="AQ190" t="s">
        <v>8</v>
      </c>
      <c r="AR190">
        <v>0.88748099999999996</v>
      </c>
      <c r="AS190">
        <v>7.8453320399999997</v>
      </c>
      <c r="AT190">
        <v>0.88748099999999996</v>
      </c>
      <c r="AU190">
        <v>0</v>
      </c>
      <c r="AV190">
        <v>0</v>
      </c>
      <c r="AW190" t="s">
        <v>151</v>
      </c>
      <c r="AX190" t="s">
        <v>152</v>
      </c>
      <c r="AY190">
        <v>5.2135000000000001E-2</v>
      </c>
      <c r="AZ190">
        <v>2.0854000000000001E-2</v>
      </c>
      <c r="BA190">
        <v>2.0854000000000001E-4</v>
      </c>
      <c r="BB190">
        <v>4.6400149999999999E-3</v>
      </c>
      <c r="BC190">
        <v>9.3842999999999997E-4</v>
      </c>
      <c r="BD190" t="s">
        <v>480</v>
      </c>
      <c r="BE190" t="s">
        <v>481</v>
      </c>
      <c r="BF190">
        <v>70.998504999999994</v>
      </c>
      <c r="BG190">
        <v>75.329413805000002</v>
      </c>
      <c r="BH190">
        <v>1.70396412</v>
      </c>
      <c r="BI190">
        <v>15.6196711</v>
      </c>
      <c r="BJ190">
        <v>2.2009536550000002</v>
      </c>
      <c r="BK190" t="s">
        <v>11</v>
      </c>
      <c r="BL190" t="s">
        <v>12</v>
      </c>
      <c r="BM190">
        <v>9.9777000000000005E-2</v>
      </c>
      <c r="BN190">
        <v>0</v>
      </c>
      <c r="BO190">
        <v>0</v>
      </c>
      <c r="BP190">
        <v>0</v>
      </c>
      <c r="BQ190">
        <v>0</v>
      </c>
      <c r="BR190" t="s">
        <v>162</v>
      </c>
      <c r="BS190" t="s">
        <v>163</v>
      </c>
      <c r="BT190">
        <v>42.307589999999998</v>
      </c>
      <c r="BU190">
        <v>0</v>
      </c>
      <c r="BV190">
        <v>0</v>
      </c>
      <c r="BW190">
        <v>0</v>
      </c>
      <c r="BX190">
        <v>0</v>
      </c>
      <c r="BY190" t="s">
        <v>164</v>
      </c>
      <c r="BZ190" t="s">
        <v>165</v>
      </c>
      <c r="CA190">
        <v>15.875121</v>
      </c>
      <c r="CB190">
        <v>53.388031923</v>
      </c>
      <c r="CC190">
        <v>5.8102942860000004</v>
      </c>
      <c r="CD190">
        <v>0.42862826700000001</v>
      </c>
      <c r="CE190">
        <v>0.444503388</v>
      </c>
      <c r="CF190" t="s">
        <v>260</v>
      </c>
      <c r="CG190" t="s">
        <v>261</v>
      </c>
      <c r="CH190">
        <v>1.3312219999999999</v>
      </c>
      <c r="CI190">
        <v>2.6358195599999998</v>
      </c>
      <c r="CJ190">
        <v>0.25293218000000001</v>
      </c>
      <c r="CK190">
        <v>6.1236211999999998E-2</v>
      </c>
      <c r="CL190">
        <v>3.1949327999999999E-2</v>
      </c>
      <c r="CM190" t="s">
        <v>81</v>
      </c>
      <c r="CN190" t="s">
        <v>82</v>
      </c>
      <c r="CO190">
        <v>0.16292200000000001</v>
      </c>
      <c r="CP190">
        <v>2.7696740000000001E-2</v>
      </c>
      <c r="CQ190">
        <v>0</v>
      </c>
      <c r="CR190">
        <v>9.1236319999999996E-3</v>
      </c>
      <c r="CS190">
        <v>6.5168799999999999E-4</v>
      </c>
      <c r="CT190" t="s">
        <v>166</v>
      </c>
      <c r="CU190" t="s">
        <v>167</v>
      </c>
      <c r="CV190">
        <v>1.736097</v>
      </c>
      <c r="CW190">
        <v>0.39583011600000001</v>
      </c>
      <c r="CX190">
        <v>8.6804849999999999E-3</v>
      </c>
      <c r="CY190">
        <v>6.4235588999999996E-2</v>
      </c>
      <c r="CZ190">
        <v>3.8194133999999998E-2</v>
      </c>
      <c r="DA190" t="s">
        <v>168</v>
      </c>
      <c r="DB190" t="s">
        <v>169</v>
      </c>
      <c r="DC190">
        <v>1.3033760000000001</v>
      </c>
      <c r="DD190">
        <v>1.0427008</v>
      </c>
      <c r="DE190">
        <v>1.0427008E-2</v>
      </c>
      <c r="DF190">
        <v>0.23460768000000001</v>
      </c>
      <c r="DG190">
        <v>2.3460768E-2</v>
      </c>
      <c r="DH190" t="s">
        <v>95</v>
      </c>
      <c r="DI190" t="s">
        <v>96</v>
      </c>
      <c r="DJ190">
        <v>5.8651929999999997</v>
      </c>
      <c r="DK190">
        <v>3.4604638699999999</v>
      </c>
      <c r="DL190">
        <v>2.3460772000000001E-2</v>
      </c>
      <c r="DM190">
        <v>0.211146948</v>
      </c>
      <c r="DN190">
        <v>0.58651929999999997</v>
      </c>
      <c r="DO190" t="s">
        <v>170</v>
      </c>
      <c r="DQ190">
        <v>0.13033800000000001</v>
      </c>
      <c r="DR190">
        <v>1.155316032</v>
      </c>
      <c r="DS190">
        <v>0.13033800000000001</v>
      </c>
      <c r="DT190">
        <v>0</v>
      </c>
      <c r="DU190">
        <v>0</v>
      </c>
    </row>
    <row r="191" spans="1:125" x14ac:dyDescent="0.35">
      <c r="A191" t="s">
        <v>482</v>
      </c>
      <c r="B191" s="2">
        <f t="shared" si="10"/>
        <v>344.21501008599995</v>
      </c>
      <c r="C191" s="2">
        <f t="shared" si="11"/>
        <v>195.00000299999999</v>
      </c>
      <c r="D191" s="2">
        <f t="shared" si="12"/>
        <v>19.658384803999997</v>
      </c>
      <c r="E191" s="2">
        <f t="shared" si="13"/>
        <v>8.7843958400000002</v>
      </c>
      <c r="F191" s="2">
        <f t="shared" si="14"/>
        <v>31.800415937999997</v>
      </c>
      <c r="G191" t="s">
        <v>120</v>
      </c>
      <c r="H191" t="s">
        <v>121</v>
      </c>
      <c r="I191">
        <v>2.2442669999999998</v>
      </c>
      <c r="J191">
        <v>0.35908272000000002</v>
      </c>
      <c r="K191">
        <v>4.4885339999999998E-3</v>
      </c>
      <c r="L191">
        <v>7.6305077999999998E-2</v>
      </c>
      <c r="M191">
        <v>1.5709869000000001E-2</v>
      </c>
      <c r="N191" t="s">
        <v>135</v>
      </c>
      <c r="O191" t="s">
        <v>136</v>
      </c>
      <c r="P191">
        <v>2.2442669999999998</v>
      </c>
      <c r="Q191">
        <v>0.92014947000000002</v>
      </c>
      <c r="R191">
        <v>4.4885339999999998E-3</v>
      </c>
      <c r="S191">
        <v>0.22442670000000001</v>
      </c>
      <c r="T191">
        <v>2.0198403E-2</v>
      </c>
      <c r="U191" t="s">
        <v>483</v>
      </c>
      <c r="V191" t="s">
        <v>484</v>
      </c>
      <c r="W191">
        <v>6.5638040000000002</v>
      </c>
      <c r="X191">
        <v>3.0849878799999999</v>
      </c>
      <c r="Y191">
        <v>6.5638040000000003E-3</v>
      </c>
      <c r="Z191">
        <v>0.78765647999999999</v>
      </c>
      <c r="AA191">
        <v>5.9074236000000002E-2</v>
      </c>
      <c r="AB191" t="s">
        <v>218</v>
      </c>
      <c r="AC191" t="s">
        <v>219</v>
      </c>
      <c r="AD191">
        <v>0.205119</v>
      </c>
      <c r="AE191">
        <v>3.2819040000000001E-2</v>
      </c>
      <c r="AF191">
        <v>2.05119E-4</v>
      </c>
      <c r="AG191">
        <v>6.9740460000000002E-3</v>
      </c>
      <c r="AH191">
        <v>1.4358330000000001E-3</v>
      </c>
      <c r="AI191" t="s">
        <v>89</v>
      </c>
      <c r="AJ191" t="s">
        <v>90</v>
      </c>
      <c r="AK191">
        <v>2.2442669999999998</v>
      </c>
      <c r="AL191">
        <v>0.89770680000000003</v>
      </c>
      <c r="AM191">
        <v>2.2442669999999999E-3</v>
      </c>
      <c r="AN191">
        <v>0.20198403000000001</v>
      </c>
      <c r="AO191">
        <v>2.4686936999999999E-2</v>
      </c>
      <c r="AP191" t="s">
        <v>139</v>
      </c>
      <c r="AQ191" t="s">
        <v>140</v>
      </c>
      <c r="AR191">
        <v>17.954138</v>
      </c>
      <c r="AS191">
        <v>8.2948117559999996</v>
      </c>
      <c r="AT191">
        <v>1.7954138000000001E-2</v>
      </c>
      <c r="AU191">
        <v>2.0288175939999999</v>
      </c>
      <c r="AV191">
        <v>1.7954138000000001E-2</v>
      </c>
      <c r="AW191" t="s">
        <v>7</v>
      </c>
      <c r="AX191" t="s">
        <v>8</v>
      </c>
      <c r="AY191">
        <v>1.540443</v>
      </c>
      <c r="AZ191">
        <v>13.617516119999999</v>
      </c>
      <c r="BA191">
        <v>1.540443</v>
      </c>
      <c r="BB191">
        <v>0</v>
      </c>
      <c r="BC191">
        <v>0</v>
      </c>
      <c r="BD191" t="s">
        <v>141</v>
      </c>
      <c r="BE191" t="s">
        <v>142</v>
      </c>
      <c r="BF191">
        <v>1.1375630000000001</v>
      </c>
      <c r="BG191">
        <v>0</v>
      </c>
      <c r="BH191">
        <v>0</v>
      </c>
      <c r="BI191">
        <v>0</v>
      </c>
      <c r="BJ191">
        <v>0</v>
      </c>
      <c r="BK191" t="s">
        <v>143</v>
      </c>
      <c r="BL191" t="s">
        <v>144</v>
      </c>
      <c r="BM191">
        <v>6.8730690000000001</v>
      </c>
      <c r="BN191">
        <v>18.144902160000001</v>
      </c>
      <c r="BO191">
        <v>1.010341143</v>
      </c>
      <c r="BP191">
        <v>1.271517765</v>
      </c>
      <c r="BQ191">
        <v>1.1340563850000001</v>
      </c>
      <c r="BR191" t="s">
        <v>11</v>
      </c>
      <c r="BS191" t="s">
        <v>12</v>
      </c>
      <c r="BT191">
        <v>0.11800099999999999</v>
      </c>
      <c r="BU191">
        <v>0</v>
      </c>
      <c r="BV191">
        <v>0</v>
      </c>
      <c r="BW191">
        <v>0</v>
      </c>
      <c r="BX191">
        <v>0</v>
      </c>
      <c r="BY191" t="s">
        <v>323</v>
      </c>
      <c r="BZ191" t="s">
        <v>324</v>
      </c>
      <c r="CA191">
        <v>1.640951</v>
      </c>
      <c r="CB191">
        <v>4.3321106399999998</v>
      </c>
      <c r="CC191">
        <v>0.34459971</v>
      </c>
      <c r="CD191">
        <v>0</v>
      </c>
      <c r="CE191">
        <v>0.31178069000000003</v>
      </c>
      <c r="CF191" t="s">
        <v>145</v>
      </c>
      <c r="CG191" t="s">
        <v>146</v>
      </c>
      <c r="CH191">
        <v>112.213371</v>
      </c>
      <c r="CI191">
        <v>267.06782298000002</v>
      </c>
      <c r="CJ191">
        <v>15.709871939999999</v>
      </c>
      <c r="CK191">
        <v>0</v>
      </c>
      <c r="CL191">
        <v>29.175476459999999</v>
      </c>
      <c r="CM191" t="s">
        <v>485</v>
      </c>
      <c r="CN191" t="s">
        <v>486</v>
      </c>
      <c r="CO191">
        <v>32.819018999999997</v>
      </c>
      <c r="CP191">
        <v>14.440368360000001</v>
      </c>
      <c r="CQ191">
        <v>6.5638037999999996E-2</v>
      </c>
      <c r="CR191">
        <v>3.2819018999999998</v>
      </c>
      <c r="CS191">
        <v>0.55792332300000003</v>
      </c>
      <c r="CT191" t="s">
        <v>229</v>
      </c>
      <c r="CU191" t="s">
        <v>230</v>
      </c>
      <c r="CV191">
        <v>2.0511889999999999</v>
      </c>
      <c r="CW191">
        <v>11.67126541</v>
      </c>
      <c r="CX191">
        <v>0.94354693999999995</v>
      </c>
      <c r="CY191">
        <v>0.57433292000000002</v>
      </c>
      <c r="CZ191">
        <v>0.43074969000000002</v>
      </c>
      <c r="DA191" t="s">
        <v>222</v>
      </c>
      <c r="DB191" t="s">
        <v>223</v>
      </c>
      <c r="DC191">
        <v>0.205119</v>
      </c>
      <c r="DD191">
        <v>5.1279749999999999E-2</v>
      </c>
      <c r="DE191">
        <v>1.4358330000000001E-3</v>
      </c>
      <c r="DF191">
        <v>7.5894029999999998E-3</v>
      </c>
      <c r="DG191">
        <v>5.333094E-3</v>
      </c>
      <c r="DH191" t="s">
        <v>81</v>
      </c>
      <c r="DI191" t="s">
        <v>82</v>
      </c>
      <c r="DJ191">
        <v>1.6635139999999999</v>
      </c>
      <c r="DK191">
        <v>0.28279737999999999</v>
      </c>
      <c r="DL191">
        <v>0</v>
      </c>
      <c r="DM191">
        <v>9.3156784000000006E-2</v>
      </c>
      <c r="DN191">
        <v>6.6540560000000002E-3</v>
      </c>
      <c r="DO191" t="s">
        <v>487</v>
      </c>
      <c r="DQ191">
        <v>3.2819020000000001</v>
      </c>
      <c r="DR191">
        <v>1.0173896200000001</v>
      </c>
      <c r="DS191">
        <v>6.5638040000000003E-3</v>
      </c>
      <c r="DT191">
        <v>0.22973314</v>
      </c>
      <c r="DU191">
        <v>3.9382823999999997E-2</v>
      </c>
    </row>
    <row r="192" spans="1:125" x14ac:dyDescent="0.35">
      <c r="A192" t="s">
        <v>488</v>
      </c>
      <c r="B192" s="2">
        <f t="shared" si="10"/>
        <v>15.18</v>
      </c>
      <c r="C192" s="2">
        <f t="shared" si="11"/>
        <v>46</v>
      </c>
      <c r="D192" s="2">
        <f t="shared" si="12"/>
        <v>0.13800000000000001</v>
      </c>
      <c r="E192" s="2">
        <f t="shared" si="13"/>
        <v>3.68</v>
      </c>
      <c r="F192" s="2">
        <f t="shared" si="14"/>
        <v>0.32200000000000001</v>
      </c>
      <c r="G192" t="s">
        <v>46</v>
      </c>
      <c r="H192" t="s">
        <v>47</v>
      </c>
      <c r="I192">
        <v>46</v>
      </c>
      <c r="J192">
        <v>15.18</v>
      </c>
      <c r="K192">
        <v>0.13800000000000001</v>
      </c>
      <c r="L192">
        <v>3.68</v>
      </c>
      <c r="M192">
        <v>0.32200000000000001</v>
      </c>
    </row>
    <row r="193" spans="1:125" x14ac:dyDescent="0.35">
      <c r="A193" t="s">
        <v>489</v>
      </c>
      <c r="B193" s="2">
        <f t="shared" si="10"/>
        <v>217.39068273500001</v>
      </c>
      <c r="C193" s="2">
        <f t="shared" si="11"/>
        <v>151.99999800000001</v>
      </c>
      <c r="D193" s="2">
        <f t="shared" si="12"/>
        <v>10.384574277999999</v>
      </c>
      <c r="E193" s="2">
        <f t="shared" si="13"/>
        <v>9.1459539040000006</v>
      </c>
      <c r="F193" s="2">
        <f t="shared" si="14"/>
        <v>21.179482166999996</v>
      </c>
      <c r="G193" t="s">
        <v>194</v>
      </c>
      <c r="H193" t="s">
        <v>195</v>
      </c>
      <c r="I193">
        <v>9.1954019999999996</v>
      </c>
      <c r="J193">
        <v>11.9540226</v>
      </c>
      <c r="K193">
        <v>2.7586205999999999E-2</v>
      </c>
      <c r="L193">
        <v>2.57471256</v>
      </c>
      <c r="M193">
        <v>0.24827585399999999</v>
      </c>
      <c r="N193" t="s">
        <v>89</v>
      </c>
      <c r="O193" t="s">
        <v>90</v>
      </c>
      <c r="P193">
        <v>3.218391</v>
      </c>
      <c r="Q193">
        <v>1.2873564</v>
      </c>
      <c r="R193">
        <v>3.2183910000000001E-3</v>
      </c>
      <c r="S193">
        <v>0.28965519000000001</v>
      </c>
      <c r="T193">
        <v>3.5402300999999997E-2</v>
      </c>
      <c r="U193" t="s">
        <v>71</v>
      </c>
      <c r="V193" t="s">
        <v>72</v>
      </c>
      <c r="W193">
        <v>0.45977000000000001</v>
      </c>
      <c r="X193">
        <v>0.68505729999999998</v>
      </c>
      <c r="Y193">
        <v>2.2988499999999999E-3</v>
      </c>
      <c r="Z193">
        <v>0.1517241</v>
      </c>
      <c r="AA193">
        <v>2.9425280000000002E-2</v>
      </c>
      <c r="AB193" t="s">
        <v>7</v>
      </c>
      <c r="AC193" t="s">
        <v>8</v>
      </c>
      <c r="AD193">
        <v>0.45977000000000001</v>
      </c>
      <c r="AE193">
        <v>4.0643668000000002</v>
      </c>
      <c r="AF193">
        <v>0.45977000000000001</v>
      </c>
      <c r="AG193">
        <v>0</v>
      </c>
      <c r="AH193">
        <v>0</v>
      </c>
      <c r="AI193" t="s">
        <v>11</v>
      </c>
      <c r="AJ193" t="s">
        <v>12</v>
      </c>
      <c r="AK193">
        <v>0.114943</v>
      </c>
      <c r="AL193">
        <v>0</v>
      </c>
      <c r="AM193">
        <v>0</v>
      </c>
      <c r="AN193">
        <v>0</v>
      </c>
      <c r="AO193">
        <v>0</v>
      </c>
      <c r="AP193" t="s">
        <v>425</v>
      </c>
      <c r="AQ193" t="s">
        <v>426</v>
      </c>
      <c r="AR193">
        <v>25</v>
      </c>
      <c r="AS193">
        <v>28.5</v>
      </c>
      <c r="AT193">
        <v>0.1</v>
      </c>
      <c r="AU193">
        <v>5</v>
      </c>
      <c r="AV193">
        <v>2.25</v>
      </c>
      <c r="AW193" t="s">
        <v>145</v>
      </c>
      <c r="AX193" t="s">
        <v>146</v>
      </c>
      <c r="AY193">
        <v>68.965514999999996</v>
      </c>
      <c r="AZ193">
        <v>164.13792570000001</v>
      </c>
      <c r="BA193">
        <v>9.6551720999999997</v>
      </c>
      <c r="BB193">
        <v>0</v>
      </c>
      <c r="BC193">
        <v>17.931033899999999</v>
      </c>
      <c r="BD193" t="s">
        <v>245</v>
      </c>
      <c r="BE193" t="s">
        <v>246</v>
      </c>
      <c r="BF193">
        <v>4.5977009999999998</v>
      </c>
      <c r="BG193">
        <v>0.68965514999999999</v>
      </c>
      <c r="BH193">
        <v>1.8390804E-2</v>
      </c>
      <c r="BI193">
        <v>0.124137927</v>
      </c>
      <c r="BJ193">
        <v>5.0574711000000001E-2</v>
      </c>
      <c r="BK193" t="s">
        <v>222</v>
      </c>
      <c r="BL193" t="s">
        <v>223</v>
      </c>
      <c r="BM193">
        <v>2.298851</v>
      </c>
      <c r="BN193">
        <v>0.57471274999999999</v>
      </c>
      <c r="BO193">
        <v>1.6091957E-2</v>
      </c>
      <c r="BP193">
        <v>8.5057487000000001E-2</v>
      </c>
      <c r="BQ193">
        <v>5.9770126E-2</v>
      </c>
      <c r="BR193" t="s">
        <v>279</v>
      </c>
      <c r="BS193" t="s">
        <v>280</v>
      </c>
      <c r="BT193">
        <v>0.45977000000000001</v>
      </c>
      <c r="BU193">
        <v>0.60229869999999996</v>
      </c>
      <c r="BV193">
        <v>2.620689E-2</v>
      </c>
      <c r="BW193">
        <v>9.1953999999999994E-2</v>
      </c>
      <c r="BX193">
        <v>1.3333329999999999E-2</v>
      </c>
      <c r="BY193" t="s">
        <v>83</v>
      </c>
      <c r="BZ193" t="s">
        <v>84</v>
      </c>
      <c r="CA193">
        <v>0.22988500000000001</v>
      </c>
      <c r="CB193">
        <v>8.5287335000000006E-2</v>
      </c>
      <c r="CC193">
        <v>1.8390800000000001E-3</v>
      </c>
      <c r="CD193">
        <v>1.4712640000000001E-2</v>
      </c>
      <c r="CE193">
        <v>6.6666649999999996E-3</v>
      </c>
      <c r="CF193" t="s">
        <v>433</v>
      </c>
      <c r="CG193" t="s">
        <v>434</v>
      </c>
      <c r="CH193">
        <v>37</v>
      </c>
      <c r="CI193">
        <v>4.8099999999999996</v>
      </c>
      <c r="CJ193">
        <v>7.3999999999999996E-2</v>
      </c>
      <c r="CK193">
        <v>0.81399999999999995</v>
      </c>
      <c r="CL193">
        <v>0.55500000000000005</v>
      </c>
    </row>
    <row r="194" spans="1:125" x14ac:dyDescent="0.35">
      <c r="A194" t="s">
        <v>490</v>
      </c>
      <c r="B194" s="2">
        <f t="shared" si="10"/>
        <v>571.85665916000005</v>
      </c>
      <c r="C194" s="2">
        <f t="shared" si="11"/>
        <v>215.99999600000001</v>
      </c>
      <c r="D194" s="2">
        <f t="shared" si="12"/>
        <v>41.151999416000002</v>
      </c>
      <c r="E194" s="2">
        <f t="shared" si="13"/>
        <v>26.763333335999999</v>
      </c>
      <c r="F194" s="2">
        <f t="shared" si="14"/>
        <v>24.342332819999999</v>
      </c>
      <c r="G194" t="s">
        <v>63</v>
      </c>
      <c r="H194" t="s">
        <v>64</v>
      </c>
      <c r="I194">
        <v>36</v>
      </c>
      <c r="J194">
        <v>194.76</v>
      </c>
      <c r="K194">
        <v>15.12</v>
      </c>
      <c r="L194">
        <v>0.504</v>
      </c>
      <c r="M194">
        <v>13.32</v>
      </c>
      <c r="N194" t="s">
        <v>24</v>
      </c>
      <c r="O194" t="s">
        <v>25</v>
      </c>
      <c r="P194">
        <v>88.333327999999995</v>
      </c>
      <c r="Q194">
        <v>130.73332543999999</v>
      </c>
      <c r="R194">
        <v>9.7166660799999995</v>
      </c>
      <c r="S194">
        <v>1.413333248</v>
      </c>
      <c r="T194">
        <v>8.8333328000000009</v>
      </c>
      <c r="U194" t="s">
        <v>27</v>
      </c>
      <c r="V194" t="s">
        <v>28</v>
      </c>
      <c r="W194">
        <v>74</v>
      </c>
      <c r="X194">
        <v>241.24</v>
      </c>
      <c r="Y194">
        <v>16.28</v>
      </c>
      <c r="Z194">
        <v>23.68</v>
      </c>
      <c r="AA194">
        <v>1.9239999999999999</v>
      </c>
      <c r="AB194" t="s">
        <v>31</v>
      </c>
      <c r="AC194" t="s">
        <v>32</v>
      </c>
      <c r="AD194">
        <v>17.666668000000001</v>
      </c>
      <c r="AE194">
        <v>5.1233337199999998</v>
      </c>
      <c r="AF194">
        <v>3.5333336E-2</v>
      </c>
      <c r="AG194">
        <v>1.1660000880000001</v>
      </c>
      <c r="AH194">
        <v>0.26500002</v>
      </c>
    </row>
    <row r="195" spans="1:125" x14ac:dyDescent="0.35">
      <c r="A195" t="s">
        <v>491</v>
      </c>
      <c r="B195" s="2">
        <f t="shared" ref="B195:B211" si="15">J195+Q195+X195+AE195+AL195+AS195+AZ195+BG195+BN195+BU195+CB195+CI195+CP195+CW195+DD195+DK195+DR195+DY195+EF195+EM195+ET195</f>
        <v>384.27075633300001</v>
      </c>
      <c r="C195" s="2">
        <f t="shared" ref="C195:C211" si="16">I195+P195+W195+AD195+AK195+AR195+AY195+BF195+BM195+BT195+CA195+CH195+CO195+CV195+DC195+DJ195+DQ195+DX195+EE195+EL195+ES195</f>
        <v>283.000001</v>
      </c>
      <c r="D195" s="2">
        <f t="shared" ref="D195:D211" si="17">K195+R195+Y195+AF195+AM195+AT195+BA195+BH195+BO195+BV195+CC195+CJ195+CQ195+CX195+DE195+DL195+DS195+DZ195+EG195+EN195+EU195</f>
        <v>12.805333372999998</v>
      </c>
      <c r="E195" s="2">
        <f t="shared" ref="E195:E211" si="18">L195+S195+Z195+AG195+AN195+AU195+BB195+BI195+BP195+BW195+CD195+CK195+CR195+CY195+DF195+DM195+DT195+EA195+EH195+EO195+EV195</f>
        <v>21.855485842</v>
      </c>
      <c r="F195" s="2">
        <f t="shared" ref="F195:F211" si="19">M195+T195+AA195+AH195+AO195+AV195+BC195+BJ195+BQ195+BX195+CE195+CL195+CS195+CZ195+DG195+DN195+DU195+EB195+EI195+EP195+EW195</f>
        <v>42.209679088000009</v>
      </c>
      <c r="G195" t="s">
        <v>295</v>
      </c>
      <c r="H195" t="s">
        <v>296</v>
      </c>
      <c r="I195">
        <v>130</v>
      </c>
      <c r="J195">
        <v>245.7</v>
      </c>
      <c r="K195">
        <v>9.1</v>
      </c>
      <c r="L195">
        <v>0.13</v>
      </c>
      <c r="M195">
        <v>37.700000000000003</v>
      </c>
      <c r="N195" t="s">
        <v>198</v>
      </c>
      <c r="O195" t="s">
        <v>199</v>
      </c>
      <c r="P195">
        <v>97.390754999999999</v>
      </c>
      <c r="Q195">
        <v>19.965104775</v>
      </c>
      <c r="R195">
        <v>0.29217226499999999</v>
      </c>
      <c r="S195">
        <v>3.3112856700000002</v>
      </c>
      <c r="T195">
        <v>0.87651679500000002</v>
      </c>
      <c r="U195" t="s">
        <v>133</v>
      </c>
      <c r="V195" t="s">
        <v>134</v>
      </c>
      <c r="W195">
        <v>20</v>
      </c>
      <c r="X195">
        <v>2</v>
      </c>
      <c r="Y195">
        <v>0</v>
      </c>
      <c r="Z195">
        <v>0.4</v>
      </c>
      <c r="AA195">
        <v>0.2</v>
      </c>
      <c r="AB195" t="s">
        <v>7</v>
      </c>
      <c r="AC195" t="s">
        <v>8</v>
      </c>
      <c r="AD195">
        <v>1.826077</v>
      </c>
      <c r="AE195">
        <v>16.142520680000001</v>
      </c>
      <c r="AF195">
        <v>1.826077</v>
      </c>
      <c r="AG195">
        <v>0</v>
      </c>
      <c r="AH195">
        <v>0</v>
      </c>
      <c r="AI195" t="s">
        <v>200</v>
      </c>
      <c r="AJ195" t="s">
        <v>201</v>
      </c>
      <c r="AK195">
        <v>2.5550489999999999</v>
      </c>
      <c r="AL195">
        <v>14.262283518</v>
      </c>
      <c r="AM195">
        <v>1.2570841079999999</v>
      </c>
      <c r="AN195">
        <v>0.27594529200000001</v>
      </c>
      <c r="AO195">
        <v>0.78951014100000005</v>
      </c>
      <c r="AP195" t="s">
        <v>341</v>
      </c>
      <c r="AQ195" t="s">
        <v>342</v>
      </c>
      <c r="AR195">
        <v>30</v>
      </c>
      <c r="AS195">
        <v>82.5</v>
      </c>
      <c r="AT195">
        <v>0.33</v>
      </c>
      <c r="AU195">
        <v>16.739999999999998</v>
      </c>
      <c r="AV195">
        <v>2.64</v>
      </c>
      <c r="AW195" t="s">
        <v>11</v>
      </c>
      <c r="AX195" t="s">
        <v>12</v>
      </c>
      <c r="AY195">
        <v>1.0736000000000001E-2</v>
      </c>
      <c r="AZ195">
        <v>0</v>
      </c>
      <c r="BA195">
        <v>0</v>
      </c>
      <c r="BB195">
        <v>0</v>
      </c>
      <c r="BC195">
        <v>0</v>
      </c>
      <c r="BD195" t="s">
        <v>202</v>
      </c>
      <c r="BE195" t="s">
        <v>203</v>
      </c>
      <c r="BF195">
        <v>1.217384</v>
      </c>
      <c r="BG195">
        <v>3.70084736</v>
      </c>
      <c r="BH195">
        <v>0</v>
      </c>
      <c r="BI195">
        <v>0.99825487999999996</v>
      </c>
      <c r="BJ195">
        <v>3.6521520000000001E-3</v>
      </c>
    </row>
    <row r="196" spans="1:125" x14ac:dyDescent="0.35">
      <c r="A196" t="s">
        <v>492</v>
      </c>
      <c r="B196" s="2">
        <f t="shared" si="15"/>
        <v>144.85990036000001</v>
      </c>
      <c r="C196" s="2">
        <f t="shared" si="16"/>
        <v>82.999997000000022</v>
      </c>
      <c r="D196" s="2">
        <f t="shared" si="17"/>
        <v>8.398161871000001</v>
      </c>
      <c r="E196" s="2">
        <f t="shared" si="18"/>
        <v>6.5781125500000002</v>
      </c>
      <c r="F196" s="2">
        <f t="shared" si="19"/>
        <v>10.919508116000001</v>
      </c>
      <c r="G196" t="s">
        <v>252</v>
      </c>
      <c r="H196" t="s">
        <v>253</v>
      </c>
      <c r="I196">
        <v>32.137241000000003</v>
      </c>
      <c r="J196">
        <v>24.74567557</v>
      </c>
      <c r="K196">
        <v>3.2137240999999997E-2</v>
      </c>
      <c r="L196">
        <v>5.4633309700000003</v>
      </c>
      <c r="M196">
        <v>0.64274481999999999</v>
      </c>
      <c r="N196" t="s">
        <v>269</v>
      </c>
      <c r="O196" t="s">
        <v>270</v>
      </c>
      <c r="P196">
        <v>40.171551000000001</v>
      </c>
      <c r="Q196">
        <v>108.86490320999999</v>
      </c>
      <c r="R196">
        <v>7.6325946900000003</v>
      </c>
      <c r="S196">
        <v>0</v>
      </c>
      <c r="T196">
        <v>10.04288775</v>
      </c>
      <c r="U196" t="s">
        <v>71</v>
      </c>
      <c r="V196" t="s">
        <v>72</v>
      </c>
      <c r="W196">
        <v>1.7712639999999999</v>
      </c>
      <c r="X196">
        <v>2.6391833600000001</v>
      </c>
      <c r="Y196">
        <v>8.8563200000000009E-3</v>
      </c>
      <c r="Z196">
        <v>0.58451712</v>
      </c>
      <c r="AA196">
        <v>0.113360896</v>
      </c>
      <c r="AB196" t="s">
        <v>11</v>
      </c>
      <c r="AC196" t="s">
        <v>12</v>
      </c>
      <c r="AD196">
        <v>0.17712600000000001</v>
      </c>
      <c r="AE196">
        <v>0</v>
      </c>
      <c r="AF196">
        <v>0</v>
      </c>
      <c r="AG196">
        <v>0</v>
      </c>
      <c r="AH196">
        <v>0</v>
      </c>
      <c r="AI196" t="s">
        <v>31</v>
      </c>
      <c r="AJ196" t="s">
        <v>32</v>
      </c>
      <c r="AK196">
        <v>8.0343099999999996</v>
      </c>
      <c r="AL196">
        <v>2.3299498999999999</v>
      </c>
      <c r="AM196">
        <v>1.6068619999999999E-2</v>
      </c>
      <c r="AN196">
        <v>0.53026446000000005</v>
      </c>
      <c r="AO196">
        <v>0.12051465</v>
      </c>
      <c r="AP196" t="s">
        <v>170</v>
      </c>
      <c r="AR196">
        <v>0.70850500000000005</v>
      </c>
      <c r="AS196">
        <v>6.2801883199999997</v>
      </c>
      <c r="AT196">
        <v>0.70850500000000005</v>
      </c>
      <c r="AU196">
        <v>0</v>
      </c>
      <c r="AV196">
        <v>0</v>
      </c>
    </row>
    <row r="197" spans="1:125" x14ac:dyDescent="0.35">
      <c r="A197" t="s">
        <v>493</v>
      </c>
      <c r="B197" s="2">
        <f t="shared" si="15"/>
        <v>189.35</v>
      </c>
      <c r="C197" s="2">
        <f t="shared" si="16"/>
        <v>35</v>
      </c>
      <c r="D197" s="2">
        <f t="shared" si="17"/>
        <v>14.7</v>
      </c>
      <c r="E197" s="2">
        <f t="shared" si="18"/>
        <v>0.49</v>
      </c>
      <c r="F197" s="2">
        <f t="shared" si="19"/>
        <v>12.95</v>
      </c>
      <c r="G197" t="s">
        <v>63</v>
      </c>
      <c r="H197" t="s">
        <v>64</v>
      </c>
      <c r="I197">
        <v>35</v>
      </c>
      <c r="J197">
        <v>189.35</v>
      </c>
      <c r="K197">
        <v>14.7</v>
      </c>
      <c r="L197">
        <v>0.49</v>
      </c>
      <c r="M197">
        <v>12.95</v>
      </c>
    </row>
    <row r="198" spans="1:125" x14ac:dyDescent="0.35">
      <c r="A198" t="s">
        <v>494</v>
      </c>
      <c r="B198" s="2">
        <f t="shared" si="15"/>
        <v>266.40815979000001</v>
      </c>
      <c r="C198" s="2">
        <f t="shared" si="16"/>
        <v>193</v>
      </c>
      <c r="D198" s="2">
        <f t="shared" si="17"/>
        <v>14.252265201999998</v>
      </c>
      <c r="E198" s="2">
        <f t="shared" si="18"/>
        <v>19.606765771999999</v>
      </c>
      <c r="F198" s="2">
        <f t="shared" si="19"/>
        <v>14.077661073</v>
      </c>
      <c r="G198" t="s">
        <v>135</v>
      </c>
      <c r="H198" t="s">
        <v>136</v>
      </c>
      <c r="I198">
        <v>30.840097</v>
      </c>
      <c r="J198">
        <v>12.64443977</v>
      </c>
      <c r="K198">
        <v>6.1680194000000001E-2</v>
      </c>
      <c r="L198">
        <v>3.0840097000000002</v>
      </c>
      <c r="M198">
        <v>0.27756087299999999</v>
      </c>
      <c r="N198" t="s">
        <v>7</v>
      </c>
      <c r="O198" t="s">
        <v>8</v>
      </c>
      <c r="P198">
        <v>0.38550099999999998</v>
      </c>
      <c r="Q198">
        <v>3.4078288400000001</v>
      </c>
      <c r="R198">
        <v>0.38550099999999998</v>
      </c>
      <c r="S198">
        <v>0</v>
      </c>
      <c r="T198">
        <v>0</v>
      </c>
      <c r="U198" t="s">
        <v>65</v>
      </c>
      <c r="V198" t="s">
        <v>66</v>
      </c>
      <c r="W198">
        <v>53</v>
      </c>
      <c r="X198">
        <v>83.581000000000003</v>
      </c>
      <c r="Y198">
        <v>1.1659999999999999</v>
      </c>
      <c r="Z198">
        <v>15.847</v>
      </c>
      <c r="AA198">
        <v>2.4910000000000001</v>
      </c>
      <c r="AB198" t="s">
        <v>98</v>
      </c>
      <c r="AC198" t="s">
        <v>99</v>
      </c>
      <c r="AD198">
        <v>108</v>
      </c>
      <c r="AE198">
        <v>166.32</v>
      </c>
      <c r="AF198">
        <v>12.635999999999999</v>
      </c>
      <c r="AG198">
        <v>0.64800000000000002</v>
      </c>
      <c r="AH198">
        <v>11.231999999999999</v>
      </c>
      <c r="AI198" t="s">
        <v>11</v>
      </c>
      <c r="AJ198" t="s">
        <v>12</v>
      </c>
      <c r="AK198">
        <v>3.3999999999999998E-3</v>
      </c>
      <c r="AL198">
        <v>0</v>
      </c>
      <c r="AM198">
        <v>0</v>
      </c>
      <c r="AN198">
        <v>0</v>
      </c>
      <c r="AO198">
        <v>0</v>
      </c>
      <c r="AP198" t="s">
        <v>95</v>
      </c>
      <c r="AQ198" t="s">
        <v>96</v>
      </c>
      <c r="AR198">
        <v>0.77100199999999997</v>
      </c>
      <c r="AS198">
        <v>0.45489118000000001</v>
      </c>
      <c r="AT198">
        <v>3.0840080000000001E-3</v>
      </c>
      <c r="AU198">
        <v>2.7756072E-2</v>
      </c>
      <c r="AV198">
        <v>7.7100199999999994E-2</v>
      </c>
    </row>
    <row r="199" spans="1:125" x14ac:dyDescent="0.35">
      <c r="A199" t="s">
        <v>495</v>
      </c>
      <c r="B199" s="2">
        <f t="shared" si="15"/>
        <v>92.945916664999999</v>
      </c>
      <c r="C199" s="2">
        <f t="shared" si="16"/>
        <v>74.999996999999979</v>
      </c>
      <c r="D199" s="2">
        <f t="shared" si="17"/>
        <v>3.4301150900000001</v>
      </c>
      <c r="E199" s="2">
        <f t="shared" si="18"/>
        <v>15.703981831</v>
      </c>
      <c r="F199" s="2">
        <f t="shared" si="19"/>
        <v>2.6766437330000001</v>
      </c>
      <c r="G199" t="s">
        <v>172</v>
      </c>
      <c r="H199" t="s">
        <v>173</v>
      </c>
      <c r="I199">
        <v>1.7749630000000001</v>
      </c>
      <c r="J199">
        <v>7.1353512600000002</v>
      </c>
      <c r="K199">
        <v>0.58573779000000004</v>
      </c>
      <c r="L199">
        <v>2.3074519000000002E-2</v>
      </c>
      <c r="M199">
        <v>0.44374075000000002</v>
      </c>
      <c r="N199" t="s">
        <v>7</v>
      </c>
      <c r="O199" t="s">
        <v>8</v>
      </c>
      <c r="P199">
        <v>0.88748099999999996</v>
      </c>
      <c r="Q199">
        <v>7.8453320399999997</v>
      </c>
      <c r="R199">
        <v>0.88748099999999996</v>
      </c>
      <c r="S199">
        <v>0</v>
      </c>
      <c r="T199">
        <v>0</v>
      </c>
      <c r="U199" t="s">
        <v>480</v>
      </c>
      <c r="V199" t="s">
        <v>481</v>
      </c>
      <c r="W199">
        <v>70.998504999999994</v>
      </c>
      <c r="X199">
        <v>75.329413805000002</v>
      </c>
      <c r="Y199">
        <v>1.70396412</v>
      </c>
      <c r="Z199">
        <v>15.6196711</v>
      </c>
      <c r="AA199">
        <v>2.2009536550000002</v>
      </c>
      <c r="AB199" t="s">
        <v>11</v>
      </c>
      <c r="AC199" t="s">
        <v>12</v>
      </c>
      <c r="AD199">
        <v>7.8259999999999996E-3</v>
      </c>
      <c r="AE199">
        <v>0</v>
      </c>
      <c r="AF199">
        <v>0</v>
      </c>
      <c r="AG199">
        <v>0</v>
      </c>
      <c r="AH199">
        <v>0</v>
      </c>
      <c r="AI199" t="s">
        <v>260</v>
      </c>
      <c r="AJ199" t="s">
        <v>261</v>
      </c>
      <c r="AK199">
        <v>1.3312219999999999</v>
      </c>
      <c r="AL199">
        <v>2.6358195599999998</v>
      </c>
      <c r="AM199">
        <v>0.25293218000000001</v>
      </c>
      <c r="AN199">
        <v>6.1236211999999998E-2</v>
      </c>
      <c r="AO199">
        <v>3.1949327999999999E-2</v>
      </c>
    </row>
    <row r="200" spans="1:125" x14ac:dyDescent="0.35">
      <c r="A200" t="s">
        <v>496</v>
      </c>
      <c r="B200" s="2">
        <f t="shared" si="15"/>
        <v>94.163960529999997</v>
      </c>
      <c r="C200" s="2">
        <f t="shared" si="16"/>
        <v>91.000000999999997</v>
      </c>
      <c r="D200" s="2">
        <f t="shared" si="17"/>
        <v>2.0963909859999998</v>
      </c>
      <c r="E200" s="2">
        <f t="shared" si="18"/>
        <v>16.272545496999999</v>
      </c>
      <c r="F200" s="2">
        <f t="shared" si="19"/>
        <v>3.2910928560000001</v>
      </c>
      <c r="G200" t="s">
        <v>408</v>
      </c>
      <c r="H200" t="s">
        <v>409</v>
      </c>
      <c r="I200">
        <v>14.304625</v>
      </c>
      <c r="J200">
        <v>12.731116249999999</v>
      </c>
      <c r="K200">
        <v>4.2913874999999997E-2</v>
      </c>
      <c r="L200">
        <v>3.2900637499999998</v>
      </c>
      <c r="M200">
        <v>0.157350875</v>
      </c>
      <c r="N200" t="s">
        <v>497</v>
      </c>
      <c r="O200" t="s">
        <v>498</v>
      </c>
      <c r="P200">
        <v>15.980589</v>
      </c>
      <c r="Q200">
        <v>62.164491210000001</v>
      </c>
      <c r="R200">
        <v>1.1026606409999999</v>
      </c>
      <c r="S200">
        <v>10.595130507</v>
      </c>
      <c r="T200">
        <v>2.7007195409999998</v>
      </c>
      <c r="U200" t="s">
        <v>499</v>
      </c>
      <c r="V200" t="s">
        <v>500</v>
      </c>
      <c r="W200">
        <v>59.569225000000003</v>
      </c>
      <c r="X200">
        <v>13.700921749999999</v>
      </c>
      <c r="Y200">
        <v>0.59569225000000003</v>
      </c>
      <c r="Z200">
        <v>1.9062152000000001</v>
      </c>
      <c r="AA200">
        <v>0.23827690000000001</v>
      </c>
      <c r="AB200" t="s">
        <v>183</v>
      </c>
      <c r="AC200" t="s">
        <v>184</v>
      </c>
      <c r="AD200">
        <v>1.145562</v>
      </c>
      <c r="AE200">
        <v>5.5674313199999999</v>
      </c>
      <c r="AF200">
        <v>0.35512421999999999</v>
      </c>
      <c r="AG200">
        <v>0.48113603999999999</v>
      </c>
      <c r="AH200">
        <v>0.19474553999999999</v>
      </c>
    </row>
    <row r="201" spans="1:125" x14ac:dyDescent="0.35">
      <c r="A201" t="s">
        <v>501</v>
      </c>
      <c r="B201" s="2">
        <f t="shared" si="15"/>
        <v>371.64</v>
      </c>
      <c r="C201" s="2">
        <f t="shared" si="16"/>
        <v>114</v>
      </c>
      <c r="D201" s="2">
        <f t="shared" si="17"/>
        <v>25.08</v>
      </c>
      <c r="E201" s="2">
        <f t="shared" si="18"/>
        <v>36.479999999999997</v>
      </c>
      <c r="F201" s="2">
        <f t="shared" si="19"/>
        <v>2.964</v>
      </c>
      <c r="G201" t="s">
        <v>27</v>
      </c>
      <c r="H201" t="s">
        <v>28</v>
      </c>
      <c r="I201">
        <v>114</v>
      </c>
      <c r="J201">
        <v>371.64</v>
      </c>
      <c r="K201">
        <v>25.08</v>
      </c>
      <c r="L201">
        <v>36.479999999999997</v>
      </c>
      <c r="M201">
        <v>2.964</v>
      </c>
    </row>
    <row r="202" spans="1:125" x14ac:dyDescent="0.35">
      <c r="A202" t="s">
        <v>502</v>
      </c>
      <c r="B202" s="2">
        <f t="shared" si="15"/>
        <v>123.09734426099999</v>
      </c>
      <c r="C202" s="2">
        <f t="shared" si="16"/>
        <v>77.999998999999988</v>
      </c>
      <c r="D202" s="2">
        <f t="shared" si="17"/>
        <v>3.5344566120000005</v>
      </c>
      <c r="E202" s="2">
        <f t="shared" si="18"/>
        <v>2.2339939110000002</v>
      </c>
      <c r="F202" s="2">
        <f t="shared" si="19"/>
        <v>19.408112938000002</v>
      </c>
      <c r="G202" t="s">
        <v>216</v>
      </c>
      <c r="H202" t="s">
        <v>217</v>
      </c>
      <c r="I202">
        <v>6.1721069999999996</v>
      </c>
      <c r="J202">
        <v>6.8510387699999997</v>
      </c>
      <c r="K202">
        <v>5.5548963E-2</v>
      </c>
      <c r="L202">
        <v>1.41958461</v>
      </c>
      <c r="M202">
        <v>0.16047478200000001</v>
      </c>
      <c r="N202" t="s">
        <v>102</v>
      </c>
      <c r="O202" t="s">
        <v>103</v>
      </c>
      <c r="P202">
        <v>61.721069</v>
      </c>
      <c r="Q202">
        <v>101.83976385</v>
      </c>
      <c r="R202">
        <v>2.221958484</v>
      </c>
      <c r="S202">
        <v>0</v>
      </c>
      <c r="T202">
        <v>19.133531390000002</v>
      </c>
      <c r="U202" t="s">
        <v>135</v>
      </c>
      <c r="V202" t="s">
        <v>136</v>
      </c>
      <c r="W202">
        <v>6.1721069999999996</v>
      </c>
      <c r="X202">
        <v>2.5305638699999999</v>
      </c>
      <c r="Y202">
        <v>1.2344213999999999E-2</v>
      </c>
      <c r="Z202">
        <v>0.6172107</v>
      </c>
      <c r="AA202">
        <v>5.5548963E-2</v>
      </c>
      <c r="AB202" t="s">
        <v>71</v>
      </c>
      <c r="AC202" t="s">
        <v>72</v>
      </c>
      <c r="AD202">
        <v>0.30860500000000002</v>
      </c>
      <c r="AE202">
        <v>0.45982145000000002</v>
      </c>
      <c r="AF202">
        <v>1.543025E-3</v>
      </c>
      <c r="AG202">
        <v>0.10183965</v>
      </c>
      <c r="AH202">
        <v>1.9750719999999999E-2</v>
      </c>
      <c r="AI202" t="s">
        <v>7</v>
      </c>
      <c r="AJ202" t="s">
        <v>8</v>
      </c>
      <c r="AK202">
        <v>1.234421</v>
      </c>
      <c r="AL202">
        <v>10.91228164</v>
      </c>
      <c r="AM202">
        <v>1.234421</v>
      </c>
      <c r="AN202">
        <v>0</v>
      </c>
      <c r="AO202">
        <v>0</v>
      </c>
      <c r="AP202" t="s">
        <v>11</v>
      </c>
      <c r="AQ202" t="s">
        <v>12</v>
      </c>
      <c r="AR202">
        <v>0.30860500000000002</v>
      </c>
      <c r="AS202">
        <v>0</v>
      </c>
      <c r="AT202">
        <v>0</v>
      </c>
      <c r="AU202">
        <v>0</v>
      </c>
      <c r="AV202">
        <v>0</v>
      </c>
      <c r="AW202" t="s">
        <v>279</v>
      </c>
      <c r="AX202" t="s">
        <v>280</v>
      </c>
      <c r="AY202">
        <v>7.7150999999999997E-2</v>
      </c>
      <c r="AZ202">
        <v>0.10106780999999999</v>
      </c>
      <c r="BA202">
        <v>4.3976070000000004E-3</v>
      </c>
      <c r="BB202">
        <v>1.54302E-2</v>
      </c>
      <c r="BC202">
        <v>2.2373789999999998E-3</v>
      </c>
      <c r="BD202" t="s">
        <v>79</v>
      </c>
      <c r="BE202" t="s">
        <v>80</v>
      </c>
      <c r="BF202">
        <v>1.5430269999999999</v>
      </c>
      <c r="BG202">
        <v>0.29317513000000001</v>
      </c>
      <c r="BH202">
        <v>3.086054E-3</v>
      </c>
      <c r="BI202">
        <v>5.7091998999999997E-2</v>
      </c>
      <c r="BJ202">
        <v>2.7774486000000001E-2</v>
      </c>
      <c r="BK202" t="s">
        <v>81</v>
      </c>
      <c r="BL202" t="s">
        <v>82</v>
      </c>
      <c r="BM202">
        <v>0.23145399999999999</v>
      </c>
      <c r="BN202">
        <v>3.9347180000000002E-2</v>
      </c>
      <c r="BO202">
        <v>0</v>
      </c>
      <c r="BP202">
        <v>1.2961423999999999E-2</v>
      </c>
      <c r="BQ202">
        <v>9.2581599999999999E-4</v>
      </c>
      <c r="BR202" t="s">
        <v>57</v>
      </c>
      <c r="BS202" t="s">
        <v>58</v>
      </c>
      <c r="BT202">
        <v>7.7150999999999997E-2</v>
      </c>
      <c r="BU202">
        <v>1.851624E-2</v>
      </c>
      <c r="BV202">
        <v>0</v>
      </c>
      <c r="BW202">
        <v>1.54302E-3</v>
      </c>
      <c r="BX202">
        <v>3.08604E-3</v>
      </c>
      <c r="BY202" t="s">
        <v>83</v>
      </c>
      <c r="BZ202" t="s">
        <v>84</v>
      </c>
      <c r="CA202">
        <v>7.7150999999999997E-2</v>
      </c>
      <c r="CB202">
        <v>2.8623020999999998E-2</v>
      </c>
      <c r="CC202">
        <v>6.1720799999999995E-4</v>
      </c>
      <c r="CD202">
        <v>4.9376639999999996E-3</v>
      </c>
      <c r="CE202">
        <v>2.2373789999999998E-3</v>
      </c>
      <c r="CF202" t="s">
        <v>38</v>
      </c>
      <c r="CG202" t="s">
        <v>39</v>
      </c>
      <c r="CH202">
        <v>7.7150999999999997E-2</v>
      </c>
      <c r="CI202">
        <v>2.3145300000000001E-2</v>
      </c>
      <c r="CJ202">
        <v>5.4005700000000004E-4</v>
      </c>
      <c r="CK202">
        <v>3.394644E-3</v>
      </c>
      <c r="CL202">
        <v>2.5459829999999999E-3</v>
      </c>
    </row>
    <row r="203" spans="1:125" x14ac:dyDescent="0.35">
      <c r="A203" t="s">
        <v>503</v>
      </c>
      <c r="B203" s="2">
        <f t="shared" si="15"/>
        <v>420.54</v>
      </c>
      <c r="C203" s="2">
        <f t="shared" si="16"/>
        <v>129</v>
      </c>
      <c r="D203" s="2">
        <f t="shared" si="17"/>
        <v>28.38</v>
      </c>
      <c r="E203" s="2">
        <f t="shared" si="18"/>
        <v>41.28</v>
      </c>
      <c r="F203" s="2">
        <f t="shared" si="19"/>
        <v>3.3540000000000001</v>
      </c>
      <c r="G203" t="s">
        <v>27</v>
      </c>
      <c r="H203" t="s">
        <v>28</v>
      </c>
      <c r="I203">
        <v>129</v>
      </c>
      <c r="J203">
        <v>420.54</v>
      </c>
      <c r="K203">
        <v>28.38</v>
      </c>
      <c r="L203">
        <v>41.28</v>
      </c>
      <c r="M203">
        <v>3.3540000000000001</v>
      </c>
    </row>
    <row r="204" spans="1:125" x14ac:dyDescent="0.35">
      <c r="A204" t="s">
        <v>504</v>
      </c>
      <c r="B204" s="2">
        <f t="shared" si="15"/>
        <v>482.24</v>
      </c>
      <c r="C204" s="2">
        <f t="shared" si="16"/>
        <v>220</v>
      </c>
      <c r="D204" s="2">
        <f t="shared" si="17"/>
        <v>33.879999999999995</v>
      </c>
      <c r="E204" s="2">
        <f t="shared" si="18"/>
        <v>30.271999999999998</v>
      </c>
      <c r="F204" s="2">
        <f t="shared" si="19"/>
        <v>15.488</v>
      </c>
      <c r="G204" t="s">
        <v>24</v>
      </c>
      <c r="H204" t="s">
        <v>25</v>
      </c>
      <c r="I204">
        <v>132</v>
      </c>
      <c r="J204">
        <v>195.36</v>
      </c>
      <c r="K204">
        <v>14.52</v>
      </c>
      <c r="L204">
        <v>2.1120000000000001</v>
      </c>
      <c r="M204">
        <v>13.2</v>
      </c>
      <c r="N204" t="s">
        <v>27</v>
      </c>
      <c r="O204" t="s">
        <v>28</v>
      </c>
      <c r="P204">
        <v>88</v>
      </c>
      <c r="Q204">
        <v>286.88</v>
      </c>
      <c r="R204">
        <v>19.36</v>
      </c>
      <c r="S204">
        <v>28.16</v>
      </c>
      <c r="T204">
        <v>2.2879999999999998</v>
      </c>
    </row>
    <row r="205" spans="1:125" x14ac:dyDescent="0.35">
      <c r="A205" t="s">
        <v>505</v>
      </c>
      <c r="B205" s="2">
        <f t="shared" si="15"/>
        <v>177.93918877000002</v>
      </c>
      <c r="C205" s="2">
        <f t="shared" si="16"/>
        <v>150</v>
      </c>
      <c r="D205" s="2">
        <f t="shared" si="17"/>
        <v>8.8545751579999994</v>
      </c>
      <c r="E205" s="2">
        <f t="shared" si="18"/>
        <v>14.756506908</v>
      </c>
      <c r="F205" s="2">
        <f t="shared" si="19"/>
        <v>11.882043770999999</v>
      </c>
      <c r="G205" t="s">
        <v>1</v>
      </c>
      <c r="H205" t="s">
        <v>2</v>
      </c>
      <c r="I205">
        <v>13.800452999999999</v>
      </c>
      <c r="J205">
        <v>4.6921540200000003</v>
      </c>
      <c r="K205">
        <v>9.6603171000000002E-2</v>
      </c>
      <c r="L205">
        <v>0.93843080400000001</v>
      </c>
      <c r="M205">
        <v>9.6603171000000002E-2</v>
      </c>
      <c r="N205" t="s">
        <v>172</v>
      </c>
      <c r="O205" t="s">
        <v>173</v>
      </c>
      <c r="P205">
        <v>1.41997</v>
      </c>
      <c r="Q205">
        <v>5.7082794000000003</v>
      </c>
      <c r="R205">
        <v>0.46859010000000001</v>
      </c>
      <c r="S205">
        <v>1.8459610000000001E-2</v>
      </c>
      <c r="T205">
        <v>0.35499249999999999</v>
      </c>
      <c r="U205" t="s">
        <v>89</v>
      </c>
      <c r="V205" t="s">
        <v>90</v>
      </c>
      <c r="W205">
        <v>5.0183470000000003</v>
      </c>
      <c r="X205">
        <v>2.0073387999999999</v>
      </c>
      <c r="Y205">
        <v>5.0183470000000003E-3</v>
      </c>
      <c r="Z205">
        <v>0.45165123000000001</v>
      </c>
      <c r="AA205">
        <v>5.5201817E-2</v>
      </c>
      <c r="AB205" t="s">
        <v>71</v>
      </c>
      <c r="AC205" t="s">
        <v>72</v>
      </c>
      <c r="AD205">
        <v>1.0450710000000001</v>
      </c>
      <c r="AE205">
        <v>1.5571557899999999</v>
      </c>
      <c r="AF205">
        <v>5.2253550000000001E-3</v>
      </c>
      <c r="AG205">
        <v>0.34487342999999998</v>
      </c>
      <c r="AH205">
        <v>6.6884544000000004E-2</v>
      </c>
      <c r="AI205" t="s">
        <v>160</v>
      </c>
      <c r="AJ205" t="s">
        <v>161</v>
      </c>
      <c r="AK205">
        <v>37.637599999999999</v>
      </c>
      <c r="AL205">
        <v>66.693827200000001</v>
      </c>
      <c r="AM205">
        <v>3.1239208000000001</v>
      </c>
      <c r="AN205">
        <v>0</v>
      </c>
      <c r="AO205">
        <v>8.9953863999999992</v>
      </c>
      <c r="AP205" t="s">
        <v>7</v>
      </c>
      <c r="AQ205" t="s">
        <v>8</v>
      </c>
      <c r="AR205">
        <v>0.70998499999999998</v>
      </c>
      <c r="AS205">
        <v>6.2762674000000001</v>
      </c>
      <c r="AT205">
        <v>0.70998499999999998</v>
      </c>
      <c r="AU205">
        <v>0</v>
      </c>
      <c r="AV205">
        <v>0</v>
      </c>
      <c r="AW205" t="s">
        <v>151</v>
      </c>
      <c r="AX205" t="s">
        <v>152</v>
      </c>
      <c r="AY205">
        <v>2.5092E-2</v>
      </c>
      <c r="AZ205">
        <v>1.00368E-2</v>
      </c>
      <c r="BA205">
        <v>1.00368E-4</v>
      </c>
      <c r="BB205">
        <v>2.2331880000000001E-3</v>
      </c>
      <c r="BC205">
        <v>4.5165599999999999E-4</v>
      </c>
      <c r="BD205" t="s">
        <v>480</v>
      </c>
      <c r="BE205" t="s">
        <v>481</v>
      </c>
      <c r="BF205">
        <v>56.798805000000002</v>
      </c>
      <c r="BG205">
        <v>60.263532105000003</v>
      </c>
      <c r="BH205">
        <v>1.36317132</v>
      </c>
      <c r="BI205">
        <v>12.495737099999999</v>
      </c>
      <c r="BJ205">
        <v>1.7607629549999999</v>
      </c>
      <c r="BK205" t="s">
        <v>11</v>
      </c>
      <c r="BL205" t="s">
        <v>12</v>
      </c>
      <c r="BM205">
        <v>5.0514999999999997E-2</v>
      </c>
      <c r="BN205">
        <v>0</v>
      </c>
      <c r="BO205">
        <v>0</v>
      </c>
      <c r="BP205">
        <v>0</v>
      </c>
      <c r="BQ205">
        <v>0</v>
      </c>
      <c r="BR205" t="s">
        <v>162</v>
      </c>
      <c r="BS205" t="s">
        <v>163</v>
      </c>
      <c r="BT205">
        <v>20.361941999999999</v>
      </c>
      <c r="BU205">
        <v>0</v>
      </c>
      <c r="BV205">
        <v>0</v>
      </c>
      <c r="BW205">
        <v>0</v>
      </c>
      <c r="BX205">
        <v>0</v>
      </c>
      <c r="BY205" t="s">
        <v>164</v>
      </c>
      <c r="BZ205" t="s">
        <v>165</v>
      </c>
      <c r="CA205">
        <v>7.6404329999999998</v>
      </c>
      <c r="CB205">
        <v>25.694776179000002</v>
      </c>
      <c r="CC205">
        <v>2.796398478</v>
      </c>
      <c r="CD205">
        <v>0.206291691</v>
      </c>
      <c r="CE205">
        <v>0.213932124</v>
      </c>
      <c r="CF205" t="s">
        <v>260</v>
      </c>
      <c r="CG205" t="s">
        <v>261</v>
      </c>
      <c r="CH205">
        <v>1.064978</v>
      </c>
      <c r="CI205">
        <v>2.1086564399999999</v>
      </c>
      <c r="CJ205">
        <v>0.20234582000000001</v>
      </c>
      <c r="CK205">
        <v>4.8988987999999997E-2</v>
      </c>
      <c r="CL205">
        <v>2.5559472E-2</v>
      </c>
      <c r="CM205" t="s">
        <v>81</v>
      </c>
      <c r="CN205" t="s">
        <v>82</v>
      </c>
      <c r="CO205">
        <v>7.8411999999999996E-2</v>
      </c>
      <c r="CP205">
        <v>1.333004E-2</v>
      </c>
      <c r="CQ205">
        <v>0</v>
      </c>
      <c r="CR205">
        <v>4.3910720000000002E-3</v>
      </c>
      <c r="CS205">
        <v>3.1364799999999998E-4</v>
      </c>
      <c r="CT205" t="s">
        <v>166</v>
      </c>
      <c r="CU205" t="s">
        <v>167</v>
      </c>
      <c r="CV205">
        <v>0.83555500000000005</v>
      </c>
      <c r="CW205">
        <v>0.19050654</v>
      </c>
      <c r="CX205">
        <v>4.1777749999999999E-3</v>
      </c>
      <c r="CY205">
        <v>3.0915535000000001E-2</v>
      </c>
      <c r="CZ205">
        <v>1.838221E-2</v>
      </c>
      <c r="DA205" t="s">
        <v>168</v>
      </c>
      <c r="DB205" t="s">
        <v>169</v>
      </c>
      <c r="DC205">
        <v>0.62729299999999999</v>
      </c>
      <c r="DD205">
        <v>0.50183440000000001</v>
      </c>
      <c r="DE205">
        <v>5.0183440000000001E-3</v>
      </c>
      <c r="DF205">
        <v>0.11291274</v>
      </c>
      <c r="DG205">
        <v>1.1291274E-2</v>
      </c>
      <c r="DH205" t="s">
        <v>95</v>
      </c>
      <c r="DI205" t="s">
        <v>96</v>
      </c>
      <c r="DJ205">
        <v>2.8228200000000001</v>
      </c>
      <c r="DK205">
        <v>1.6654637999999999</v>
      </c>
      <c r="DL205">
        <v>1.1291280000000001E-2</v>
      </c>
      <c r="DM205">
        <v>0.10162152000000001</v>
      </c>
      <c r="DN205">
        <v>0.28228199999999998</v>
      </c>
      <c r="DO205" t="s">
        <v>170</v>
      </c>
      <c r="DQ205">
        <v>6.2728999999999993E-2</v>
      </c>
      <c r="DR205">
        <v>0.55602985599999999</v>
      </c>
      <c r="DS205">
        <v>6.2728999999999993E-2</v>
      </c>
      <c r="DT205">
        <v>0</v>
      </c>
      <c r="DU205">
        <v>0</v>
      </c>
    </row>
    <row r="206" spans="1:125" x14ac:dyDescent="0.35">
      <c r="A206" t="s">
        <v>506</v>
      </c>
      <c r="B206" s="2">
        <f t="shared" si="15"/>
        <v>6</v>
      </c>
      <c r="C206" s="2">
        <f t="shared" si="16"/>
        <v>60</v>
      </c>
      <c r="D206" s="2">
        <f t="shared" si="17"/>
        <v>0</v>
      </c>
      <c r="E206" s="2">
        <f t="shared" si="18"/>
        <v>1.2</v>
      </c>
      <c r="F206" s="2">
        <f t="shared" si="19"/>
        <v>0.6</v>
      </c>
      <c r="G206" t="s">
        <v>133</v>
      </c>
      <c r="H206" t="s">
        <v>134</v>
      </c>
      <c r="I206">
        <v>60</v>
      </c>
      <c r="J206">
        <v>6</v>
      </c>
      <c r="K206">
        <v>0</v>
      </c>
      <c r="L206">
        <v>1.2</v>
      </c>
      <c r="M206">
        <v>0.6</v>
      </c>
    </row>
    <row r="207" spans="1:125" x14ac:dyDescent="0.35">
      <c r="A207" t="s">
        <v>507</v>
      </c>
      <c r="B207" s="2">
        <f t="shared" si="15"/>
        <v>260.7</v>
      </c>
      <c r="C207" s="2">
        <f t="shared" si="16"/>
        <v>165</v>
      </c>
      <c r="D207" s="2">
        <f t="shared" si="17"/>
        <v>1.4850000000000001</v>
      </c>
      <c r="E207" s="2">
        <f t="shared" si="18"/>
        <v>51.15</v>
      </c>
      <c r="F207" s="2">
        <f t="shared" si="19"/>
        <v>9.9</v>
      </c>
      <c r="G207" t="s">
        <v>398</v>
      </c>
      <c r="H207" t="s">
        <v>399</v>
      </c>
      <c r="I207">
        <v>165</v>
      </c>
      <c r="J207">
        <v>260.7</v>
      </c>
      <c r="K207">
        <v>1.4850000000000001</v>
      </c>
      <c r="L207">
        <v>51.15</v>
      </c>
      <c r="M207">
        <v>9.9</v>
      </c>
    </row>
    <row r="208" spans="1:125" x14ac:dyDescent="0.35">
      <c r="A208" t="s">
        <v>508</v>
      </c>
      <c r="B208" s="2">
        <f t="shared" si="15"/>
        <v>72.064481205999996</v>
      </c>
      <c r="C208" s="2">
        <f t="shared" si="16"/>
        <v>71</v>
      </c>
      <c r="D208" s="2">
        <f t="shared" si="17"/>
        <v>0.58665692300000005</v>
      </c>
      <c r="E208" s="2">
        <f t="shared" si="18"/>
        <v>14.177196924</v>
      </c>
      <c r="F208" s="2">
        <f t="shared" si="19"/>
        <v>3.1115620779999995</v>
      </c>
      <c r="G208" t="s">
        <v>509</v>
      </c>
      <c r="H208" t="s">
        <v>510</v>
      </c>
      <c r="I208">
        <v>18.656935000000001</v>
      </c>
      <c r="J208">
        <v>10.67176682</v>
      </c>
      <c r="K208">
        <v>1.8656934999999999E-2</v>
      </c>
      <c r="L208">
        <v>2.83585412</v>
      </c>
      <c r="M208">
        <v>7.4627739999999998E-2</v>
      </c>
      <c r="N208" t="s">
        <v>202</v>
      </c>
      <c r="O208" t="s">
        <v>203</v>
      </c>
      <c r="P208">
        <v>6.2189779999999999</v>
      </c>
      <c r="Q208">
        <v>18.905693119999999</v>
      </c>
      <c r="R208">
        <v>0</v>
      </c>
      <c r="S208">
        <v>5.0995619599999999</v>
      </c>
      <c r="T208">
        <v>1.8656934E-2</v>
      </c>
      <c r="U208" t="s">
        <v>360</v>
      </c>
      <c r="V208" t="s">
        <v>361</v>
      </c>
      <c r="W208">
        <v>24.875912</v>
      </c>
      <c r="X208">
        <v>29.851094400000001</v>
      </c>
      <c r="Y208">
        <v>0.472642328</v>
      </c>
      <c r="Z208">
        <v>5.2239415200000003</v>
      </c>
      <c r="AA208">
        <v>1.094540128</v>
      </c>
      <c r="AB208" t="s">
        <v>83</v>
      </c>
      <c r="AC208" t="s">
        <v>84</v>
      </c>
      <c r="AD208">
        <v>1.0364960000000001</v>
      </c>
      <c r="AE208">
        <v>0.38454001599999998</v>
      </c>
      <c r="AF208">
        <v>8.2919680000000003E-3</v>
      </c>
      <c r="AG208">
        <v>6.6335744000000002E-2</v>
      </c>
      <c r="AH208">
        <v>3.0058384E-2</v>
      </c>
      <c r="AI208" t="s">
        <v>168</v>
      </c>
      <c r="AJ208" t="s">
        <v>169</v>
      </c>
      <c r="AK208">
        <v>1.5547439999999999</v>
      </c>
      <c r="AL208">
        <v>1.2437952000000001</v>
      </c>
      <c r="AM208">
        <v>1.2437952E-2</v>
      </c>
      <c r="AN208">
        <v>0.27985391999999998</v>
      </c>
      <c r="AO208">
        <v>2.7985392000000001E-2</v>
      </c>
      <c r="AP208" t="s">
        <v>95</v>
      </c>
      <c r="AQ208" t="s">
        <v>96</v>
      </c>
      <c r="AR208">
        <v>18.656935000000001</v>
      </c>
      <c r="AS208">
        <v>11.00759165</v>
      </c>
      <c r="AT208">
        <v>7.4627739999999998E-2</v>
      </c>
      <c r="AU208">
        <v>0.67164966000000004</v>
      </c>
      <c r="AV208">
        <v>1.8656934999999999</v>
      </c>
    </row>
    <row r="209" spans="1:153" x14ac:dyDescent="0.35">
      <c r="A209" t="s">
        <v>511</v>
      </c>
      <c r="B209" s="2">
        <f t="shared" si="15"/>
        <v>301.77075633300001</v>
      </c>
      <c r="C209" s="2">
        <f t="shared" si="16"/>
        <v>253.00000100000003</v>
      </c>
      <c r="D209" s="2">
        <f t="shared" si="17"/>
        <v>12.475333372999998</v>
      </c>
      <c r="E209" s="2">
        <f t="shared" si="18"/>
        <v>5.115485842</v>
      </c>
      <c r="F209" s="2">
        <f t="shared" si="19"/>
        <v>39.569679088000008</v>
      </c>
      <c r="G209" t="s">
        <v>295</v>
      </c>
      <c r="H209" t="s">
        <v>296</v>
      </c>
      <c r="I209">
        <v>130</v>
      </c>
      <c r="J209">
        <v>245.7</v>
      </c>
      <c r="K209">
        <v>9.1</v>
      </c>
      <c r="L209">
        <v>0.13</v>
      </c>
      <c r="M209">
        <v>37.700000000000003</v>
      </c>
      <c r="N209" t="s">
        <v>198</v>
      </c>
      <c r="O209" t="s">
        <v>199</v>
      </c>
      <c r="P209">
        <v>97.390754999999999</v>
      </c>
      <c r="Q209">
        <v>19.965104775</v>
      </c>
      <c r="R209">
        <v>0.29217226499999999</v>
      </c>
      <c r="S209">
        <v>3.3112856700000002</v>
      </c>
      <c r="T209">
        <v>0.87651679500000002</v>
      </c>
      <c r="U209" t="s">
        <v>133</v>
      </c>
      <c r="V209" t="s">
        <v>134</v>
      </c>
      <c r="W209">
        <v>20</v>
      </c>
      <c r="X209">
        <v>2</v>
      </c>
      <c r="Y209">
        <v>0</v>
      </c>
      <c r="Z209">
        <v>0.4</v>
      </c>
      <c r="AA209">
        <v>0.2</v>
      </c>
      <c r="AB209" t="s">
        <v>7</v>
      </c>
      <c r="AC209" t="s">
        <v>8</v>
      </c>
      <c r="AD209">
        <v>1.826077</v>
      </c>
      <c r="AE209">
        <v>16.142520680000001</v>
      </c>
      <c r="AF209">
        <v>1.826077</v>
      </c>
      <c r="AG209">
        <v>0</v>
      </c>
      <c r="AH209">
        <v>0</v>
      </c>
      <c r="AI209" t="s">
        <v>200</v>
      </c>
      <c r="AJ209" t="s">
        <v>201</v>
      </c>
      <c r="AK209">
        <v>2.5550489999999999</v>
      </c>
      <c r="AL209">
        <v>14.262283518</v>
      </c>
      <c r="AM209">
        <v>1.2570841079999999</v>
      </c>
      <c r="AN209">
        <v>0.27594529200000001</v>
      </c>
      <c r="AO209">
        <v>0.78951014100000005</v>
      </c>
      <c r="AP209" t="s">
        <v>11</v>
      </c>
      <c r="AQ209" t="s">
        <v>12</v>
      </c>
      <c r="AR209">
        <v>1.0736000000000001E-2</v>
      </c>
      <c r="AS209">
        <v>0</v>
      </c>
      <c r="AT209">
        <v>0</v>
      </c>
      <c r="AU209">
        <v>0</v>
      </c>
      <c r="AV209">
        <v>0</v>
      </c>
      <c r="AW209" t="s">
        <v>202</v>
      </c>
      <c r="AX209" t="s">
        <v>203</v>
      </c>
      <c r="AY209">
        <v>1.217384</v>
      </c>
      <c r="AZ209">
        <v>3.70084736</v>
      </c>
      <c r="BA209">
        <v>0</v>
      </c>
      <c r="BB209">
        <v>0.99825487999999996</v>
      </c>
      <c r="BC209">
        <v>3.6521520000000001E-3</v>
      </c>
    </row>
    <row r="210" spans="1:153" x14ac:dyDescent="0.35">
      <c r="A210" t="s">
        <v>512</v>
      </c>
      <c r="B210" s="2">
        <f t="shared" si="15"/>
        <v>418.6</v>
      </c>
      <c r="C210" s="2">
        <f t="shared" si="16"/>
        <v>182</v>
      </c>
      <c r="D210" s="2">
        <f t="shared" si="17"/>
        <v>9.8279999999999994</v>
      </c>
      <c r="E210" s="2">
        <f t="shared" si="18"/>
        <v>70.98</v>
      </c>
      <c r="F210" s="2">
        <f t="shared" si="19"/>
        <v>11.284000000000001</v>
      </c>
      <c r="G210" t="s">
        <v>129</v>
      </c>
      <c r="H210" t="s">
        <v>130</v>
      </c>
      <c r="I210">
        <v>182</v>
      </c>
      <c r="J210">
        <v>418.6</v>
      </c>
      <c r="K210">
        <v>9.8279999999999994</v>
      </c>
      <c r="L210">
        <v>70.98</v>
      </c>
      <c r="M210">
        <v>11.284000000000001</v>
      </c>
    </row>
    <row r="211" spans="1:153" x14ac:dyDescent="0.35">
      <c r="A211" t="s">
        <v>513</v>
      </c>
      <c r="B211" s="2">
        <f t="shared" si="15"/>
        <v>181.63411349499998</v>
      </c>
      <c r="C211" s="2">
        <f t="shared" si="16"/>
        <v>125.00000299999999</v>
      </c>
      <c r="D211" s="2">
        <f t="shared" si="17"/>
        <v>10.834315521000001</v>
      </c>
      <c r="E211" s="2">
        <f t="shared" si="18"/>
        <v>12.058955940999999</v>
      </c>
      <c r="F211" s="2">
        <f t="shared" si="19"/>
        <v>9.7846238369999998</v>
      </c>
      <c r="G211" t="s">
        <v>27</v>
      </c>
      <c r="H211" t="s">
        <v>28</v>
      </c>
      <c r="I211">
        <v>24.992654999999999</v>
      </c>
      <c r="J211">
        <v>81.476055299999999</v>
      </c>
      <c r="K211">
        <v>5.4983841</v>
      </c>
      <c r="L211">
        <v>7.9976495999999999</v>
      </c>
      <c r="M211">
        <v>0.64980903000000001</v>
      </c>
      <c r="N211" t="s">
        <v>104</v>
      </c>
      <c r="O211" t="s">
        <v>105</v>
      </c>
      <c r="P211">
        <v>24.992654999999999</v>
      </c>
      <c r="Q211">
        <v>9.9970619999999997</v>
      </c>
      <c r="R211">
        <v>4.9985309999999998E-2</v>
      </c>
      <c r="S211">
        <v>2.2493389499999998</v>
      </c>
      <c r="T211">
        <v>0.49985309999999999</v>
      </c>
      <c r="U211" t="s">
        <v>106</v>
      </c>
      <c r="V211" t="s">
        <v>107</v>
      </c>
      <c r="W211">
        <v>12.496327000000001</v>
      </c>
      <c r="X211">
        <v>2.8741552100000001</v>
      </c>
      <c r="Y211">
        <v>4.9985307999999999E-2</v>
      </c>
      <c r="Z211">
        <v>0.449867772</v>
      </c>
      <c r="AA211">
        <v>0.36239348300000002</v>
      </c>
      <c r="AB211" t="s">
        <v>514</v>
      </c>
      <c r="AC211" t="s">
        <v>515</v>
      </c>
      <c r="AD211">
        <v>12.496327000000001</v>
      </c>
      <c r="AE211">
        <v>2.7491919399999998</v>
      </c>
      <c r="AF211">
        <v>3.7488980999999998E-2</v>
      </c>
      <c r="AG211">
        <v>0.41237879100000002</v>
      </c>
      <c r="AH211">
        <v>0.38738613700000002</v>
      </c>
      <c r="AI211" t="s">
        <v>148</v>
      </c>
      <c r="AJ211" t="s">
        <v>149</v>
      </c>
      <c r="AK211">
        <v>37.488979</v>
      </c>
      <c r="AL211">
        <v>58.295362345000001</v>
      </c>
      <c r="AM211">
        <v>3.9363427949999998</v>
      </c>
      <c r="AN211">
        <v>0.44986774800000001</v>
      </c>
      <c r="AO211">
        <v>4.6861223750000001</v>
      </c>
      <c r="AP211" t="s">
        <v>11</v>
      </c>
      <c r="AQ211" t="s">
        <v>12</v>
      </c>
      <c r="AR211">
        <v>3.6733000000000002E-2</v>
      </c>
      <c r="AS211">
        <v>0</v>
      </c>
      <c r="AT211">
        <v>0</v>
      </c>
      <c r="AU211">
        <v>0</v>
      </c>
      <c r="AV211">
        <v>0</v>
      </c>
      <c r="AW211" t="s">
        <v>516</v>
      </c>
      <c r="AY211">
        <v>12.496327000000001</v>
      </c>
      <c r="AZ211">
        <v>26.242286700000001</v>
      </c>
      <c r="BA211">
        <v>1.2621290270000001</v>
      </c>
      <c r="BB211">
        <v>0.49985308000000001</v>
      </c>
      <c r="BC211">
        <v>3.1990597119999999</v>
      </c>
    </row>
    <row r="212" spans="1:153" x14ac:dyDescent="0.35">
      <c r="A212" t="s">
        <v>517</v>
      </c>
      <c r="B212" s="2">
        <f>J212+Q212+X212+AE212+AL212+AS212+AZ212+BG212+BN212+BU212+CB212+CI212+CP212+CW212+DD212+DK212+DR212+DY212+EF212+EM212+ET212</f>
        <v>304.75227865099998</v>
      </c>
      <c r="C212" s="2">
        <f>I212+P212+W212+AD212+AK212+AR212+AY212+BF212+BM212+BT212+CA212+CH212+CO212+CV212+DC212+DJ212+DQ212+DX212+EE212+EL212+ES212</f>
        <v>327.00001100000003</v>
      </c>
      <c r="D212" s="2">
        <f>K212+R212+Y212+AF212+AM212+AT212+BA212+BH212+BO212+BV212+CC212+CJ212+CQ212+CX212+DE212+DL212+DS212+DZ212+EG212+EN212+EU212</f>
        <v>16.552758318999999</v>
      </c>
      <c r="E212" s="2">
        <f>L212+S212+Z212+AG212+AN212+AU212+BB212+BI212+BP212+BW212+CD212+CK212+CR212+CY212+DF212+DM212+DT212+EA212+EH212+EO212+EV212</f>
        <v>25.611313083999999</v>
      </c>
      <c r="F212" s="2">
        <f>M212+T212+AA212+AH212+AO212+AV212+BC212+BJ212+BQ212+BX212+CE212+CL212+CS212+CZ212+DG212+DN212+DU212+EB212+EI212+EP212+EW212</f>
        <v>18.499389395000001</v>
      </c>
      <c r="G212" t="s">
        <v>41</v>
      </c>
      <c r="H212" t="s">
        <v>42</v>
      </c>
      <c r="I212">
        <v>14.352157</v>
      </c>
      <c r="J212">
        <v>5.0232549500000001</v>
      </c>
      <c r="K212">
        <v>5.7408628000000003E-2</v>
      </c>
      <c r="L212">
        <v>1.00465099</v>
      </c>
      <c r="M212">
        <v>0.34445176799999999</v>
      </c>
      <c r="N212" t="s">
        <v>135</v>
      </c>
      <c r="O212" t="s">
        <v>136</v>
      </c>
      <c r="P212">
        <v>7.5833659999999998</v>
      </c>
      <c r="Q212">
        <v>3.1091800599999999</v>
      </c>
      <c r="R212">
        <v>1.5166732E-2</v>
      </c>
      <c r="S212">
        <v>0.75833660000000003</v>
      </c>
      <c r="T212">
        <v>6.8250294000000003E-2</v>
      </c>
      <c r="U212" t="s">
        <v>69</v>
      </c>
      <c r="V212" t="s">
        <v>70</v>
      </c>
      <c r="W212">
        <v>18.200078999999999</v>
      </c>
      <c r="X212">
        <v>16.380071099999999</v>
      </c>
      <c r="Y212">
        <v>2.3660102699999999</v>
      </c>
      <c r="Z212">
        <v>0</v>
      </c>
      <c r="AA212">
        <v>3.3488145359999999</v>
      </c>
      <c r="AB212" t="s">
        <v>89</v>
      </c>
      <c r="AC212" t="s">
        <v>90</v>
      </c>
      <c r="AD212">
        <v>0.60666900000000001</v>
      </c>
      <c r="AE212">
        <v>0.24266760000000001</v>
      </c>
      <c r="AF212">
        <v>6.06669E-4</v>
      </c>
      <c r="AG212">
        <v>5.4600210000000003E-2</v>
      </c>
      <c r="AH212">
        <v>6.6733590000000002E-3</v>
      </c>
      <c r="AI212" t="s">
        <v>256</v>
      </c>
      <c r="AJ212" t="s">
        <v>257</v>
      </c>
      <c r="AK212">
        <v>3.0333459999999999</v>
      </c>
      <c r="AL212">
        <v>1.8503410600000001</v>
      </c>
      <c r="AM212">
        <v>9.1000379999999995E-3</v>
      </c>
      <c r="AN212">
        <v>0.42466843999999998</v>
      </c>
      <c r="AO212">
        <v>4.5500190000000003E-2</v>
      </c>
      <c r="AP212" t="s">
        <v>71</v>
      </c>
      <c r="AQ212" t="s">
        <v>72</v>
      </c>
      <c r="AR212">
        <v>0.347744</v>
      </c>
      <c r="AS212">
        <v>0.51813856000000003</v>
      </c>
      <c r="AT212">
        <v>1.73872E-3</v>
      </c>
      <c r="AU212">
        <v>0.11475552</v>
      </c>
      <c r="AV212">
        <v>2.2255615999999999E-2</v>
      </c>
      <c r="AW212" t="s">
        <v>312</v>
      </c>
      <c r="AX212" t="s">
        <v>313</v>
      </c>
      <c r="AY212">
        <v>0.91000400000000004</v>
      </c>
      <c r="AZ212">
        <v>0.19110083999999999</v>
      </c>
      <c r="BA212">
        <v>4.5500200000000001E-3</v>
      </c>
      <c r="BB212">
        <v>2.9120127999999999E-2</v>
      </c>
      <c r="BC212">
        <v>1.1830052000000001E-2</v>
      </c>
      <c r="BD212" t="s">
        <v>7</v>
      </c>
      <c r="BE212" t="s">
        <v>8</v>
      </c>
      <c r="BF212">
        <v>5.1672570000000002</v>
      </c>
      <c r="BG212">
        <v>45.678551880000001</v>
      </c>
      <c r="BH212">
        <v>5.1672570000000002</v>
      </c>
      <c r="BI212">
        <v>0</v>
      </c>
      <c r="BJ212">
        <v>0</v>
      </c>
      <c r="BK212" t="s">
        <v>156</v>
      </c>
      <c r="BL212" t="s">
        <v>157</v>
      </c>
      <c r="BM212">
        <v>0.19775699999999999</v>
      </c>
      <c r="BN212">
        <v>0.78114015000000003</v>
      </c>
      <c r="BO212">
        <v>1.0085607E-2</v>
      </c>
      <c r="BP212">
        <v>0.14100074100000001</v>
      </c>
      <c r="BQ212">
        <v>2.6103924000000001E-2</v>
      </c>
      <c r="BR212" t="s">
        <v>51</v>
      </c>
      <c r="BS212" t="s">
        <v>52</v>
      </c>
      <c r="BT212">
        <v>19.592614999999999</v>
      </c>
      <c r="BU212">
        <v>54.38909924</v>
      </c>
      <c r="BV212">
        <v>3.350337165</v>
      </c>
      <c r="BW212">
        <v>0.62696368000000002</v>
      </c>
      <c r="BX212">
        <v>5.4859321999999997</v>
      </c>
      <c r="BY212" t="s">
        <v>11</v>
      </c>
      <c r="BZ212" t="s">
        <v>12</v>
      </c>
      <c r="CA212">
        <v>0.51725100000000002</v>
      </c>
      <c r="CB212">
        <v>0</v>
      </c>
      <c r="CC212">
        <v>0</v>
      </c>
      <c r="CD212">
        <v>0</v>
      </c>
      <c r="CE212">
        <v>0</v>
      </c>
      <c r="CF212" t="s">
        <v>55</v>
      </c>
      <c r="CG212" t="s">
        <v>56</v>
      </c>
      <c r="CH212">
        <v>5.6875000000000002E-2</v>
      </c>
      <c r="CI212">
        <v>0.40779375000000001</v>
      </c>
      <c r="CJ212">
        <v>4.6068749999999999E-2</v>
      </c>
      <c r="CK212" s="1">
        <v>5.6875E-5</v>
      </c>
      <c r="CL212">
        <v>4.55E-4</v>
      </c>
      <c r="CM212" t="s">
        <v>36</v>
      </c>
      <c r="CN212" t="s">
        <v>37</v>
      </c>
      <c r="CO212">
        <v>0.17940200000000001</v>
      </c>
      <c r="CP212">
        <v>5.2026580000000003E-2</v>
      </c>
      <c r="CQ212">
        <v>7.17608E-4</v>
      </c>
      <c r="CR212">
        <v>1.166113E-2</v>
      </c>
      <c r="CS212">
        <v>1.614618E-3</v>
      </c>
      <c r="CT212" t="s">
        <v>247</v>
      </c>
      <c r="CU212" t="s">
        <v>248</v>
      </c>
      <c r="CV212">
        <v>209.716476</v>
      </c>
      <c r="CW212">
        <v>106.95540276</v>
      </c>
      <c r="CX212">
        <v>3.984613044</v>
      </c>
      <c r="CY212">
        <v>10.4858238</v>
      </c>
      <c r="CZ212">
        <v>7.3400766600000003</v>
      </c>
      <c r="DA212" t="s">
        <v>81</v>
      </c>
      <c r="DB212" t="s">
        <v>82</v>
      </c>
      <c r="DC212">
        <v>1.0198E-2</v>
      </c>
      <c r="DD212">
        <v>1.7336599999999999E-3</v>
      </c>
      <c r="DE212">
        <v>0</v>
      </c>
      <c r="DF212">
        <v>5.7108799999999998E-4</v>
      </c>
      <c r="DG212" s="1">
        <v>4.0791999999999998E-5</v>
      </c>
      <c r="DH212" t="s">
        <v>57</v>
      </c>
      <c r="DI212" t="s">
        <v>58</v>
      </c>
      <c r="DJ212">
        <v>4.8981539999999999</v>
      </c>
      <c r="DK212">
        <v>1.17555696</v>
      </c>
      <c r="DL212">
        <v>0</v>
      </c>
      <c r="DM212">
        <v>9.7963079999999994E-2</v>
      </c>
      <c r="DN212">
        <v>0.19592615999999999</v>
      </c>
      <c r="DO212" t="s">
        <v>166</v>
      </c>
      <c r="DP212" t="s">
        <v>167</v>
      </c>
      <c r="DQ212">
        <v>0.16114700000000001</v>
      </c>
      <c r="DR212">
        <v>3.6741516000000002E-2</v>
      </c>
      <c r="DS212">
        <v>8.0573500000000002E-4</v>
      </c>
      <c r="DT212">
        <v>5.9624389999999999E-3</v>
      </c>
      <c r="DU212">
        <v>3.545234E-3</v>
      </c>
      <c r="DV212" t="s">
        <v>314</v>
      </c>
      <c r="DW212" t="s">
        <v>315</v>
      </c>
      <c r="DX212">
        <v>0.56875200000000004</v>
      </c>
      <c r="DY212">
        <v>9.6687839999999997E-2</v>
      </c>
      <c r="DZ212">
        <v>1.1375039999999999E-3</v>
      </c>
      <c r="EA212">
        <v>1.9337567999999999E-2</v>
      </c>
      <c r="EB212">
        <v>7.3937760000000003E-3</v>
      </c>
      <c r="EC212" t="s">
        <v>59</v>
      </c>
      <c r="EE212">
        <v>25.916615</v>
      </c>
      <c r="EF212">
        <v>61.033628325000002</v>
      </c>
      <c r="EG212">
        <v>1.2180809050000001</v>
      </c>
      <c r="EH212">
        <v>10.807228455000001</v>
      </c>
      <c r="EI212">
        <v>1.39949721</v>
      </c>
      <c r="EJ212" t="s">
        <v>60</v>
      </c>
      <c r="EL212">
        <v>14.694462</v>
      </c>
      <c r="EM212">
        <v>4.2613939800000002</v>
      </c>
      <c r="EN212">
        <v>2.9388924E-2</v>
      </c>
      <c r="EO212">
        <v>1.02861234</v>
      </c>
      <c r="EP212">
        <v>0.191028006</v>
      </c>
      <c r="EQ212" t="s">
        <v>170</v>
      </c>
      <c r="ES212">
        <v>0.28968500000000003</v>
      </c>
      <c r="ET212">
        <v>2.5677678400000001</v>
      </c>
      <c r="EU212">
        <v>0.28968500000000003</v>
      </c>
      <c r="EV212">
        <v>0</v>
      </c>
      <c r="EW212">
        <v>0</v>
      </c>
    </row>
    <row r="213" spans="1:153" x14ac:dyDescent="0.35">
      <c r="A213" t="s">
        <v>518</v>
      </c>
      <c r="B213" s="2">
        <f t="shared" ref="B213:B239" si="20">J213+Q213+X213+AE213+AL213+AS213+AZ213+BG213+BN213+BU213+CB213+CI213+CP213+CW213+DD213+DK213+DR213+DY213+EF213+EM213+ET213</f>
        <v>811.94</v>
      </c>
      <c r="C213" s="2">
        <f t="shared" ref="C213:C239" si="21">I213+P213+W213+AD213+AK213+AR213+AY213+BF213+BM213+BT213+CA213+CH213+CO213+CV213+DC213+DJ213+DQ213+DX213+EE213+EL213+ES213</f>
        <v>340</v>
      </c>
      <c r="D213" s="2">
        <f t="shared" ref="D213:D239" si="22">K213+R213+Y213+AF213+AM213+AT213+BA213+BH213+BO213+BV213+CC213+CJ213+CQ213+CX213+DE213+DL213+DS213+DZ213+EG213+EN213+EU213</f>
        <v>60.629999999999995</v>
      </c>
      <c r="E213" s="2">
        <f t="shared" ref="E213:E239" si="23">L213+S213+Z213+AG213+AN213+AU213+BB213+BI213+BP213+BW213+CD213+CK213+CR213+CY213+DF213+DM213+DT213+EA213+EH213+EO213+EV213</f>
        <v>27.192</v>
      </c>
      <c r="F213" s="2">
        <f t="shared" ref="F213:F239" si="24">M213+T213+AA213+AH213+AO213+AV213+BC213+BJ213+BQ213+BX213+CE213+CL213+CS213+CZ213+DG213+DN213+DU213+EB213+EI213+EP213+EW213</f>
        <v>38.638000000000005</v>
      </c>
      <c r="G213" t="s">
        <v>24</v>
      </c>
      <c r="H213" t="s">
        <v>25</v>
      </c>
      <c r="I213">
        <v>177</v>
      </c>
      <c r="J213">
        <v>261.95999999999998</v>
      </c>
      <c r="K213">
        <v>19.47</v>
      </c>
      <c r="L213">
        <v>2.8319999999999999</v>
      </c>
      <c r="M213">
        <v>17.7</v>
      </c>
      <c r="N213" t="s">
        <v>27</v>
      </c>
      <c r="O213" t="s">
        <v>28</v>
      </c>
      <c r="P213">
        <v>63</v>
      </c>
      <c r="Q213">
        <v>205.38</v>
      </c>
      <c r="R213">
        <v>13.86</v>
      </c>
      <c r="S213">
        <v>20.16</v>
      </c>
      <c r="T213">
        <v>1.6379999999999999</v>
      </c>
      <c r="U213" t="s">
        <v>43</v>
      </c>
      <c r="V213" t="s">
        <v>44</v>
      </c>
      <c r="W213">
        <v>100</v>
      </c>
      <c r="X213">
        <v>344.6</v>
      </c>
      <c r="Y213">
        <v>27.3</v>
      </c>
      <c r="Z213">
        <v>4.2</v>
      </c>
      <c r="AA213">
        <v>19.3</v>
      </c>
    </row>
    <row r="214" spans="1:153" x14ac:dyDescent="0.35">
      <c r="A214" t="s">
        <v>519</v>
      </c>
      <c r="B214" s="2">
        <f t="shared" si="20"/>
        <v>204.7</v>
      </c>
      <c r="C214" s="2">
        <f t="shared" si="21"/>
        <v>89</v>
      </c>
      <c r="D214" s="2">
        <f t="shared" si="22"/>
        <v>4.806</v>
      </c>
      <c r="E214" s="2">
        <f t="shared" si="23"/>
        <v>34.71</v>
      </c>
      <c r="F214" s="2">
        <f t="shared" si="24"/>
        <v>5.5179999999999998</v>
      </c>
      <c r="G214" t="s">
        <v>129</v>
      </c>
      <c r="H214" t="s">
        <v>130</v>
      </c>
      <c r="I214">
        <v>89</v>
      </c>
      <c r="J214">
        <v>204.7</v>
      </c>
      <c r="K214">
        <v>4.806</v>
      </c>
      <c r="L214">
        <v>34.71</v>
      </c>
      <c r="M214">
        <v>5.5179999999999998</v>
      </c>
    </row>
    <row r="215" spans="1:153" x14ac:dyDescent="0.35">
      <c r="A215" t="s">
        <v>520</v>
      </c>
      <c r="B215" s="2">
        <f t="shared" si="20"/>
        <v>329.28</v>
      </c>
      <c r="C215" s="2">
        <f t="shared" si="21"/>
        <v>211</v>
      </c>
      <c r="D215" s="2">
        <f t="shared" si="22"/>
        <v>20.51</v>
      </c>
      <c r="E215" s="2">
        <f t="shared" si="23"/>
        <v>17.776</v>
      </c>
      <c r="F215" s="2">
        <f t="shared" si="24"/>
        <v>17</v>
      </c>
      <c r="G215" t="s">
        <v>24</v>
      </c>
      <c r="H215" t="s">
        <v>25</v>
      </c>
      <c r="I215">
        <v>111</v>
      </c>
      <c r="J215">
        <v>164.28</v>
      </c>
      <c r="K215">
        <v>12.21</v>
      </c>
      <c r="L215">
        <v>1.776</v>
      </c>
      <c r="M215">
        <v>11.1</v>
      </c>
      <c r="N215" t="s">
        <v>521</v>
      </c>
      <c r="O215" t="s">
        <v>522</v>
      </c>
      <c r="P215">
        <v>100</v>
      </c>
      <c r="Q215">
        <v>165</v>
      </c>
      <c r="R215">
        <v>8.3000000000000007</v>
      </c>
      <c r="S215">
        <v>16</v>
      </c>
      <c r="T215">
        <v>5.9</v>
      </c>
    </row>
    <row r="216" spans="1:153" x14ac:dyDescent="0.35">
      <c r="A216" t="s">
        <v>523</v>
      </c>
      <c r="B216" s="2">
        <f t="shared" si="20"/>
        <v>117.41</v>
      </c>
      <c r="C216" s="2">
        <f t="shared" si="21"/>
        <v>199</v>
      </c>
      <c r="D216" s="2">
        <f t="shared" si="22"/>
        <v>0.79600000000000004</v>
      </c>
      <c r="E216" s="2">
        <f t="shared" si="23"/>
        <v>7.1639999999999997</v>
      </c>
      <c r="F216" s="2">
        <f t="shared" si="24"/>
        <v>19.899999999999999</v>
      </c>
      <c r="G216" t="s">
        <v>95</v>
      </c>
      <c r="H216" t="s">
        <v>96</v>
      </c>
      <c r="I216">
        <v>199</v>
      </c>
      <c r="J216">
        <v>117.41</v>
      </c>
      <c r="K216">
        <v>0.79600000000000004</v>
      </c>
      <c r="L216">
        <v>7.1639999999999997</v>
      </c>
      <c r="M216">
        <v>19.899999999999999</v>
      </c>
    </row>
    <row r="217" spans="1:153" x14ac:dyDescent="0.35">
      <c r="A217" t="s">
        <v>524</v>
      </c>
      <c r="B217" s="2">
        <f t="shared" si="20"/>
        <v>371.64</v>
      </c>
      <c r="C217" s="2">
        <f t="shared" si="21"/>
        <v>114</v>
      </c>
      <c r="D217" s="2">
        <f t="shared" si="22"/>
        <v>25.08</v>
      </c>
      <c r="E217" s="2">
        <f t="shared" si="23"/>
        <v>36.479999999999997</v>
      </c>
      <c r="F217" s="2">
        <f t="shared" si="24"/>
        <v>2.964</v>
      </c>
      <c r="G217" t="s">
        <v>27</v>
      </c>
      <c r="H217" t="s">
        <v>28</v>
      </c>
      <c r="I217">
        <v>114</v>
      </c>
      <c r="J217">
        <v>371.64</v>
      </c>
      <c r="K217">
        <v>25.08</v>
      </c>
      <c r="L217">
        <v>36.479999999999997</v>
      </c>
      <c r="M217">
        <v>2.964</v>
      </c>
    </row>
    <row r="218" spans="1:153" x14ac:dyDescent="0.35">
      <c r="A218" t="s">
        <v>525</v>
      </c>
      <c r="B218" s="2">
        <f t="shared" si="20"/>
        <v>540.56247637000001</v>
      </c>
      <c r="C218" s="2">
        <f t="shared" si="21"/>
        <v>388.00001600000007</v>
      </c>
      <c r="D218" s="2">
        <f t="shared" si="22"/>
        <v>30.546075002000002</v>
      </c>
      <c r="E218" s="2">
        <f t="shared" si="23"/>
        <v>28.167211352999999</v>
      </c>
      <c r="F218" s="2">
        <f t="shared" si="24"/>
        <v>38.072851460000003</v>
      </c>
      <c r="G218" t="s">
        <v>41</v>
      </c>
      <c r="H218" t="s">
        <v>42</v>
      </c>
      <c r="I218">
        <v>45.926898999999999</v>
      </c>
      <c r="J218">
        <v>16.074414650000001</v>
      </c>
      <c r="K218">
        <v>0.183707596</v>
      </c>
      <c r="L218">
        <v>3.2148829299999999</v>
      </c>
      <c r="M218">
        <v>1.1022455760000001</v>
      </c>
      <c r="N218" t="s">
        <v>49</v>
      </c>
      <c r="O218" t="s">
        <v>50</v>
      </c>
      <c r="P218">
        <v>161.90477000000001</v>
      </c>
      <c r="Q218">
        <v>251.27620304000001</v>
      </c>
      <c r="R218">
        <v>11.65714344</v>
      </c>
      <c r="S218">
        <v>0</v>
      </c>
      <c r="T218">
        <v>34.000001699999999</v>
      </c>
      <c r="U218" t="s">
        <v>7</v>
      </c>
      <c r="V218" t="s">
        <v>8</v>
      </c>
      <c r="W218">
        <v>0.86112900000000003</v>
      </c>
      <c r="X218">
        <v>7.6123803600000004</v>
      </c>
      <c r="Y218">
        <v>0.86112900000000003</v>
      </c>
      <c r="Z218">
        <v>0</v>
      </c>
      <c r="AA218">
        <v>0</v>
      </c>
      <c r="AB218" t="s">
        <v>156</v>
      </c>
      <c r="AC218" t="s">
        <v>157</v>
      </c>
      <c r="AD218">
        <v>0.632822</v>
      </c>
      <c r="AE218">
        <v>2.4996469000000001</v>
      </c>
      <c r="AF218">
        <v>3.2273921999999997E-2</v>
      </c>
      <c r="AG218">
        <v>0.451202086</v>
      </c>
      <c r="AH218">
        <v>8.3532503999999994E-2</v>
      </c>
      <c r="AI218" t="s">
        <v>53</v>
      </c>
      <c r="AJ218" t="s">
        <v>54</v>
      </c>
      <c r="AK218">
        <v>161.90477000000001</v>
      </c>
      <c r="AL218">
        <v>146.84762638999999</v>
      </c>
      <c r="AM218">
        <v>4.6952383299999996</v>
      </c>
      <c r="AN218">
        <v>24.447620270000002</v>
      </c>
      <c r="AO218">
        <v>2.7523810900000001</v>
      </c>
      <c r="AP218" t="s">
        <v>11</v>
      </c>
      <c r="AQ218" t="s">
        <v>12</v>
      </c>
      <c r="AR218">
        <v>5.0629999999999998E-3</v>
      </c>
      <c r="AS218">
        <v>0</v>
      </c>
      <c r="AT218">
        <v>0</v>
      </c>
      <c r="AU218">
        <v>0</v>
      </c>
      <c r="AV218">
        <v>0</v>
      </c>
      <c r="AW218" t="s">
        <v>55</v>
      </c>
      <c r="AX218" t="s">
        <v>56</v>
      </c>
      <c r="AY218">
        <v>16.190477000000001</v>
      </c>
      <c r="AZ218">
        <v>116.08572009</v>
      </c>
      <c r="BA218">
        <v>13.11428637</v>
      </c>
      <c r="BB218">
        <v>1.6190477000000002E-2</v>
      </c>
      <c r="BC218">
        <v>0.12952381600000001</v>
      </c>
      <c r="BD218" t="s">
        <v>36</v>
      </c>
      <c r="BE218" t="s">
        <v>37</v>
      </c>
      <c r="BF218">
        <v>0.57408599999999999</v>
      </c>
      <c r="BG218">
        <v>0.16648494</v>
      </c>
      <c r="BH218">
        <v>2.2963440000000001E-3</v>
      </c>
      <c r="BI218">
        <v>3.7315590000000003E-2</v>
      </c>
      <c r="BJ218">
        <v>5.1667739999999998E-3</v>
      </c>
    </row>
    <row r="219" spans="1:153" x14ac:dyDescent="0.35">
      <c r="A219" t="s">
        <v>526</v>
      </c>
      <c r="B219" s="2">
        <f t="shared" si="20"/>
        <v>642.76190682899994</v>
      </c>
      <c r="C219" s="2">
        <f t="shared" si="21"/>
        <v>424.99999800000001</v>
      </c>
      <c r="D219" s="2">
        <f t="shared" si="22"/>
        <v>36.833333810999996</v>
      </c>
      <c r="E219" s="2">
        <f t="shared" si="23"/>
        <v>30.579761696999999</v>
      </c>
      <c r="F219" s="2">
        <f t="shared" si="24"/>
        <v>46.102380644999997</v>
      </c>
      <c r="G219" t="s">
        <v>49</v>
      </c>
      <c r="H219" t="s">
        <v>50</v>
      </c>
      <c r="I219">
        <v>202.38095100000001</v>
      </c>
      <c r="J219">
        <v>314.095235952</v>
      </c>
      <c r="K219">
        <v>14.571428471999999</v>
      </c>
      <c r="L219">
        <v>0</v>
      </c>
      <c r="M219">
        <v>42.499999709999997</v>
      </c>
      <c r="N219" t="s">
        <v>53</v>
      </c>
      <c r="O219" t="s">
        <v>54</v>
      </c>
      <c r="P219">
        <v>202.38095100000001</v>
      </c>
      <c r="Q219">
        <v>183.55952255700001</v>
      </c>
      <c r="R219">
        <v>5.8690475790000001</v>
      </c>
      <c r="S219">
        <v>30.559523600999999</v>
      </c>
      <c r="T219">
        <v>3.4404761669999999</v>
      </c>
      <c r="U219" t="s">
        <v>55</v>
      </c>
      <c r="V219" t="s">
        <v>56</v>
      </c>
      <c r="W219">
        <v>20.238095999999999</v>
      </c>
      <c r="X219">
        <v>145.10714831999999</v>
      </c>
      <c r="Y219">
        <v>16.392857759999998</v>
      </c>
      <c r="Z219">
        <v>2.0238096000000001E-2</v>
      </c>
      <c r="AA219">
        <v>0.161904768</v>
      </c>
    </row>
    <row r="220" spans="1:153" x14ac:dyDescent="0.35">
      <c r="A220" t="s">
        <v>527</v>
      </c>
      <c r="B220" s="2">
        <f t="shared" si="20"/>
        <v>528.53</v>
      </c>
      <c r="C220" s="2">
        <f t="shared" si="21"/>
        <v>143</v>
      </c>
      <c r="D220" s="2">
        <f t="shared" si="22"/>
        <v>37.26</v>
      </c>
      <c r="E220" s="2">
        <f t="shared" si="23"/>
        <v>36.885999999999996</v>
      </c>
      <c r="F220" s="2">
        <f t="shared" si="24"/>
        <v>13.694000000000001</v>
      </c>
      <c r="G220" t="s">
        <v>63</v>
      </c>
      <c r="H220" t="s">
        <v>64</v>
      </c>
      <c r="I220">
        <v>29</v>
      </c>
      <c r="J220">
        <v>156.88999999999999</v>
      </c>
      <c r="K220">
        <v>12.18</v>
      </c>
      <c r="L220">
        <v>0.40600000000000003</v>
      </c>
      <c r="M220">
        <v>10.73</v>
      </c>
      <c r="N220" t="s">
        <v>27</v>
      </c>
      <c r="O220" t="s">
        <v>28</v>
      </c>
      <c r="P220">
        <v>114</v>
      </c>
      <c r="Q220">
        <v>371.64</v>
      </c>
      <c r="R220">
        <v>25.08</v>
      </c>
      <c r="S220">
        <v>36.479999999999997</v>
      </c>
      <c r="T220">
        <v>2.964</v>
      </c>
    </row>
    <row r="221" spans="1:153" x14ac:dyDescent="0.35">
      <c r="A221" t="s">
        <v>528</v>
      </c>
      <c r="B221" s="2">
        <f t="shared" si="20"/>
        <v>257.47399316399998</v>
      </c>
      <c r="C221" s="2">
        <f t="shared" si="21"/>
        <v>112.99999899999999</v>
      </c>
      <c r="D221" s="2">
        <f t="shared" si="22"/>
        <v>12.241439137999999</v>
      </c>
      <c r="E221" s="2">
        <f t="shared" si="23"/>
        <v>29.677372741999999</v>
      </c>
      <c r="F221" s="2">
        <f t="shared" si="24"/>
        <v>10.653204047999999</v>
      </c>
      <c r="G221" t="s">
        <v>408</v>
      </c>
      <c r="H221" t="s">
        <v>409</v>
      </c>
      <c r="I221">
        <v>8.8132859999999997</v>
      </c>
      <c r="J221">
        <v>7.84382454</v>
      </c>
      <c r="K221">
        <v>2.6439858E-2</v>
      </c>
      <c r="L221">
        <v>2.02705578</v>
      </c>
      <c r="M221">
        <v>9.6946145999999997E-2</v>
      </c>
      <c r="N221" t="s">
        <v>410</v>
      </c>
      <c r="O221" t="s">
        <v>411</v>
      </c>
      <c r="P221">
        <v>27.761361999999998</v>
      </c>
      <c r="Q221">
        <v>153.631377308</v>
      </c>
      <c r="R221">
        <v>11.992908384</v>
      </c>
      <c r="S221">
        <v>8.5782608580000002</v>
      </c>
      <c r="T221">
        <v>4.9415224359999996</v>
      </c>
      <c r="U221" t="s">
        <v>412</v>
      </c>
      <c r="V221" t="s">
        <v>413</v>
      </c>
      <c r="W221">
        <v>55.522723999999997</v>
      </c>
      <c r="X221">
        <v>32.702884435999998</v>
      </c>
      <c r="Y221">
        <v>0.22209089600000001</v>
      </c>
      <c r="Z221">
        <v>1.9988180639999999</v>
      </c>
      <c r="AA221">
        <v>5.5522723999999997</v>
      </c>
      <c r="AB221" t="s">
        <v>11</v>
      </c>
      <c r="AC221" t="s">
        <v>12</v>
      </c>
      <c r="AD221">
        <v>8.1604999999999997E-2</v>
      </c>
      <c r="AE221">
        <v>0</v>
      </c>
      <c r="AF221">
        <v>0</v>
      </c>
      <c r="AG221">
        <v>0</v>
      </c>
      <c r="AH221">
        <v>0</v>
      </c>
      <c r="AI221" t="s">
        <v>202</v>
      </c>
      <c r="AJ221" t="s">
        <v>203</v>
      </c>
      <c r="AK221">
        <v>20.821021999999999</v>
      </c>
      <c r="AL221">
        <v>63.295906879999997</v>
      </c>
      <c r="AM221">
        <v>0</v>
      </c>
      <c r="AN221">
        <v>17.07323804</v>
      </c>
      <c r="AO221">
        <v>6.2463065999999998E-2</v>
      </c>
    </row>
    <row r="222" spans="1:153" x14ac:dyDescent="0.35">
      <c r="A222" t="s">
        <v>529</v>
      </c>
      <c r="B222" s="2">
        <f t="shared" si="20"/>
        <v>172.394652065</v>
      </c>
      <c r="C222" s="2">
        <f t="shared" si="21"/>
        <v>85.000001000000012</v>
      </c>
      <c r="D222" s="2">
        <f t="shared" si="22"/>
        <v>9.8332758370000004</v>
      </c>
      <c r="E222" s="2">
        <f t="shared" si="23"/>
        <v>13.718080416000001</v>
      </c>
      <c r="F222" s="2">
        <f t="shared" si="24"/>
        <v>7.6445538859999989</v>
      </c>
      <c r="G222" t="s">
        <v>41</v>
      </c>
      <c r="H222" t="s">
        <v>42</v>
      </c>
      <c r="I222">
        <v>14.352157</v>
      </c>
      <c r="J222">
        <v>5.0232549500000001</v>
      </c>
      <c r="K222">
        <v>5.7408628000000003E-2</v>
      </c>
      <c r="L222">
        <v>1.00465099</v>
      </c>
      <c r="M222">
        <v>0.34445176799999999</v>
      </c>
      <c r="N222" t="s">
        <v>7</v>
      </c>
      <c r="O222" t="s">
        <v>8</v>
      </c>
      <c r="P222">
        <v>5.1672570000000002</v>
      </c>
      <c r="Q222">
        <v>45.678551880000001</v>
      </c>
      <c r="R222">
        <v>5.1672570000000002</v>
      </c>
      <c r="S222">
        <v>0</v>
      </c>
      <c r="T222">
        <v>0</v>
      </c>
      <c r="U222" t="s">
        <v>156</v>
      </c>
      <c r="V222" t="s">
        <v>157</v>
      </c>
      <c r="W222">
        <v>0.19775699999999999</v>
      </c>
      <c r="X222">
        <v>0.78114015000000003</v>
      </c>
      <c r="Y222">
        <v>1.0085607E-2</v>
      </c>
      <c r="Z222">
        <v>0.14100074100000001</v>
      </c>
      <c r="AA222">
        <v>2.6103924000000001E-2</v>
      </c>
      <c r="AB222" t="s">
        <v>51</v>
      </c>
      <c r="AC222" t="s">
        <v>52</v>
      </c>
      <c r="AD222">
        <v>19.592614999999999</v>
      </c>
      <c r="AE222">
        <v>54.38909924</v>
      </c>
      <c r="AF222">
        <v>3.350337165</v>
      </c>
      <c r="AG222">
        <v>0.62696368000000002</v>
      </c>
      <c r="AH222">
        <v>5.4859321999999997</v>
      </c>
      <c r="AI222" t="s">
        <v>11</v>
      </c>
      <c r="AJ222" t="s">
        <v>12</v>
      </c>
      <c r="AK222">
        <v>1.5820000000000001E-3</v>
      </c>
      <c r="AL222">
        <v>0</v>
      </c>
      <c r="AM222">
        <v>0</v>
      </c>
      <c r="AN222">
        <v>0</v>
      </c>
      <c r="AO222">
        <v>0</v>
      </c>
      <c r="AP222" t="s">
        <v>36</v>
      </c>
      <c r="AQ222" t="s">
        <v>37</v>
      </c>
      <c r="AR222">
        <v>0.17940200000000001</v>
      </c>
      <c r="AS222">
        <v>5.2026580000000003E-2</v>
      </c>
      <c r="AT222">
        <v>7.17608E-4</v>
      </c>
      <c r="AU222">
        <v>1.166113E-2</v>
      </c>
      <c r="AV222">
        <v>1.614618E-3</v>
      </c>
      <c r="AW222" t="s">
        <v>57</v>
      </c>
      <c r="AX222" t="s">
        <v>58</v>
      </c>
      <c r="AY222">
        <v>4.8981539999999999</v>
      </c>
      <c r="AZ222">
        <v>1.17555696</v>
      </c>
      <c r="BA222">
        <v>0</v>
      </c>
      <c r="BB222">
        <v>9.7963079999999994E-2</v>
      </c>
      <c r="BC222">
        <v>0.19592615999999999</v>
      </c>
      <c r="BD222" t="s">
        <v>59</v>
      </c>
      <c r="BF222">
        <v>25.916615</v>
      </c>
      <c r="BG222">
        <v>61.033628325000002</v>
      </c>
      <c r="BH222">
        <v>1.2180809050000001</v>
      </c>
      <c r="BI222">
        <v>10.807228455000001</v>
      </c>
      <c r="BJ222">
        <v>1.39949721</v>
      </c>
      <c r="BK222" t="s">
        <v>60</v>
      </c>
      <c r="BM222">
        <v>14.694462</v>
      </c>
      <c r="BN222">
        <v>4.2613939800000002</v>
      </c>
      <c r="BO222">
        <v>2.9388924E-2</v>
      </c>
      <c r="BP222">
        <v>1.02861234</v>
      </c>
      <c r="BQ222">
        <v>0.191028006</v>
      </c>
    </row>
    <row r="223" spans="1:153" x14ac:dyDescent="0.35">
      <c r="A223" t="s">
        <v>530</v>
      </c>
      <c r="B223" s="2">
        <f t="shared" si="20"/>
        <v>96.150484065000001</v>
      </c>
      <c r="C223" s="2">
        <f t="shared" si="21"/>
        <v>41</v>
      </c>
      <c r="D223" s="2">
        <f t="shared" si="22"/>
        <v>5.5619202939999992</v>
      </c>
      <c r="E223" s="2">
        <f t="shared" si="23"/>
        <v>7.3570207270000001</v>
      </c>
      <c r="F223" s="2">
        <f t="shared" si="24"/>
        <v>4.259539062</v>
      </c>
      <c r="G223" t="s">
        <v>7</v>
      </c>
      <c r="H223" t="s">
        <v>8</v>
      </c>
      <c r="I223">
        <v>2.868919</v>
      </c>
      <c r="J223">
        <v>25.361243959999999</v>
      </c>
      <c r="K223">
        <v>2.868919</v>
      </c>
      <c r="L223">
        <v>0</v>
      </c>
      <c r="M223">
        <v>0</v>
      </c>
      <c r="N223" t="s">
        <v>51</v>
      </c>
      <c r="O223" t="s">
        <v>52</v>
      </c>
      <c r="P223">
        <v>11.475675000000001</v>
      </c>
      <c r="Q223">
        <v>31.8564738</v>
      </c>
      <c r="R223">
        <v>1.9623404250000001</v>
      </c>
      <c r="S223">
        <v>0.36722159999999998</v>
      </c>
      <c r="T223">
        <v>3.2131889999999999</v>
      </c>
      <c r="U223" t="s">
        <v>57</v>
      </c>
      <c r="V223" t="s">
        <v>58</v>
      </c>
      <c r="W223">
        <v>2.868919</v>
      </c>
      <c r="X223">
        <v>0.68854055999999997</v>
      </c>
      <c r="Y223">
        <v>0</v>
      </c>
      <c r="Z223">
        <v>5.737838E-2</v>
      </c>
      <c r="AA223">
        <v>0.11475676</v>
      </c>
      <c r="AB223" t="s">
        <v>59</v>
      </c>
      <c r="AD223">
        <v>15.179731</v>
      </c>
      <c r="AE223">
        <v>35.748266504999997</v>
      </c>
      <c r="AF223">
        <v>0.71344735699999995</v>
      </c>
      <c r="AG223">
        <v>6.3299478269999998</v>
      </c>
      <c r="AH223">
        <v>0.81970547400000005</v>
      </c>
      <c r="AI223" t="s">
        <v>60</v>
      </c>
      <c r="AK223">
        <v>8.6067560000000007</v>
      </c>
      <c r="AL223">
        <v>2.4959592399999999</v>
      </c>
      <c r="AM223">
        <v>1.7213512E-2</v>
      </c>
      <c r="AN223">
        <v>0.60247291999999997</v>
      </c>
      <c r="AO223">
        <v>0.11188782799999999</v>
      </c>
    </row>
    <row r="224" spans="1:153" x14ac:dyDescent="0.35">
      <c r="A224" t="s">
        <v>531</v>
      </c>
      <c r="B224" s="2">
        <f t="shared" si="20"/>
        <v>394.12169133100002</v>
      </c>
      <c r="C224" s="2">
        <f t="shared" si="21"/>
        <v>317.99999800000001</v>
      </c>
      <c r="D224" s="2">
        <f t="shared" si="22"/>
        <v>6.9967242550000002</v>
      </c>
      <c r="E224" s="2">
        <f t="shared" si="23"/>
        <v>70.755986350000001</v>
      </c>
      <c r="F224" s="2">
        <f t="shared" si="24"/>
        <v>11.764151493</v>
      </c>
      <c r="G224" t="s">
        <v>34</v>
      </c>
      <c r="H224" t="s">
        <v>35</v>
      </c>
      <c r="I224">
        <v>56.901642000000002</v>
      </c>
      <c r="J224">
        <v>14.225410500000001</v>
      </c>
      <c r="K224">
        <v>0.17070492600000001</v>
      </c>
      <c r="L224">
        <v>2.8450820999999999</v>
      </c>
      <c r="M224">
        <v>1.0242295560000001</v>
      </c>
      <c r="N224" t="s">
        <v>198</v>
      </c>
      <c r="O224" t="s">
        <v>199</v>
      </c>
      <c r="P224">
        <v>119.259979</v>
      </c>
      <c r="Q224">
        <v>24.448295694999999</v>
      </c>
      <c r="R224">
        <v>0.35777993699999999</v>
      </c>
      <c r="S224">
        <v>4.054839286</v>
      </c>
      <c r="T224">
        <v>1.0733398110000001</v>
      </c>
      <c r="U224" t="s">
        <v>328</v>
      </c>
      <c r="V224" t="s">
        <v>329</v>
      </c>
      <c r="W224">
        <v>9.7267759999999992</v>
      </c>
      <c r="X224">
        <v>1.06994536</v>
      </c>
      <c r="Y224">
        <v>1.9453551999999999E-2</v>
      </c>
      <c r="Z224">
        <v>0.22371584799999999</v>
      </c>
      <c r="AA224">
        <v>2.9180327999999998E-2</v>
      </c>
      <c r="AB224" t="s">
        <v>237</v>
      </c>
      <c r="AC224" t="s">
        <v>238</v>
      </c>
      <c r="AD224">
        <v>19.453551999999998</v>
      </c>
      <c r="AE224">
        <v>29.627759695999998</v>
      </c>
      <c r="AF224">
        <v>1.886994544</v>
      </c>
      <c r="AG224">
        <v>2.879125696</v>
      </c>
      <c r="AH224">
        <v>0.19453551999999999</v>
      </c>
      <c r="AI224" t="s">
        <v>330</v>
      </c>
      <c r="AJ224" t="s">
        <v>331</v>
      </c>
      <c r="AK224">
        <v>4.8633879999999996</v>
      </c>
      <c r="AL224">
        <v>8.3650273599999991</v>
      </c>
      <c r="AM224">
        <v>2.9180327999999998E-2</v>
      </c>
      <c r="AN224">
        <v>1.99398908</v>
      </c>
      <c r="AO224">
        <v>3.8907103999999998E-2</v>
      </c>
      <c r="AP224" t="s">
        <v>7</v>
      </c>
      <c r="AQ224" t="s">
        <v>8</v>
      </c>
      <c r="AR224">
        <v>2.2361249999999999</v>
      </c>
      <c r="AS224">
        <v>19.767344999999999</v>
      </c>
      <c r="AT224">
        <v>2.2361249999999999</v>
      </c>
      <c r="AU224">
        <v>0</v>
      </c>
      <c r="AV224">
        <v>0</v>
      </c>
      <c r="AW224" t="s">
        <v>11</v>
      </c>
      <c r="AX224" t="s">
        <v>12</v>
      </c>
      <c r="AY224">
        <v>8.1767000000000006E-2</v>
      </c>
      <c r="AZ224">
        <v>0</v>
      </c>
      <c r="BA224">
        <v>0</v>
      </c>
      <c r="BB224">
        <v>0</v>
      </c>
      <c r="BC224">
        <v>0</v>
      </c>
      <c r="BD224" t="s">
        <v>403</v>
      </c>
      <c r="BE224" t="s">
        <v>404</v>
      </c>
      <c r="BF224">
        <v>1.49075</v>
      </c>
      <c r="BG224">
        <v>4.2039150000000003</v>
      </c>
      <c r="BH224">
        <v>5.9630000000000004E-3</v>
      </c>
      <c r="BI224">
        <v>1.1180625</v>
      </c>
      <c r="BJ224">
        <v>3.7268750000000003E-2</v>
      </c>
      <c r="BK224" t="s">
        <v>243</v>
      </c>
      <c r="BL224" t="s">
        <v>244</v>
      </c>
      <c r="BM224">
        <v>102.93066399999999</v>
      </c>
      <c r="BN224">
        <v>283.059326</v>
      </c>
      <c r="BO224">
        <v>1.2351679680000001</v>
      </c>
      <c r="BP224">
        <v>57.641171839999998</v>
      </c>
      <c r="BQ224">
        <v>9.3666904239999997</v>
      </c>
      <c r="BR224" t="s">
        <v>170</v>
      </c>
      <c r="BT224">
        <v>1.055355</v>
      </c>
      <c r="BU224">
        <v>9.3546667200000009</v>
      </c>
      <c r="BV224">
        <v>1.055355</v>
      </c>
      <c r="BW224">
        <v>0</v>
      </c>
      <c r="BX224">
        <v>0</v>
      </c>
    </row>
    <row r="225" spans="1:69" x14ac:dyDescent="0.35">
      <c r="A225" t="s">
        <v>532</v>
      </c>
      <c r="B225" s="2">
        <f t="shared" si="20"/>
        <v>47.632243365000001</v>
      </c>
      <c r="C225" s="2">
        <f t="shared" si="21"/>
        <v>121</v>
      </c>
      <c r="D225" s="2">
        <f t="shared" si="22"/>
        <v>2.5575934190000003</v>
      </c>
      <c r="E225" s="2">
        <f t="shared" si="23"/>
        <v>5.0887894620000003</v>
      </c>
      <c r="F225" s="2">
        <f t="shared" si="24"/>
        <v>1.0925498870000001</v>
      </c>
      <c r="G225" t="s">
        <v>198</v>
      </c>
      <c r="H225" t="s">
        <v>199</v>
      </c>
      <c r="I225">
        <v>117.32079299999999</v>
      </c>
      <c r="J225">
        <v>24.050762564999999</v>
      </c>
      <c r="K225">
        <v>0.35196237899999999</v>
      </c>
      <c r="L225">
        <v>3.9889069620000002</v>
      </c>
      <c r="M225">
        <v>1.055887137</v>
      </c>
      <c r="N225" t="s">
        <v>7</v>
      </c>
      <c r="O225" t="s">
        <v>8</v>
      </c>
      <c r="P225">
        <v>2.1997650000000002</v>
      </c>
      <c r="Q225">
        <v>19.445922599999999</v>
      </c>
      <c r="R225">
        <v>2.1997650000000002</v>
      </c>
      <c r="S225">
        <v>0</v>
      </c>
      <c r="T225">
        <v>0</v>
      </c>
      <c r="U225" t="s">
        <v>11</v>
      </c>
      <c r="V225" t="s">
        <v>12</v>
      </c>
      <c r="W225">
        <v>1.2932000000000001E-2</v>
      </c>
      <c r="X225">
        <v>0</v>
      </c>
      <c r="Y225">
        <v>0</v>
      </c>
      <c r="Z225">
        <v>0</v>
      </c>
      <c r="AA225">
        <v>0</v>
      </c>
      <c r="AB225" t="s">
        <v>403</v>
      </c>
      <c r="AC225" t="s">
        <v>404</v>
      </c>
      <c r="AD225">
        <v>1.46651</v>
      </c>
      <c r="AE225">
        <v>4.1355582000000002</v>
      </c>
      <c r="AF225">
        <v>5.8660400000000003E-3</v>
      </c>
      <c r="AG225">
        <v>1.0998825000000001</v>
      </c>
      <c r="AH225">
        <v>3.6662750000000001E-2</v>
      </c>
    </row>
    <row r="226" spans="1:69" x14ac:dyDescent="0.35">
      <c r="A226" t="s">
        <v>533</v>
      </c>
      <c r="B226" s="2">
        <f t="shared" si="20"/>
        <v>155.07</v>
      </c>
      <c r="C226" s="2">
        <f t="shared" si="21"/>
        <v>45</v>
      </c>
      <c r="D226" s="2">
        <f t="shared" si="22"/>
        <v>12.285</v>
      </c>
      <c r="E226" s="2">
        <f t="shared" si="23"/>
        <v>1.89</v>
      </c>
      <c r="F226" s="2">
        <f t="shared" si="24"/>
        <v>8.6850000000000005</v>
      </c>
      <c r="G226" t="s">
        <v>43</v>
      </c>
      <c r="H226" t="s">
        <v>44</v>
      </c>
      <c r="I226">
        <v>45</v>
      </c>
      <c r="J226">
        <v>155.07</v>
      </c>
      <c r="K226">
        <v>12.285</v>
      </c>
      <c r="L226">
        <v>1.89</v>
      </c>
      <c r="M226">
        <v>8.6850000000000005</v>
      </c>
    </row>
    <row r="227" spans="1:69" x14ac:dyDescent="0.35">
      <c r="A227" t="s">
        <v>534</v>
      </c>
      <c r="B227" s="2">
        <f t="shared" si="20"/>
        <v>234.328</v>
      </c>
      <c r="C227" s="2">
        <f t="shared" si="21"/>
        <v>68</v>
      </c>
      <c r="D227" s="2">
        <f t="shared" si="22"/>
        <v>18.564</v>
      </c>
      <c r="E227" s="2">
        <f t="shared" si="23"/>
        <v>2.8559999999999999</v>
      </c>
      <c r="F227" s="2">
        <f t="shared" si="24"/>
        <v>13.124000000000001</v>
      </c>
      <c r="G227" t="s">
        <v>43</v>
      </c>
      <c r="H227" t="s">
        <v>44</v>
      </c>
      <c r="I227">
        <v>68</v>
      </c>
      <c r="J227">
        <v>234.328</v>
      </c>
      <c r="K227">
        <v>18.564</v>
      </c>
      <c r="L227">
        <v>2.8559999999999999</v>
      </c>
      <c r="M227">
        <v>13.124000000000001</v>
      </c>
    </row>
    <row r="228" spans="1:69" x14ac:dyDescent="0.35">
      <c r="A228" t="s">
        <v>535</v>
      </c>
      <c r="B228" s="2">
        <f t="shared" si="20"/>
        <v>194.76</v>
      </c>
      <c r="C228" s="2">
        <f t="shared" si="21"/>
        <v>36</v>
      </c>
      <c r="D228" s="2">
        <f t="shared" si="22"/>
        <v>15.12</v>
      </c>
      <c r="E228" s="2">
        <f t="shared" si="23"/>
        <v>0.504</v>
      </c>
      <c r="F228" s="2">
        <f t="shared" si="24"/>
        <v>13.32</v>
      </c>
      <c r="G228" t="s">
        <v>63</v>
      </c>
      <c r="H228" t="s">
        <v>64</v>
      </c>
      <c r="I228">
        <v>36</v>
      </c>
      <c r="J228">
        <v>194.76</v>
      </c>
      <c r="K228">
        <v>15.12</v>
      </c>
      <c r="L228">
        <v>0.504</v>
      </c>
      <c r="M228">
        <v>13.32</v>
      </c>
    </row>
    <row r="229" spans="1:69" x14ac:dyDescent="0.35">
      <c r="A229" t="s">
        <v>536</v>
      </c>
      <c r="B229" s="2">
        <f t="shared" si="20"/>
        <v>340.04437926200001</v>
      </c>
      <c r="C229" s="2">
        <f t="shared" si="21"/>
        <v>144.99999800000001</v>
      </c>
      <c r="D229" s="2">
        <f t="shared" si="22"/>
        <v>19.670203743999998</v>
      </c>
      <c r="E229" s="2">
        <f t="shared" si="23"/>
        <v>26.018733230000002</v>
      </c>
      <c r="F229" s="2">
        <f t="shared" si="24"/>
        <v>15.064222996</v>
      </c>
      <c r="G229" t="s">
        <v>7</v>
      </c>
      <c r="H229" t="s">
        <v>8</v>
      </c>
      <c r="I229">
        <v>10.146174999999999</v>
      </c>
      <c r="J229">
        <v>89.692187000000004</v>
      </c>
      <c r="K229">
        <v>10.146174999999999</v>
      </c>
      <c r="L229">
        <v>0</v>
      </c>
      <c r="M229">
        <v>0</v>
      </c>
      <c r="N229" t="s">
        <v>51</v>
      </c>
      <c r="O229" t="s">
        <v>52</v>
      </c>
      <c r="P229">
        <v>40.584702</v>
      </c>
      <c r="Q229">
        <v>112.663132752</v>
      </c>
      <c r="R229">
        <v>6.9399840419999999</v>
      </c>
      <c r="S229">
        <v>1.298710464</v>
      </c>
      <c r="T229">
        <v>11.36371656</v>
      </c>
      <c r="U229" t="s">
        <v>57</v>
      </c>
      <c r="V229" t="s">
        <v>58</v>
      </c>
      <c r="W229">
        <v>10.146174999999999</v>
      </c>
      <c r="X229">
        <v>2.435082</v>
      </c>
      <c r="Y229">
        <v>0</v>
      </c>
      <c r="Z229">
        <v>0.20292350000000001</v>
      </c>
      <c r="AA229">
        <v>0.40584700000000001</v>
      </c>
      <c r="AB229" t="s">
        <v>59</v>
      </c>
      <c r="AD229">
        <v>53.684418000000001</v>
      </c>
      <c r="AE229">
        <v>126.42680439</v>
      </c>
      <c r="AF229">
        <v>2.5231676460000001</v>
      </c>
      <c r="AG229">
        <v>22.386402306000001</v>
      </c>
      <c r="AH229">
        <v>2.8989585720000002</v>
      </c>
      <c r="AI229" t="s">
        <v>60</v>
      </c>
      <c r="AK229">
        <v>30.438528000000002</v>
      </c>
      <c r="AL229">
        <v>8.8271731199999994</v>
      </c>
      <c r="AM229">
        <v>6.0877055999999999E-2</v>
      </c>
      <c r="AN229">
        <v>2.1306969599999999</v>
      </c>
      <c r="AO229">
        <v>0.39570086399999999</v>
      </c>
    </row>
    <row r="230" spans="1:69" x14ac:dyDescent="0.35">
      <c r="A230" t="s">
        <v>537</v>
      </c>
      <c r="B230" s="2">
        <f t="shared" si="20"/>
        <v>140.70802706099997</v>
      </c>
      <c r="C230" s="2">
        <f t="shared" si="21"/>
        <v>60.000000999999997</v>
      </c>
      <c r="D230" s="2">
        <f t="shared" si="22"/>
        <v>8.1393955739999999</v>
      </c>
      <c r="E230" s="2">
        <f t="shared" si="23"/>
        <v>10.766372039</v>
      </c>
      <c r="F230" s="2">
        <f t="shared" si="24"/>
        <v>6.2334719029999999</v>
      </c>
      <c r="G230" t="s">
        <v>7</v>
      </c>
      <c r="H230" t="s">
        <v>8</v>
      </c>
      <c r="I230">
        <v>4.1984180000000002</v>
      </c>
      <c r="J230">
        <v>37.114015119999998</v>
      </c>
      <c r="K230">
        <v>4.1984180000000002</v>
      </c>
      <c r="L230">
        <v>0</v>
      </c>
      <c r="M230">
        <v>0</v>
      </c>
      <c r="N230" t="s">
        <v>51</v>
      </c>
      <c r="O230" t="s">
        <v>52</v>
      </c>
      <c r="P230">
        <v>16.793671</v>
      </c>
      <c r="Q230">
        <v>46.619230696000002</v>
      </c>
      <c r="R230">
        <v>2.8717177409999999</v>
      </c>
      <c r="S230">
        <v>0.53739747199999999</v>
      </c>
      <c r="T230">
        <v>4.7022278799999997</v>
      </c>
      <c r="U230" t="s">
        <v>57</v>
      </c>
      <c r="V230" t="s">
        <v>58</v>
      </c>
      <c r="W230">
        <v>4.1984180000000002</v>
      </c>
      <c r="X230">
        <v>1.00762032</v>
      </c>
      <c r="Y230">
        <v>0</v>
      </c>
      <c r="Z230">
        <v>8.3968360000000006E-2</v>
      </c>
      <c r="AA230">
        <v>0.16793672000000001</v>
      </c>
      <c r="AB230" t="s">
        <v>59</v>
      </c>
      <c r="AD230">
        <v>22.214241000000001</v>
      </c>
      <c r="AE230">
        <v>52.314537555000001</v>
      </c>
      <c r="AF230">
        <v>1.0440693270000001</v>
      </c>
      <c r="AG230">
        <v>9.2633384969999994</v>
      </c>
      <c r="AH230">
        <v>1.1995690139999999</v>
      </c>
      <c r="AI230" t="s">
        <v>60</v>
      </c>
      <c r="AK230">
        <v>12.595253</v>
      </c>
      <c r="AL230">
        <v>3.6526233700000001</v>
      </c>
      <c r="AM230">
        <v>2.5190506000000001E-2</v>
      </c>
      <c r="AN230">
        <v>0.88166770999999999</v>
      </c>
      <c r="AO230">
        <v>0.16373828900000001</v>
      </c>
    </row>
    <row r="231" spans="1:69" x14ac:dyDescent="0.35">
      <c r="A231" t="s">
        <v>538</v>
      </c>
      <c r="B231" s="2">
        <f t="shared" si="20"/>
        <v>406.29999999999995</v>
      </c>
      <c r="C231" s="2">
        <f t="shared" si="21"/>
        <v>189</v>
      </c>
      <c r="D231" s="2">
        <f t="shared" si="22"/>
        <v>29.013999999999999</v>
      </c>
      <c r="E231" s="2">
        <f t="shared" si="23"/>
        <v>22.172000000000001</v>
      </c>
      <c r="F231" s="2">
        <f t="shared" si="24"/>
        <v>14.43</v>
      </c>
      <c r="G231" t="s">
        <v>27</v>
      </c>
      <c r="H231" t="s">
        <v>28</v>
      </c>
      <c r="I231">
        <v>67</v>
      </c>
      <c r="J231">
        <v>218.42</v>
      </c>
      <c r="K231">
        <v>14.74</v>
      </c>
      <c r="L231">
        <v>21.44</v>
      </c>
      <c r="M231">
        <v>1.742</v>
      </c>
      <c r="N231" t="s">
        <v>98</v>
      </c>
      <c r="O231" t="s">
        <v>99</v>
      </c>
      <c r="P231">
        <v>122</v>
      </c>
      <c r="Q231">
        <v>187.88</v>
      </c>
      <c r="R231">
        <v>14.273999999999999</v>
      </c>
      <c r="S231">
        <v>0.73199999999999998</v>
      </c>
      <c r="T231">
        <v>12.688000000000001</v>
      </c>
    </row>
    <row r="232" spans="1:69" x14ac:dyDescent="0.35">
      <c r="A232" t="s">
        <v>539</v>
      </c>
      <c r="B232" s="2">
        <f t="shared" si="20"/>
        <v>177.1</v>
      </c>
      <c r="C232" s="2">
        <f t="shared" si="21"/>
        <v>77</v>
      </c>
      <c r="D232" s="2">
        <f t="shared" si="22"/>
        <v>4.1580000000000004</v>
      </c>
      <c r="E232" s="2">
        <f t="shared" si="23"/>
        <v>30.03</v>
      </c>
      <c r="F232" s="2">
        <f t="shared" si="24"/>
        <v>4.774</v>
      </c>
      <c r="G232" t="s">
        <v>129</v>
      </c>
      <c r="H232" t="s">
        <v>130</v>
      </c>
      <c r="I232">
        <v>77</v>
      </c>
      <c r="J232">
        <v>177.1</v>
      </c>
      <c r="K232">
        <v>4.1580000000000004</v>
      </c>
      <c r="L232">
        <v>30.03</v>
      </c>
      <c r="M232">
        <v>4.774</v>
      </c>
    </row>
    <row r="233" spans="1:69" x14ac:dyDescent="0.35">
      <c r="A233" t="s">
        <v>540</v>
      </c>
      <c r="B233" s="2">
        <f t="shared" si="20"/>
        <v>125.71499999999999</v>
      </c>
      <c r="C233" s="2">
        <f t="shared" si="21"/>
        <v>261</v>
      </c>
      <c r="D233" s="2">
        <f t="shared" si="22"/>
        <v>0.52200000000000002</v>
      </c>
      <c r="E233" s="2">
        <f t="shared" si="23"/>
        <v>4.3934999999999995</v>
      </c>
      <c r="F233" s="2">
        <f t="shared" si="24"/>
        <v>22.4025</v>
      </c>
      <c r="G233" t="s">
        <v>29</v>
      </c>
      <c r="H233" t="s">
        <v>30</v>
      </c>
      <c r="I233">
        <v>217.5</v>
      </c>
      <c r="J233">
        <v>113.1</v>
      </c>
      <c r="K233">
        <v>0.435</v>
      </c>
      <c r="L233">
        <v>1.5225</v>
      </c>
      <c r="M233">
        <v>21.75</v>
      </c>
      <c r="N233" t="s">
        <v>31</v>
      </c>
      <c r="O233" t="s">
        <v>32</v>
      </c>
      <c r="P233">
        <v>43.5</v>
      </c>
      <c r="Q233">
        <v>12.615</v>
      </c>
      <c r="R233">
        <v>8.6999999999999994E-2</v>
      </c>
      <c r="S233">
        <v>2.871</v>
      </c>
      <c r="T233">
        <v>0.65249999999999997</v>
      </c>
    </row>
    <row r="234" spans="1:69" x14ac:dyDescent="0.35">
      <c r="A234" t="s">
        <v>541</v>
      </c>
      <c r="B234" s="2">
        <f t="shared" si="20"/>
        <v>301.86287721400004</v>
      </c>
      <c r="C234" s="2">
        <f t="shared" si="21"/>
        <v>168.00000199999999</v>
      </c>
      <c r="D234" s="2">
        <f t="shared" si="22"/>
        <v>16.980414246999999</v>
      </c>
      <c r="E234" s="2">
        <f t="shared" si="23"/>
        <v>4.2755072680000001</v>
      </c>
      <c r="F234" s="2">
        <f t="shared" si="24"/>
        <v>31.017227493</v>
      </c>
      <c r="G234" t="s">
        <v>133</v>
      </c>
      <c r="H234" t="s">
        <v>134</v>
      </c>
      <c r="I234">
        <v>21</v>
      </c>
      <c r="J234">
        <v>2.1</v>
      </c>
      <c r="K234">
        <v>0</v>
      </c>
      <c r="L234">
        <v>0.42</v>
      </c>
      <c r="M234">
        <v>0.21</v>
      </c>
      <c r="N234" t="s">
        <v>120</v>
      </c>
      <c r="O234" t="s">
        <v>121</v>
      </c>
      <c r="P234">
        <v>2.275223</v>
      </c>
      <c r="Q234">
        <v>0.36403567999999997</v>
      </c>
      <c r="R234">
        <v>4.5504459999999997E-3</v>
      </c>
      <c r="S234">
        <v>7.7357581999999994E-2</v>
      </c>
      <c r="T234">
        <v>1.5926560999999999E-2</v>
      </c>
      <c r="U234" t="s">
        <v>135</v>
      </c>
      <c r="V234" t="s">
        <v>136</v>
      </c>
      <c r="W234">
        <v>2.275223</v>
      </c>
      <c r="X234">
        <v>0.93284142999999997</v>
      </c>
      <c r="Y234">
        <v>4.5504459999999997E-3</v>
      </c>
      <c r="Z234">
        <v>0.22752230000000001</v>
      </c>
      <c r="AA234">
        <v>2.0477006999999998E-2</v>
      </c>
      <c r="AB234" t="s">
        <v>89</v>
      </c>
      <c r="AC234" t="s">
        <v>90</v>
      </c>
      <c r="AD234">
        <v>2.275223</v>
      </c>
      <c r="AE234">
        <v>0.91008920000000004</v>
      </c>
      <c r="AF234">
        <v>2.2752229999999998E-3</v>
      </c>
      <c r="AG234">
        <v>0.20477007</v>
      </c>
      <c r="AH234">
        <v>2.5027453000000002E-2</v>
      </c>
      <c r="AI234" t="s">
        <v>139</v>
      </c>
      <c r="AJ234" t="s">
        <v>140</v>
      </c>
      <c r="AK234">
        <v>18.201782000000001</v>
      </c>
      <c r="AL234">
        <v>8.4092232839999994</v>
      </c>
      <c r="AM234">
        <v>1.8201782E-2</v>
      </c>
      <c r="AN234">
        <v>2.0568013660000002</v>
      </c>
      <c r="AO234">
        <v>1.8201782E-2</v>
      </c>
      <c r="AP234" t="s">
        <v>141</v>
      </c>
      <c r="AQ234" t="s">
        <v>142</v>
      </c>
      <c r="AR234">
        <v>1.153254</v>
      </c>
      <c r="AS234">
        <v>0</v>
      </c>
      <c r="AT234">
        <v>0</v>
      </c>
      <c r="AU234">
        <v>0</v>
      </c>
      <c r="AV234">
        <v>0</v>
      </c>
      <c r="AW234" t="s">
        <v>143</v>
      </c>
      <c r="AX234" t="s">
        <v>144</v>
      </c>
      <c r="AY234">
        <v>6.9678699999999996</v>
      </c>
      <c r="AZ234">
        <v>18.395176800000002</v>
      </c>
      <c r="BA234">
        <v>1.0242768900000001</v>
      </c>
      <c r="BB234">
        <v>1.2890559500000001</v>
      </c>
      <c r="BC234">
        <v>1.1496985500000001</v>
      </c>
      <c r="BD234" t="s">
        <v>11</v>
      </c>
      <c r="BE234" t="s">
        <v>12</v>
      </c>
      <c r="BF234">
        <v>9.0287999999999993E-2</v>
      </c>
      <c r="BG234">
        <v>0</v>
      </c>
      <c r="BH234">
        <v>0</v>
      </c>
      <c r="BI234">
        <v>0</v>
      </c>
      <c r="BJ234">
        <v>0</v>
      </c>
      <c r="BK234" t="s">
        <v>145</v>
      </c>
      <c r="BL234" t="s">
        <v>146</v>
      </c>
      <c r="BM234">
        <v>113.761139</v>
      </c>
      <c r="BN234">
        <v>270.75151082000002</v>
      </c>
      <c r="BO234">
        <v>15.92655946</v>
      </c>
      <c r="BP234">
        <v>0</v>
      </c>
      <c r="BQ234">
        <v>29.57789614</v>
      </c>
    </row>
    <row r="235" spans="1:69" x14ac:dyDescent="0.35">
      <c r="A235" t="s">
        <v>542</v>
      </c>
      <c r="B235" s="2">
        <f t="shared" si="20"/>
        <v>76.56</v>
      </c>
      <c r="C235" s="2">
        <f t="shared" si="21"/>
        <v>232</v>
      </c>
      <c r="D235" s="2">
        <f t="shared" si="22"/>
        <v>0.69599999999999995</v>
      </c>
      <c r="E235" s="2">
        <f t="shared" si="23"/>
        <v>18.559999999999999</v>
      </c>
      <c r="F235" s="2">
        <f t="shared" si="24"/>
        <v>1.6240000000000001</v>
      </c>
      <c r="G235" t="s">
        <v>46</v>
      </c>
      <c r="H235" t="s">
        <v>47</v>
      </c>
      <c r="I235">
        <v>232</v>
      </c>
      <c r="J235">
        <v>76.56</v>
      </c>
      <c r="K235">
        <v>0.69599999999999995</v>
      </c>
      <c r="L235">
        <v>18.559999999999999</v>
      </c>
      <c r="M235">
        <v>1.6240000000000001</v>
      </c>
    </row>
    <row r="236" spans="1:69" x14ac:dyDescent="0.35">
      <c r="A236" t="s">
        <v>543</v>
      </c>
      <c r="B236" s="2">
        <f t="shared" si="20"/>
        <v>8.2352922</v>
      </c>
      <c r="C236" s="2">
        <f t="shared" si="21"/>
        <v>15.000000999999999</v>
      </c>
      <c r="D236" s="2">
        <f t="shared" si="22"/>
        <v>0.33731484299999998</v>
      </c>
      <c r="E236" s="2">
        <f t="shared" si="23"/>
        <v>1.1573128610000001</v>
      </c>
      <c r="F236" s="2">
        <f t="shared" si="24"/>
        <v>0.37217031</v>
      </c>
      <c r="G236" t="s">
        <v>41</v>
      </c>
      <c r="H236" t="s">
        <v>42</v>
      </c>
      <c r="I236">
        <v>14.352157</v>
      </c>
      <c r="J236">
        <v>5.0232549500000001</v>
      </c>
      <c r="K236">
        <v>5.7408628000000003E-2</v>
      </c>
      <c r="L236">
        <v>1.00465099</v>
      </c>
      <c r="M236">
        <v>0.34445176799999999</v>
      </c>
      <c r="N236" t="s">
        <v>7</v>
      </c>
      <c r="O236" t="s">
        <v>8</v>
      </c>
      <c r="P236">
        <v>0.26910299999999998</v>
      </c>
      <c r="Q236">
        <v>2.37887052</v>
      </c>
      <c r="R236">
        <v>0.26910299999999998</v>
      </c>
      <c r="S236">
        <v>0</v>
      </c>
      <c r="T236">
        <v>0</v>
      </c>
      <c r="U236" t="s">
        <v>156</v>
      </c>
      <c r="V236" t="s">
        <v>157</v>
      </c>
      <c r="W236">
        <v>0.19775699999999999</v>
      </c>
      <c r="X236">
        <v>0.78114015000000003</v>
      </c>
      <c r="Y236">
        <v>1.0085607E-2</v>
      </c>
      <c r="Z236">
        <v>0.14100074100000001</v>
      </c>
      <c r="AA236">
        <v>2.6103924000000001E-2</v>
      </c>
      <c r="AB236" t="s">
        <v>11</v>
      </c>
      <c r="AC236" t="s">
        <v>12</v>
      </c>
      <c r="AD236">
        <v>1.5820000000000001E-3</v>
      </c>
      <c r="AE236">
        <v>0</v>
      </c>
      <c r="AF236">
        <v>0</v>
      </c>
      <c r="AG236">
        <v>0</v>
      </c>
      <c r="AH236">
        <v>0</v>
      </c>
      <c r="AI236" t="s">
        <v>36</v>
      </c>
      <c r="AJ236" t="s">
        <v>37</v>
      </c>
      <c r="AK236">
        <v>0.17940200000000001</v>
      </c>
      <c r="AL236">
        <v>5.2026580000000003E-2</v>
      </c>
      <c r="AM236">
        <v>7.17608E-4</v>
      </c>
      <c r="AN236">
        <v>1.166113E-2</v>
      </c>
      <c r="AO236">
        <v>1.614618E-3</v>
      </c>
    </row>
    <row r="237" spans="1:69" x14ac:dyDescent="0.35">
      <c r="A237" t="s">
        <v>544</v>
      </c>
      <c r="B237" s="2">
        <f t="shared" si="20"/>
        <v>135.548</v>
      </c>
      <c r="C237" s="2">
        <f t="shared" si="21"/>
        <v>103</v>
      </c>
      <c r="D237" s="2">
        <f t="shared" si="22"/>
        <v>1.133</v>
      </c>
      <c r="E237" s="2">
        <f t="shared" si="23"/>
        <v>25.544</v>
      </c>
      <c r="F237" s="2">
        <f t="shared" si="24"/>
        <v>5.2530000000000001</v>
      </c>
      <c r="G237" t="s">
        <v>382</v>
      </c>
      <c r="H237" t="s">
        <v>383</v>
      </c>
      <c r="I237">
        <v>103</v>
      </c>
      <c r="J237">
        <v>135.548</v>
      </c>
      <c r="K237">
        <v>1.133</v>
      </c>
      <c r="L237">
        <v>25.544</v>
      </c>
      <c r="M237">
        <v>5.2530000000000001</v>
      </c>
    </row>
    <row r="238" spans="1:69" x14ac:dyDescent="0.35">
      <c r="A238" t="s">
        <v>545</v>
      </c>
      <c r="B238" s="2">
        <f t="shared" si="20"/>
        <v>495.65999999999997</v>
      </c>
      <c r="C238" s="2">
        <f t="shared" si="21"/>
        <v>329</v>
      </c>
      <c r="D238" s="2">
        <f t="shared" si="22"/>
        <v>28.534000000000002</v>
      </c>
      <c r="E238" s="2">
        <f t="shared" si="23"/>
        <v>39.015999999999998</v>
      </c>
      <c r="F238" s="2">
        <f t="shared" si="24"/>
        <v>19.478000000000002</v>
      </c>
      <c r="G238" t="s">
        <v>24</v>
      </c>
      <c r="H238" t="s">
        <v>25</v>
      </c>
      <c r="I238">
        <v>111</v>
      </c>
      <c r="J238">
        <v>164.28</v>
      </c>
      <c r="K238">
        <v>12.21</v>
      </c>
      <c r="L238">
        <v>1.776</v>
      </c>
      <c r="M238">
        <v>11.1</v>
      </c>
      <c r="N238" t="s">
        <v>21</v>
      </c>
      <c r="O238" t="s">
        <v>22</v>
      </c>
      <c r="P238">
        <v>118</v>
      </c>
      <c r="Q238">
        <v>166.38</v>
      </c>
      <c r="R238">
        <v>8.0239999999999991</v>
      </c>
      <c r="S238">
        <v>21.24</v>
      </c>
      <c r="T238">
        <v>2.4780000000000002</v>
      </c>
      <c r="U238" t="s">
        <v>521</v>
      </c>
      <c r="V238" t="s">
        <v>522</v>
      </c>
      <c r="W238">
        <v>100</v>
      </c>
      <c r="X238">
        <v>165</v>
      </c>
      <c r="Y238">
        <v>8.3000000000000007</v>
      </c>
      <c r="Z238">
        <v>16</v>
      </c>
      <c r="AA238">
        <v>5.9</v>
      </c>
    </row>
    <row r="239" spans="1:69" x14ac:dyDescent="0.35">
      <c r="A239" t="s">
        <v>546</v>
      </c>
      <c r="B239" s="2">
        <f t="shared" si="20"/>
        <v>132.34672418</v>
      </c>
      <c r="C239" s="2">
        <f t="shared" si="21"/>
        <v>132.00000300000002</v>
      </c>
      <c r="D239" s="2">
        <f t="shared" si="22"/>
        <v>7.1093487440000001</v>
      </c>
      <c r="E239" s="2">
        <f t="shared" si="23"/>
        <v>8.6098476049999988</v>
      </c>
      <c r="F239" s="2">
        <f t="shared" si="24"/>
        <v>10.097742241999999</v>
      </c>
      <c r="G239" t="s">
        <v>333</v>
      </c>
      <c r="H239" t="s">
        <v>334</v>
      </c>
      <c r="I239">
        <v>76.312408000000005</v>
      </c>
      <c r="J239">
        <v>32.814335440000001</v>
      </c>
      <c r="K239">
        <v>0.22893722399999999</v>
      </c>
      <c r="L239">
        <v>6.8681167199999997</v>
      </c>
      <c r="M239">
        <v>2.5946218719999998</v>
      </c>
      <c r="N239" t="s">
        <v>335</v>
      </c>
      <c r="O239" t="s">
        <v>336</v>
      </c>
      <c r="P239">
        <v>0.29442000000000002</v>
      </c>
      <c r="Q239">
        <v>1.7020420199999999</v>
      </c>
      <c r="R239">
        <v>0.1457379</v>
      </c>
      <c r="S239">
        <v>6.6833340000000005E-2</v>
      </c>
      <c r="T239">
        <v>6.5950079999999994E-2</v>
      </c>
      <c r="U239" t="s">
        <v>7</v>
      </c>
      <c r="V239" t="s">
        <v>8</v>
      </c>
      <c r="W239">
        <v>1.430858</v>
      </c>
      <c r="X239">
        <v>12.64878472</v>
      </c>
      <c r="Y239">
        <v>1.430858</v>
      </c>
      <c r="Z239">
        <v>0</v>
      </c>
      <c r="AA239">
        <v>0</v>
      </c>
      <c r="AB239" t="s">
        <v>151</v>
      </c>
      <c r="AC239" t="s">
        <v>152</v>
      </c>
      <c r="AD239">
        <v>0.953905</v>
      </c>
      <c r="AE239">
        <v>0.38156200000000001</v>
      </c>
      <c r="AF239">
        <v>3.81562E-3</v>
      </c>
      <c r="AG239">
        <v>8.4897545000000005E-2</v>
      </c>
      <c r="AH239">
        <v>1.7170290000000001E-2</v>
      </c>
      <c r="AI239" t="s">
        <v>11</v>
      </c>
      <c r="AJ239" t="s">
        <v>12</v>
      </c>
      <c r="AK239">
        <v>8.4119999999999993E-3</v>
      </c>
      <c r="AL239">
        <v>0</v>
      </c>
      <c r="AM239">
        <v>0</v>
      </c>
      <c r="AN239">
        <v>0</v>
      </c>
      <c r="AO239">
        <v>0</v>
      </c>
      <c r="AP239" t="s">
        <v>213</v>
      </c>
      <c r="AQ239" t="s">
        <v>214</v>
      </c>
      <c r="AR239">
        <v>53</v>
      </c>
      <c r="AS239">
        <v>84.8</v>
      </c>
      <c r="AT239">
        <v>5.3</v>
      </c>
      <c r="AU239">
        <v>1.59</v>
      </c>
      <c r="AV239">
        <v>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Foglio1!dish_metadata_cafe2_1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2024-07-30T13:55:33Z</dcterms:modified>
</cp:coreProperties>
</file>